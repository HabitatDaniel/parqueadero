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firstSheet="2" activeTab="4"/>
  </bookViews>
  <sheets>
    <sheet name="CONTRATOS" sheetId="8" r:id="rId1"/>
    <sheet name="PATINETA" sheetId="6" r:id="rId2"/>
    <sheet name="BICICLETA" sheetId="5" r:id="rId3"/>
    <sheet name="MOTO ELECTRICA" sheetId="10" r:id="rId4"/>
    <sheet name="VEHICULO" sheetId="3" r:id="rId5"/>
    <sheet name="Hoja1" sheetId="11" r:id="rId6"/>
    <sheet name="CAMIONETA" sheetId="2" state="hidden" r:id="rId7"/>
    <sheet name="CONDUCTOR" sheetId="7" r:id="rId8"/>
    <sheet name="2025" sheetId="1" r:id="rId9"/>
  </sheets>
  <definedNames>
    <definedName name="_xlnm._FilterDatabase" localSheetId="8" hidden="1">'2025'!$A$7:$Q$514</definedName>
    <definedName name="_xlnm._FilterDatabase" localSheetId="2" hidden="1">BICICLETA!$A$7:$G$38</definedName>
    <definedName name="_xlnm._FilterDatabase" localSheetId="6" hidden="1">CAMIONETA!$A$7:$R$514</definedName>
    <definedName name="_xlnm._FilterDatabase" localSheetId="7" hidden="1">CONDUCTOR!$A$7:$I$445</definedName>
    <definedName name="_xlnm._FilterDatabase" localSheetId="0" hidden="1">CONTRATOS!$A$7:$K$445</definedName>
    <definedName name="_xlnm._FilterDatabase" localSheetId="3" hidden="1">'MOTO ELECTRICA'!$A$7:$H$12</definedName>
    <definedName name="_xlnm._FilterDatabase" localSheetId="1" hidden="1">PATINETA!$A$7:$G$26</definedName>
    <definedName name="_xlnm._FilterDatabase" localSheetId="4" hidden="1">VEHICULO!$A$7:$H$456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1" l="1"/>
  <c r="H9" i="3" l="1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A12" i="10"/>
  <c r="H12" i="10" s="1"/>
  <c r="A11" i="10"/>
  <c r="H11" i="10" s="1"/>
  <c r="A10" i="10"/>
  <c r="H10" i="10" s="1"/>
  <c r="A9" i="10"/>
  <c r="H9" i="10" s="1"/>
  <c r="A8" i="10"/>
  <c r="H8" i="10" s="1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8" i="7"/>
  <c r="D9" i="1" l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8" i="3"/>
  <c r="H8" i="3" s="1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A313" i="7"/>
  <c r="A323" i="7"/>
  <c r="A324" i="7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A213" i="7"/>
  <c r="A215" i="7"/>
  <c r="A216" i="7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A231" i="7"/>
  <c r="A232" i="7"/>
  <c r="A233" i="7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4" i="7"/>
  <c r="A315" i="7"/>
  <c r="A316" i="7"/>
  <c r="A317" i="7"/>
  <c r="A318" i="7"/>
  <c r="A319" i="7"/>
  <c r="A320" i="7"/>
  <c r="A321" i="7"/>
  <c r="A322" i="7"/>
  <c r="A325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3" i="7"/>
  <c r="A374" i="7"/>
  <c r="A375" i="7"/>
  <c r="A376" i="7"/>
  <c r="A377" i="7"/>
  <c r="A378" i="7"/>
  <c r="A379" i="7"/>
  <c r="A380" i="7"/>
  <c r="A381" i="7"/>
  <c r="A383" i="7"/>
  <c r="A384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<sst xmlns="http://schemas.openxmlformats.org/spreadsheetml/2006/main" count="18665" uniqueCount="2209">
  <si>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</si>
  <si>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</si>
  <si>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</si>
  <si>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</si>
  <si>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</si>
  <si>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</si>
  <si>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</si>
  <si>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</si>
  <si>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</si>
  <si>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</si>
  <si>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</si>
  <si>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</si>
  <si>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</si>
  <si>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</si>
  <si>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</si>
  <si>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</si>
  <si>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</si>
  <si>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</si>
  <si>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</si>
  <si>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</si>
  <si>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</si>
  <si>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</si>
  <si>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</si>
  <si>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</si>
  <si>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</si>
  <si>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</si>
  <si>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</si>
  <si>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</si>
  <si>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</si>
  <si>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</si>
  <si>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</si>
  <si>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</si>
  <si>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</si>
  <si>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</si>
  <si>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</si>
  <si>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</si>
  <si>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</si>
  <si>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</si>
  <si>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</si>
  <si>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</si>
  <si>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</si>
  <si>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</si>
  <si>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</si>
  <si>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</si>
  <si>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</si>
  <si>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</si>
  <si>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</si>
  <si>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</si>
  <si>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</si>
  <si>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</si>
  <si>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</si>
  <si>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</si>
  <si>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</si>
  <si>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</si>
  <si>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</si>
  <si>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</si>
  <si>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</si>
  <si>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</si>
  <si>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</si>
  <si>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</si>
  <si>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</si>
  <si>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</si>
  <si>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</si>
  <si>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</si>
  <si>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</si>
  <si>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</si>
  <si>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</si>
  <si>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</si>
  <si>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</si>
  <si>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</si>
  <si>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</si>
  <si>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</si>
  <si>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</si>
  <si>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</si>
  <si>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</si>
  <si>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</si>
  <si>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</si>
  <si>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</si>
  <si>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</si>
  <si>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</si>
  <si>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</si>
  <si>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</si>
  <si>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</si>
  <si>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</si>
  <si>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</si>
  <si>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</si>
  <si>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</si>
  <si>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</si>
  <si>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</si>
  <si>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</si>
  <si>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</si>
  <si>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</si>
  <si>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</si>
  <si>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</si>
  <si>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</si>
  <si>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</si>
  <si>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</si>
  <si>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</si>
  <si>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</si>
  <si>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</si>
  <si>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</si>
  <si>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</si>
  <si>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</si>
  <si>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</si>
  <si>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</si>
  <si>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</si>
  <si>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</si>
  <si>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</si>
  <si>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</si>
  <si>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</si>
  <si>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</si>
  <si>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</si>
  <si>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</si>
  <si>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</si>
  <si>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</si>
  <si>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</si>
  <si>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</si>
  <si>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</si>
  <si>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</si>
  <si>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</si>
  <si>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</si>
  <si>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</si>
  <si>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</si>
  <si>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</si>
  <si>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</si>
  <si>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</si>
  <si>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</si>
  <si>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</si>
  <si>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</si>
  <si>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</si>
  <si>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</si>
  <si>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</si>
  <si>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</si>
  <si>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</si>
  <si>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</si>
  <si>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</si>
  <si>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</si>
  <si>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</si>
  <si>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</si>
  <si>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</si>
  <si>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</si>
  <si>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</si>
  <si>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</si>
  <si>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</si>
  <si>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</si>
  <si>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</si>
  <si>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</si>
  <si>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</si>
  <si>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</si>
  <si>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</si>
  <si>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</si>
  <si>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</si>
  <si>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</si>
  <si>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</si>
  <si>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</si>
  <si>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</si>
  <si>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</si>
  <si>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</si>
  <si>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</si>
  <si>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</si>
  <si>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</si>
  <si>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</si>
  <si>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</si>
  <si>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</si>
  <si>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</si>
  <si>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</si>
  <si>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</si>
  <si>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</si>
  <si>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</si>
  <si>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</si>
  <si>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</si>
  <si>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</si>
  <si>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</si>
  <si>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</si>
  <si>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</si>
  <si>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</si>
  <si>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</si>
  <si>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</si>
  <si>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</si>
  <si>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</si>
  <si>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</si>
  <si>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</si>
  <si>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</si>
  <si>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</si>
  <si>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</si>
  <si>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</si>
  <si>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</si>
  <si>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</si>
  <si>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</si>
  <si>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</si>
  <si>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</si>
  <si>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</si>
  <si>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</si>
  <si>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</si>
  <si>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</si>
  <si>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</si>
  <si>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</si>
  <si>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</si>
  <si>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</si>
  <si>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</si>
  <si>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</si>
  <si>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</si>
  <si>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</si>
  <si>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</si>
  <si>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</si>
  <si>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</si>
  <si>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</si>
  <si>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</si>
  <si>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</si>
  <si>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</si>
  <si>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</si>
  <si>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</si>
  <si>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</si>
  <si>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</si>
  <si>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</si>
  <si>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</si>
  <si>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</si>
  <si>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</si>
  <si>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</si>
  <si>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</si>
  <si>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</si>
  <si>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</si>
  <si>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</si>
  <si>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</si>
  <si>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</si>
  <si>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</si>
  <si>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</si>
  <si>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</si>
  <si>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</si>
  <si>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</si>
  <si>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</si>
  <si>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</si>
  <si>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</si>
  <si>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</si>
  <si>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</si>
  <si>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</si>
  <si>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</si>
  <si>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</si>
  <si>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</si>
  <si>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</si>
  <si>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</si>
  <si>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</si>
  <si>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</si>
  <si>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</si>
  <si>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</si>
  <si>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</si>
  <si>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</si>
  <si>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</si>
  <si>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</si>
  <si>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</si>
  <si>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</si>
  <si>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</si>
  <si>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</si>
  <si>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</si>
  <si>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</si>
  <si>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</si>
  <si>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</si>
  <si>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</si>
  <si>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</si>
  <si>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</si>
  <si>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</si>
  <si>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</si>
  <si>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</si>
  <si>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</si>
  <si>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</si>
  <si>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</si>
  <si>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</si>
  <si>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</si>
  <si>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</si>
  <si>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</si>
  <si>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</si>
  <si>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</si>
  <si>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</si>
  <si>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</si>
  <si>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</si>
  <si>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</si>
  <si>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</si>
  <si>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</si>
  <si>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</si>
  <si>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</si>
  <si>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</si>
  <si>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</si>
  <si>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</si>
  <si>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</si>
  <si>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</si>
  <si>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</si>
  <si>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</si>
  <si>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</si>
  <si>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</si>
  <si>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</si>
  <si>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</si>
  <si>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</si>
  <si>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</si>
  <si>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</si>
  <si>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</si>
  <si>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</si>
  <si>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</si>
  <si>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</si>
  <si>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</si>
  <si>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</si>
  <si>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</si>
  <si>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</si>
  <si>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</si>
  <si>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</si>
  <si>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</si>
  <si>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</si>
  <si>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</si>
  <si>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</si>
  <si>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</si>
  <si>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</si>
  <si>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</si>
  <si>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</si>
  <si>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</si>
  <si>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</si>
  <si>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</si>
  <si>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</si>
  <si>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</si>
  <si>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</si>
  <si>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</si>
  <si>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</si>
  <si>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</si>
  <si>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</si>
  <si>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</si>
  <si>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</si>
  <si>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</si>
  <si>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</si>
  <si>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</si>
  <si>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</si>
  <si>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</si>
  <si>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</si>
  <si>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</si>
  <si>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</si>
  <si>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</si>
  <si>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</si>
  <si>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</si>
  <si>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</si>
  <si>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</si>
  <si>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</si>
  <si>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</si>
  <si>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</si>
  <si>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</si>
  <si>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</si>
  <si>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</si>
  <si>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</si>
  <si>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</si>
  <si>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</si>
  <si>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</si>
  <si>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</si>
  <si>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</si>
  <si>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</si>
  <si>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</si>
  <si>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</si>
  <si>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</si>
  <si>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</si>
  <si>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</si>
  <si>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</si>
  <si>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</si>
  <si>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</si>
  <si>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</si>
  <si>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</si>
  <si>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</si>
  <si>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</si>
  <si>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</si>
  <si>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</si>
  <si>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</si>
  <si>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</si>
  <si>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</si>
  <si>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</si>
  <si>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</si>
  <si>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</si>
  <si>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</si>
  <si>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</si>
  <si>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</si>
  <si>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</si>
  <si>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</si>
  <si>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</si>
  <si>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</si>
  <si>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</si>
  <si>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</si>
  <si>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</si>
  <si>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</si>
  <si>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</si>
  <si>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</si>
  <si>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</si>
  <si>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</si>
  <si>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</si>
  <si>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</si>
  <si>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</si>
  <si>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</si>
  <si>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</si>
  <si>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</si>
  <si>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</si>
  <si>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</si>
  <si>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</si>
  <si>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</si>
  <si>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</si>
  <si>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</si>
  <si>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</si>
  <si>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</si>
  <si>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</si>
  <si>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</si>
  <si>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</si>
  <si>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</si>
  <si>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</si>
  <si>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</si>
  <si>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</si>
  <si>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</si>
  <si>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</si>
  <si>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</si>
  <si>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</si>
  <si>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</si>
  <si>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</si>
  <si>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</si>
  <si>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</si>
  <si>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</si>
  <si>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</si>
  <si>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</si>
  <si>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</si>
  <si>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</si>
  <si>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</si>
  <si>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</si>
  <si>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</si>
  <si>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</si>
  <si>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</si>
  <si>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</si>
  <si>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</si>
  <si>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</si>
  <si>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</si>
  <si>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</si>
  <si>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</si>
  <si>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</si>
  <si>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</si>
  <si>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</si>
  <si>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</si>
  <si>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</si>
  <si>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</si>
  <si>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</si>
  <si>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</si>
  <si>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</si>
  <si>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</si>
  <si>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</si>
  <si>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</si>
  <si>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</si>
  <si>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</si>
  <si>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</si>
  <si>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</si>
  <si>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</si>
  <si>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</si>
  <si>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</si>
  <si>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</si>
  <si>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</si>
  <si>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</si>
  <si>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</si>
  <si>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</si>
  <si>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</si>
  <si>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</si>
  <si>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</si>
  <si>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</si>
  <si>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</si>
  <si>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</si>
  <si>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</si>
  <si>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</si>
  <si>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</si>
  <si>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</si>
  <si>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</si>
  <si>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</si>
  <si>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</si>
  <si>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</si>
  <si>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</si>
  <si>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</si>
  <si>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</si>
  <si>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</si>
  <si>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</si>
  <si>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</si>
  <si>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</si>
  <si>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</si>
  <si>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</si>
  <si>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</si>
  <si>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</si>
  <si>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</si>
  <si>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</si>
  <si>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</si>
  <si>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</si>
  <si>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</si>
  <si>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</si>
  <si>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</si>
  <si>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</si>
  <si>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</si>
  <si>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</si>
  <si>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</si>
  <si>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</si>
  <si>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</si>
  <si>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</si>
  <si>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</si>
  <si>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</si>
  <si>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</si>
  <si>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</si>
  <si>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</si>
  <si>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</si>
  <si>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</si>
  <si>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</si>
  <si>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</si>
  <si>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</si>
  <si>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</si>
  <si>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</si>
  <si>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</si>
  <si>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</si>
  <si>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</si>
  <si>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</si>
  <si>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</si>
  <si>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</si>
  <si>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</si>
  <si>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</si>
  <si>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</si>
  <si>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</si>
  <si>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</si>
  <si>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</si>
  <si>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</si>
  <si>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</si>
  <si>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</si>
  <si>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</si>
  <si>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</si>
  <si>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</si>
  <si>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</si>
  <si>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</si>
  <si>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</si>
  <si>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</si>
  <si>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</si>
  <si>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</si>
  <si>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</si>
  <si>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</si>
  <si>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</si>
  <si>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</si>
  <si>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</si>
  <si>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</si>
  <si>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</si>
  <si>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</si>
  <si>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</si>
  <si>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</si>
  <si>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</si>
  <si>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</si>
  <si>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</si>
  <si>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</si>
  <si>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</si>
  <si>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</si>
  <si>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</si>
  <si>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</si>
  <si>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</si>
  <si>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</si>
  <si>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</si>
  <si>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</si>
  <si>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</si>
  <si>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</si>
  <si>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</si>
  <si>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</si>
  <si>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</si>
  <si>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</si>
  <si>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</si>
  <si>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</si>
  <si>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</si>
  <si>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</si>
  <si>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</si>
  <si>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</si>
  <si>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</si>
  <si>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</si>
  <si>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</si>
  <si>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</si>
  <si>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</si>
  <si>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</si>
  <si>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</si>
  <si>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</si>
  <si>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</si>
  <si>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</si>
  <si>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</si>
  <si>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</si>
  <si>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</si>
  <si>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</si>
  <si>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</si>
  <si>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</si>
  <si>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</si>
  <si>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</si>
  <si>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</si>
  <si>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</si>
  <si>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</si>
  <si>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</si>
  <si>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</si>
  <si>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</si>
  <si>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</si>
  <si>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</si>
  <si>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</si>
  <si>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</si>
  <si>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</si>
  <si>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</si>
  <si>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</si>
  <si>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</si>
  <si>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</si>
  <si>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</si>
  <si>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</si>
  <si>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</si>
  <si>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</si>
  <si>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</si>
  <si>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</si>
  <si>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</si>
  <si>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</si>
  <si>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</si>
  <si>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</si>
  <si>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</si>
  <si>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</si>
  <si>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</si>
  <si>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</si>
  <si>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</si>
  <si>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</si>
  <si>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</si>
  <si>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</si>
  <si>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</si>
  <si>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</si>
  <si>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</si>
  <si>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</si>
  <si>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</si>
  <si>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</si>
  <si>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</si>
  <si>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</si>
  <si>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</si>
  <si>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</si>
  <si>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</si>
  <si>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</si>
  <si>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</si>
  <si>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</si>
  <si>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</si>
  <si>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</si>
  <si>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</si>
  <si>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</si>
  <si>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</si>
  <si>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</si>
  <si>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</si>
  <si>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</si>
  <si>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</si>
  <si>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</si>
  <si>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</si>
  <si>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</si>
  <si>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</si>
  <si>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</si>
  <si>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</si>
  <si>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</si>
  <si>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</si>
  <si>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</si>
  <si>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</si>
  <si>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</si>
  <si>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</si>
  <si>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</si>
  <si>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</si>
  <si>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</si>
  <si>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</si>
  <si>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</si>
  <si>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</si>
  <si>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</si>
  <si>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</si>
  <si>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</si>
  <si>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</si>
  <si>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</si>
  <si>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</si>
  <si>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</si>
  <si>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</si>
  <si>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</si>
  <si>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</si>
  <si>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</si>
  <si>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</si>
  <si>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</si>
  <si>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</si>
  <si>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</si>
  <si>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</si>
  <si>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</si>
  <si>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</si>
  <si>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</si>
  <si>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</si>
  <si>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</si>
  <si>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</si>
  <si>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</si>
  <si>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</si>
  <si>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</si>
  <si>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</si>
  <si>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</si>
  <si>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</si>
  <si>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</si>
  <si>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</si>
  <si>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</si>
  <si>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</si>
  <si>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</si>
  <si>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</si>
  <si>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</si>
  <si>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</si>
  <si>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</si>
  <si>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</si>
  <si>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</si>
  <si>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</si>
  <si>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</si>
  <si>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</si>
  <si>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</si>
  <si>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</si>
  <si>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</si>
  <si>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</si>
  <si>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</si>
  <si>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</si>
  <si>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</si>
  <si>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</si>
  <si>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</si>
  <si>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</si>
  <si>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</si>
  <si>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</si>
  <si>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</si>
  <si>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</si>
  <si>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</si>
  <si>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</si>
  <si>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</si>
  <si>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</si>
  <si>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</si>
  <si>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</si>
  <si>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</si>
  <si>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</si>
  <si>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</si>
  <si>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</si>
  <si>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</si>
  <si>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</si>
  <si>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</si>
  <si>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</si>
  <si>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</si>
  <si>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</si>
  <si>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</si>
  <si>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</si>
  <si>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</si>
  <si>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</si>
  <si>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</si>
  <si>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</si>
  <si>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</si>
  <si>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</si>
  <si>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</si>
  <si>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</si>
  <si>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</si>
  <si>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</si>
  <si>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</si>
  <si>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</si>
  <si>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</si>
  <si>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</si>
  <si>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</si>
  <si>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</si>
  <si>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</si>
  <si>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</si>
  <si>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</si>
  <si>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</si>
  <si>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</si>
  <si>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</si>
  <si>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</si>
  <si>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</si>
  <si>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</si>
  <si>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</si>
  <si>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</si>
  <si>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</si>
  <si>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</si>
  <si>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</si>
  <si>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</si>
  <si>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</si>
  <si>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</si>
  <si>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</si>
  <si>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</si>
  <si>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</si>
  <si>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</si>
  <si>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</si>
  <si>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</si>
  <si>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</si>
  <si>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</si>
  <si>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</si>
  <si>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</si>
  <si>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</si>
  <si>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</si>
  <si>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</si>
  <si>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</si>
  <si>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</si>
  <si>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</si>
  <si>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</si>
  <si>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</si>
  <si>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</si>
  <si>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</si>
  <si>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</si>
  <si>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</si>
  <si>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</si>
  <si>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</si>
  <si>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</si>
  <si>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</si>
  <si>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</si>
  <si>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</si>
  <si>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</si>
  <si>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</si>
  <si>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</si>
  <si>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</si>
  <si>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</si>
  <si>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</si>
  <si>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</si>
  <si>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</si>
  <si>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</si>
  <si>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</si>
  <si>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</si>
  <si>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</si>
  <si>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</si>
  <si>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</si>
  <si>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</si>
  <si>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</si>
  <si>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</si>
  <si>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</si>
  <si>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</si>
  <si>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</si>
  <si>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</si>
  <si>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</si>
  <si>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</si>
  <si>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</si>
  <si>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</si>
  <si>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</si>
  <si>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</si>
  <si>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</si>
  <si>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</si>
  <si>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</si>
  <si>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</si>
  <si>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</si>
  <si>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</si>
  <si>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</si>
  <si>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</si>
  <si>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</si>
  <si>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</si>
  <si>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</si>
  <si>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</si>
  <si>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</si>
  <si>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</si>
  <si>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</si>
  <si>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</si>
  <si>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</si>
  <si>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</si>
  <si>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</si>
  <si>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</si>
  <si>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</si>
  <si>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</si>
  <si>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</si>
  <si>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</si>
  <si>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</si>
  <si>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</si>
  <si>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</si>
  <si>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</si>
  <si>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</si>
  <si>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</si>
  <si>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</si>
  <si>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</si>
  <si>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</si>
  <si>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</si>
  <si>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</si>
  <si>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</si>
  <si>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</si>
  <si>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</si>
  <si>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</si>
  <si>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</si>
  <si>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</si>
  <si>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</si>
  <si>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</si>
  <si>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</si>
  <si>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</si>
  <si>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</si>
  <si>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</si>
  <si>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</si>
  <si>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</si>
  <si>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</si>
  <si>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</si>
  <si>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</si>
  <si>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</si>
  <si>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</si>
  <si>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</si>
  <si>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</si>
  <si>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</si>
  <si>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</si>
  <si>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</si>
  <si>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</si>
  <si>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</si>
  <si>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</si>
  <si>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</si>
  <si>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</si>
  <si>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</si>
  <si>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</si>
  <si>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</si>
  <si>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</si>
  <si>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</si>
  <si>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</si>
  <si>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</si>
  <si>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</si>
  <si>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</si>
  <si>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</si>
  <si>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</si>
  <si>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</si>
  <si>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</si>
  <si>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</si>
  <si>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</si>
  <si>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</si>
  <si>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</si>
  <si>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</si>
  <si>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</si>
  <si>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</si>
  <si>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</si>
  <si>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</si>
  <si>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</si>
  <si>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</si>
  <si>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</si>
  <si>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</si>
  <si>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</si>
  <si>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</si>
  <si>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</si>
  <si>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</si>
  <si>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</si>
  <si>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</si>
  <si>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</si>
  <si>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</si>
  <si>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</si>
  <si>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</si>
  <si>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</si>
  <si>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</si>
  <si>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</si>
  <si>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</si>
  <si>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</si>
  <si>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</si>
  <si>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</si>
  <si>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</si>
  <si>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</si>
  <si>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</si>
  <si>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</si>
  <si>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</si>
  <si>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</si>
  <si>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</si>
  <si>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</si>
  <si>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</si>
  <si>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</si>
  <si>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</si>
  <si>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</si>
  <si>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</si>
  <si>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</si>
  <si>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</si>
  <si>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</si>
  <si>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</si>
  <si>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</si>
  <si>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</si>
  <si>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</si>
  <si>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</si>
  <si>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</si>
  <si>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</si>
  <si>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</si>
  <si>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</si>
  <si>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</si>
  <si>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</si>
  <si>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</si>
  <si>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</si>
  <si>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</si>
  <si>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</si>
  <si>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</si>
  <si>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</si>
  <si>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</si>
  <si>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</si>
  <si>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</si>
  <si>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</si>
  <si>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</si>
  <si>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</si>
  <si>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</si>
  <si>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</si>
  <si>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</si>
  <si>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</si>
  <si>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</si>
  <si>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</si>
  <si>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</si>
  <si>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</si>
  <si>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</si>
  <si>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</si>
  <si>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</si>
  <si>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</si>
  <si>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</si>
  <si>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</si>
  <si>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</si>
  <si>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</si>
  <si>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</si>
  <si>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</si>
  <si>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</si>
  <si>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</si>
  <si>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</si>
  <si>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</si>
  <si>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</si>
  <si>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</si>
  <si>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</si>
  <si>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</si>
  <si>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</si>
  <si>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</si>
  <si>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</si>
  <si>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</si>
  <si>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</si>
  <si>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</si>
  <si>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</si>
  <si>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</si>
  <si>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</si>
  <si>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</si>
  <si>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</si>
  <si>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</si>
  <si>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</si>
  <si>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</si>
  <si>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</si>
  <si>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</si>
  <si>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</si>
  <si>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</si>
  <si>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</si>
  <si>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</si>
  <si>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</si>
  <si>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</si>
  <si>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</si>
  <si>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</si>
  <si>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</si>
  <si>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</si>
  <si>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</si>
  <si>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</si>
  <si>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</si>
  <si>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</si>
  <si>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</si>
  <si>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</si>
  <si>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</si>
  <si>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</si>
  <si>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</si>
  <si>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</si>
  <si>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</si>
  <si>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</si>
  <si>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</si>
  <si>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</si>
  <si>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</si>
  <si>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</si>
  <si>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</si>
  <si>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</si>
  <si>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</si>
  <si>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</si>
  <si>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</si>
  <si>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</si>
  <si>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</si>
  <si>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</si>
  <si>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</si>
  <si>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</si>
  <si>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</si>
  <si>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</si>
  <si>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</si>
  <si>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</si>
  <si>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</si>
  <si>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</si>
  <si>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</si>
  <si>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</si>
  <si>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</si>
  <si>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</si>
  <si>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</si>
  <si>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</si>
  <si>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</si>
  <si>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</si>
  <si>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</si>
  <si>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</si>
  <si>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</si>
  <si>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</si>
  <si>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</si>
  <si>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</si>
  <si>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</si>
  <si>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</si>
  <si>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</si>
  <si>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</si>
  <si>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</si>
  <si>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</si>
  <si>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</si>
  <si>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</si>
  <si>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</si>
  <si>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</si>
  <si>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</si>
  <si>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</si>
  <si>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</si>
  <si>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</si>
  <si>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</si>
  <si>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</si>
  <si>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</si>
  <si>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</si>
  <si>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</si>
  <si>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</si>
  <si>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</si>
  <si>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</si>
  <si>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</si>
  <si>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</si>
  <si>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</si>
  <si>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</si>
  <si>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</si>
  <si>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</si>
  <si>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</si>
  <si>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</si>
  <si>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</si>
  <si>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</si>
  <si>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</si>
  <si>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</si>
  <si>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</si>
  <si>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</si>
  <si>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</si>
  <si>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</si>
  <si>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</si>
  <si>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</si>
  <si>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</si>
  <si>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</si>
  <si>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</si>
  <si>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</si>
  <si>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</si>
  <si>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</si>
  <si>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</si>
  <si>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</si>
  <si>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</si>
  <si>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</si>
  <si>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</si>
  <si>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</si>
  <si>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</si>
  <si>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</si>
  <si>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</si>
  <si>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</si>
  <si>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</si>
  <si>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</si>
  <si>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</si>
  <si>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</si>
  <si>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</si>
  <si>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</si>
  <si>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</si>
  <si>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</si>
  <si>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</si>
  <si>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</si>
  <si>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</si>
  <si>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</si>
  <si>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</si>
  <si>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</si>
  <si>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</si>
  <si>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</si>
  <si>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</si>
  <si>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</si>
  <si>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</si>
  <si>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</si>
  <si>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</si>
  <si>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</si>
  <si>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</si>
  <si>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</si>
  <si>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</si>
  <si>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</si>
  <si>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</si>
  <si>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</si>
  <si>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</si>
  <si>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</si>
  <si>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</si>
  <si>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</si>
  <si>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</si>
  <si>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</si>
  <si>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</si>
  <si>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</si>
  <si>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</si>
  <si>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</si>
  <si>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</si>
  <si>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</si>
  <si>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</si>
  <si>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</si>
  <si>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</si>
  <si>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</si>
  <si>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</si>
  <si>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</si>
  <si>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</si>
  <si>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</si>
  <si>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</si>
  <si>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</si>
  <si>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</si>
  <si>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</si>
  <si>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</si>
  <si>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</si>
  <si>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</si>
  <si>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</si>
  <si>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</si>
  <si>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</si>
  <si>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</si>
  <si>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</si>
  <si>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</si>
  <si>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</si>
  <si>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</si>
  <si>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</si>
  <si>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</si>
  <si>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</si>
  <si>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</si>
  <si>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</si>
  <si>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</si>
  <si>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</si>
  <si>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</si>
  <si>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</si>
  <si>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</si>
  <si>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</si>
  <si>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</si>
  <si>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</si>
  <si>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</si>
  <si>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</si>
  <si>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</si>
  <si>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</si>
  <si>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</si>
  <si>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</si>
  <si>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</si>
  <si>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</si>
  <si>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</si>
  <si>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</si>
  <si>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</si>
  <si>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</si>
  <si>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</si>
  <si>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</si>
  <si>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</si>
  <si>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</si>
  <si>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</si>
  <si>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</si>
  <si>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</si>
  <si>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</si>
  <si>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</si>
  <si>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</si>
  <si>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</si>
  <si>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</si>
  <si>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</si>
  <si>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</si>
  <si>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</si>
  <si>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</si>
  <si>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</si>
  <si>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</si>
  <si>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</si>
  <si>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</si>
  <si>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</si>
  <si>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</si>
  <si>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</si>
  <si>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</si>
  <si>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</si>
  <si>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</si>
  <si>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</si>
  <si>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</si>
  <si>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</si>
  <si>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</si>
  <si>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</si>
  <si>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</si>
  <si>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</si>
  <si>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</si>
  <si>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</si>
  <si>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</si>
  <si>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</si>
  <si>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</si>
  <si>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</si>
  <si>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</si>
  <si>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</si>
  <si>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</si>
  <si>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</si>
  <si>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</si>
  <si>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</si>
  <si>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</si>
  <si>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</si>
  <si>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</si>
  <si>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</si>
  <si>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</si>
  <si>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</si>
  <si>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</si>
  <si>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</si>
  <si>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</si>
  <si>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</si>
  <si>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</si>
  <si>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</si>
  <si>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</si>
  <si>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</si>
  <si>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</si>
  <si>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</si>
  <si>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</si>
  <si>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</si>
  <si>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</si>
  <si>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</si>
  <si>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</si>
  <si>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</si>
  <si>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</si>
  <si>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</si>
  <si>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</si>
  <si>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</si>
  <si>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</si>
  <si>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</si>
  <si>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</si>
  <si>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</si>
  <si>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</si>
  <si>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</si>
  <si>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</si>
  <si>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</si>
  <si>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</si>
  <si>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</si>
  <si>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</si>
  <si>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</si>
  <si>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</si>
  <si>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</si>
  <si>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</si>
  <si>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</si>
  <si>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</si>
  <si>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</si>
  <si>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</si>
  <si>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</si>
  <si>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</si>
  <si>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</si>
  <si>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</si>
  <si>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</si>
  <si>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</si>
  <si>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</si>
  <si>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</si>
  <si>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</si>
  <si>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</si>
  <si>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</si>
  <si>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</si>
  <si>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</si>
  <si>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</si>
  <si>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</si>
  <si>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</si>
  <si>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</si>
  <si>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</si>
  <si>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</si>
  <si>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</si>
  <si>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</si>
  <si>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</si>
  <si>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</si>
  <si>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</si>
  <si>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</si>
  <si>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</si>
  <si>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</si>
  <si>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</si>
  <si>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</si>
  <si>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</si>
  <si>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</si>
  <si>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</si>
  <si>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</si>
  <si>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</si>
  <si>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</si>
  <si>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</si>
  <si>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</si>
  <si>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</si>
  <si>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</si>
  <si>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</si>
  <si>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</si>
  <si>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</si>
  <si>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</si>
  <si>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</si>
  <si>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</si>
  <si>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</si>
  <si>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</si>
  <si>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</si>
  <si>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</si>
  <si>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</si>
  <si>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</si>
  <si>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</si>
  <si>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</si>
  <si>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</si>
  <si>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</si>
  <si>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</si>
  <si>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</si>
  <si>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</si>
  <si>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</si>
  <si>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</si>
  <si>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</si>
  <si>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</si>
  <si>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</si>
  <si>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</si>
  <si>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</si>
  <si>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</si>
  <si>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</si>
  <si>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</si>
  <si>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</si>
  <si>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</si>
  <si>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</si>
  <si>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</si>
  <si>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</si>
  <si>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</si>
  <si>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</si>
  <si>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</si>
  <si>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</si>
  <si>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</si>
  <si>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</si>
  <si>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</si>
  <si>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</si>
  <si>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</si>
  <si>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</si>
  <si>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</si>
  <si>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</si>
  <si>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</si>
  <si>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</si>
  <si>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</si>
  <si>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</si>
  <si>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</si>
  <si>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</si>
  <si>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</si>
  <si>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</si>
  <si>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</si>
  <si>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</si>
  <si>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</si>
  <si>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</si>
  <si>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</si>
  <si>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</si>
  <si>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</si>
  <si>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</si>
  <si>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</si>
  <si>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</si>
  <si>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</si>
  <si>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</si>
  <si>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</si>
  <si>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</si>
  <si>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</si>
  <si>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</si>
  <si>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</si>
  <si>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</si>
  <si>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</si>
  <si>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</si>
  <si>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</si>
  <si>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</si>
  <si>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</si>
  <si>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</si>
  <si>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</si>
  <si>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</si>
  <si>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</si>
  <si>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</si>
  <si>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</si>
  <si>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</si>
  <si>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</si>
  <si>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</si>
  <si>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</si>
  <si>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</si>
  <si>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</si>
  <si>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</si>
  <si>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</si>
  <si>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</si>
  <si>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</si>
  <si>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</si>
  <si>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</si>
  <si>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</si>
  <si>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</si>
  <si>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</si>
  <si>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</si>
  <si>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</si>
  <si>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</si>
  <si>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</si>
  <si>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</si>
  <si>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</si>
  <si>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</si>
  <si>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</si>
  <si>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</si>
  <si>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</si>
  <si>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</si>
  <si>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</si>
  <si>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</si>
  <si>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</si>
  <si>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</si>
  <si>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</si>
  <si>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</si>
  <si>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</si>
  <si>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</si>
  <si>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</si>
  <si>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</si>
  <si>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</si>
  <si>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</si>
  <si>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</si>
  <si>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</si>
  <si>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</si>
  <si>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</si>
  <si>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</si>
  <si>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</si>
  <si>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</si>
  <si>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</si>
  <si>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</si>
  <si>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</si>
  <si>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</si>
  <si>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</si>
  <si>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</si>
  <si>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</si>
  <si>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</si>
  <si>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</si>
  <si>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</si>
  <si>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</si>
  <si>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</si>
  <si>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</si>
  <si>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</si>
  <si>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</si>
  <si>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</si>
  <si>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</si>
  <si>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</si>
  <si>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</si>
  <si>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</si>
  <si>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</si>
  <si>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</si>
  <si>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</si>
  <si>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</si>
  <si>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</si>
  <si>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</si>
  <si>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</si>
  <si>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</si>
  <si>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</si>
  <si>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</si>
  <si>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</si>
  <si>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</si>
  <si>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</si>
  <si>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</si>
  <si>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</si>
  <si>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</si>
  <si>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</si>
  <si>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</si>
  <si>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</si>
  <si>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</si>
  <si>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</si>
  <si>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</si>
  <si>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</si>
  <si>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</si>
  <si>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</si>
  <si>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</si>
  <si>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</si>
  <si>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</si>
  <si>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</si>
  <si>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</si>
  <si>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</si>
  <si>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</si>
  <si>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</si>
  <si>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</si>
  <si>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</si>
  <si>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</si>
  <si>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</si>
  <si>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</si>
  <si>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</si>
  <si>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</si>
  <si>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</si>
  <si>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</si>
  <si>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</si>
  <si>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</si>
  <si>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</si>
  <si>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</si>
  <si>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</si>
  <si>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</si>
  <si>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</si>
  <si>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</si>
  <si>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</si>
  <si>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</si>
  <si>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</si>
  <si>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</si>
  <si>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</si>
  <si>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</si>
  <si>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</si>
  <si>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</si>
  <si>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</si>
  <si>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</si>
  <si>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</si>
  <si>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</si>
  <si>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</si>
  <si>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</si>
  <si>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</si>
  <si>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</si>
  <si>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</si>
  <si>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</si>
  <si>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</si>
  <si>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</si>
  <si>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</si>
  <si>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</si>
  <si>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</si>
  <si>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</si>
  <si>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</si>
  <si>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</si>
  <si>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</si>
  <si>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</si>
  <si>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</si>
  <si>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</si>
  <si>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</si>
  <si>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</si>
  <si>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</si>
  <si>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</si>
  <si>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</si>
  <si>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</si>
  <si>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</si>
  <si>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</si>
  <si>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</si>
  <si>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</si>
  <si>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</si>
  <si>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</si>
  <si>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</si>
  <si>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</si>
  <si>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</si>
  <si>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</si>
  <si>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</si>
  <si>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</si>
  <si>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</si>
  <si>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</si>
  <si>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</si>
  <si>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</si>
  <si>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</si>
  <si>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</si>
  <si>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</si>
  <si>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</si>
  <si>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</si>
  <si>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</si>
  <si>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</si>
  <si>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</si>
  <si>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</si>
  <si>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</si>
  <si>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</si>
  <si>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</si>
  <si>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</si>
  <si>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</si>
  <si>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</si>
  <si>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</si>
  <si>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</si>
  <si>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</si>
  <si>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</si>
  <si>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</si>
  <si>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</si>
  <si>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</si>
  <si>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</si>
  <si>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</si>
  <si>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</si>
  <si>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</si>
  <si>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</si>
  <si>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</si>
  <si>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</si>
  <si>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</si>
  <si>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</si>
  <si>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</si>
  <si>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</si>
  <si>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</si>
  <si>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</si>
  <si>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</si>
  <si>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</si>
  <si>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</si>
  <si>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</si>
  <si>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</si>
  <si>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</si>
  <si>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</si>
  <si>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</si>
  <si>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</si>
  <si>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</si>
  <si>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</si>
  <si>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</si>
  <si>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</si>
  <si>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</si>
  <si>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</si>
  <si>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</si>
  <si>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</si>
  <si>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</si>
  <si>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</si>
  <si>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</si>
  <si>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</si>
  <si>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</si>
  <si>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</si>
  <si>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</si>
  <si>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</si>
  <si>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</si>
  <si>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</si>
  <si>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</si>
  <si>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</si>
  <si>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</si>
  <si>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</si>
  <si>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</si>
  <si>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</si>
  <si>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</si>
  <si>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</si>
  <si>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</si>
  <si>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</si>
  <si>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</si>
  <si>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</si>
  <si>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</si>
  <si>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</si>
  <si>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</si>
  <si>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</si>
  <si>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</si>
  <si>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</si>
  <si>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</si>
  <si>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</si>
  <si>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</si>
  <si>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</si>
  <si>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</si>
  <si>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</si>
  <si>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</si>
  <si>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</si>
  <si>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</si>
  <si>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</si>
  <si>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</si>
  <si>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</si>
  <si>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</si>
  <si>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</si>
  <si>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</si>
  <si>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</si>
  <si>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</si>
  <si>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</si>
  <si>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</si>
  <si>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</si>
  <si>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</si>
  <si>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</si>
  <si>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</si>
  <si>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</si>
  <si>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</si>
  <si>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</si>
  <si>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</si>
  <si>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</si>
  <si>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</si>
  <si>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</si>
  <si>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</si>
  <si>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</si>
  <si>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</si>
  <si>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</si>
  <si>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</si>
  <si>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</si>
  <si>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</si>
  <si>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</si>
  <si>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</si>
  <si>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</si>
  <si>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</si>
  <si>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</si>
  <si>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</si>
  <si>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</si>
  <si>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</si>
  <si>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</si>
  <si>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</si>
  <si>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</si>
  <si>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</si>
  <si>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</si>
  <si>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</si>
  <si>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</si>
  <si>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</si>
  <si>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</si>
  <si>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</si>
  <si>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</si>
  <si>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</si>
  <si>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</si>
  <si>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</si>
  <si>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</si>
  <si>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</si>
  <si>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</si>
  <si>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</si>
  <si>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</si>
  <si>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</si>
  <si>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</si>
  <si>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</si>
  <si>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</si>
  <si>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</si>
  <si>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</si>
  <si>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</si>
  <si>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</si>
  <si>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</si>
  <si>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</si>
  <si>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</si>
  <si>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</si>
  <si>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</si>
  <si>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</si>
  <si>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</si>
  <si>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</si>
  <si>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</si>
  <si>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</si>
  <si>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</si>
  <si>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</si>
  <si>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</si>
  <si>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</si>
  <si>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</si>
  <si>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</si>
  <si>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</si>
  <si>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</si>
  <si>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</si>
  <si>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</si>
  <si>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</si>
  <si>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</si>
  <si>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</si>
  <si>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</si>
  <si>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</si>
  <si>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</si>
  <si>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</si>
  <si>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</si>
  <si>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</si>
  <si>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</si>
  <si>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</si>
  <si>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</si>
  <si>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</si>
  <si>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</si>
  <si>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</si>
  <si>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</si>
  <si>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</si>
  <si>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</si>
  <si>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</si>
  <si>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</si>
  <si>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</si>
  <si>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</si>
  <si>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</si>
  <si>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</si>
  <si>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</si>
  <si>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</si>
  <si>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</si>
  <si>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</si>
  <si>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</si>
  <si>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</si>
  <si>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</si>
  <si>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</si>
  <si>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</si>
  <si>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</si>
  <si>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</si>
  <si>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</si>
  <si>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</si>
  <si>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</si>
  <si>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</si>
  <si>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</si>
  <si>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</si>
  <si>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</si>
  <si>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</si>
  <si>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</si>
  <si>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</si>
  <si>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</si>
  <si>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</si>
  <si>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</si>
  <si>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</si>
  <si>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</si>
  <si>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</si>
  <si>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</si>
  <si>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</si>
  <si>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</si>
  <si>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</si>
  <si>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</si>
  <si>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</si>
  <si>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</si>
  <si>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</si>
  <si>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</si>
  <si>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</si>
  <si>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</si>
  <si>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</si>
  <si>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</si>
  <si>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</si>
  <si>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</si>
  <si>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</si>
  <si>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</si>
  <si>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</si>
  <si>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</si>
  <si>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</si>
  <si>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</si>
  <si>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</si>
  <si>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</si>
  <si>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</si>
  <si>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</si>
  <si>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</si>
  <si>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</si>
  <si>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</si>
  <si>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</si>
  <si>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</si>
  <si>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</si>
  <si>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</si>
  <si>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</si>
  <si>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</si>
  <si>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</si>
  <si>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</si>
  <si>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</si>
  <si>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</si>
  <si>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</si>
  <si>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</si>
  <si>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</si>
  <si>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</si>
  <si>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</si>
  <si>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</si>
  <si>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</si>
  <si>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</si>
  <si>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</si>
  <si>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</si>
  <si>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</si>
  <si>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</si>
  <si>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</si>
  <si>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</si>
  <si>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</si>
  <si>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</si>
  <si>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</si>
  <si>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</si>
  <si>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</si>
  <si>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</si>
  <si>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</si>
  <si>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</si>
  <si>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</si>
  <si>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</si>
  <si>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</si>
  <si>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</si>
  <si>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</si>
  <si>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</si>
  <si>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</si>
  <si>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</si>
  <si>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</si>
  <si>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</si>
  <si>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</si>
  <si>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</si>
  <si>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</si>
  <si>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</si>
  <si>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</si>
  <si>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</si>
  <si>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</si>
  <si>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</si>
  <si>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</si>
  <si>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</si>
  <si>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</si>
  <si>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</si>
  <si>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</si>
  <si>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</si>
  <si>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</si>
  <si>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</si>
  <si>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</si>
  <si>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</si>
  <si>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</si>
  <si>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</si>
  <si>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</si>
  <si>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</si>
  <si>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</si>
  <si>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</si>
  <si>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</si>
  <si>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</si>
  <si>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</si>
  <si>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</si>
  <si>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</si>
  <si>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</si>
  <si>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</si>
  <si>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</si>
  <si>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</si>
  <si>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</si>
  <si>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</si>
  <si>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</si>
  <si>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</si>
  <si>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</si>
  <si>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</si>
  <si>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</si>
  <si>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</si>
  <si>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</si>
  <si>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</si>
  <si>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</si>
  <si>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</si>
  <si>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</si>
  <si>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</si>
  <si>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</si>
  <si>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</si>
  <si>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</si>
  <si>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</si>
  <si>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</si>
  <si>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</si>
  <si>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</si>
  <si>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</si>
  <si>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</si>
  <si>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</si>
  <si>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</si>
  <si>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</si>
  <si>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</si>
  <si>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</si>
  <si>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</si>
  <si>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</si>
  <si>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</si>
  <si>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</si>
  <si>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</si>
  <si>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</si>
  <si>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</si>
  <si>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</si>
  <si>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</si>
  <si>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</si>
  <si>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</si>
  <si>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</si>
  <si>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</si>
  <si>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</si>
  <si>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</si>
  <si>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</si>
  <si>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</si>
  <si>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</si>
  <si>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</si>
  <si>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</si>
  <si>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</si>
  <si>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</si>
  <si>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</si>
  <si>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</si>
  <si>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</si>
  <si>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</si>
  <si>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</si>
  <si>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</si>
  <si>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</si>
  <si>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</si>
  <si>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</si>
  <si>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</si>
  <si>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</si>
  <si>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</si>
  <si>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</si>
  <si>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</si>
  <si>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</si>
  <si>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</si>
  <si>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</si>
  <si>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</si>
  <si>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</si>
  <si>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</si>
  <si>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</si>
  <si>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</si>
  <si>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</si>
  <si>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</si>
  <si>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</si>
  <si>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</si>
  <si>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</si>
  <si>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</si>
  <si>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</si>
  <si>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</si>
  <si>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</si>
  <si>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</si>
  <si>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</si>
  <si>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</si>
  <si>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</si>
  <si>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</si>
  <si>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</si>
  <si>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</si>
  <si>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</si>
  <si>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</si>
  <si>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</si>
  <si>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</si>
  <si>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</si>
  <si>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</si>
  <si>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</si>
  <si>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</si>
  <si>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</si>
  <si>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</si>
  <si>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</si>
  <si>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</si>
  <si>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</si>
  <si>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</si>
  <si>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</si>
  <si>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</si>
  <si>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</si>
  <si>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</si>
  <si>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</si>
  <si>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</si>
  <si>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</si>
  <si>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</si>
  <si>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</si>
  <si>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</si>
  <si>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</si>
  <si>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</si>
  <si>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</si>
  <si>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</si>
  <si>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</si>
  <si>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</si>
  <si>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</si>
  <si>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</si>
  <si>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</si>
  <si>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</si>
  <si>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</si>
  <si>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</si>
  <si>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</si>
  <si>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</si>
  <si>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</si>
  <si>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</si>
  <si>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</si>
  <si>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</si>
  <si>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</si>
  <si>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</si>
  <si>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</si>
  <si>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</si>
  <si>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</si>
  <si>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</si>
  <si>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</si>
  <si>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</si>
  <si>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</si>
  <si>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</si>
  <si>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</si>
  <si>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</si>
  <si>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</si>
  <si>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</si>
  <si>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</si>
  <si>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</si>
  <si>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</si>
  <si>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</si>
  <si>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</si>
  <si>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</si>
  <si>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</si>
  <si>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</si>
  <si>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</si>
  <si>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</si>
  <si>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</si>
  <si>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</si>
  <si>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</si>
  <si>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</si>
  <si>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</si>
  <si>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</si>
  <si>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</si>
  <si>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</si>
  <si>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</si>
  <si>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</si>
  <si>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</si>
  <si>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</si>
  <si>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</si>
  <si>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</si>
  <si>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</si>
  <si>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</si>
  <si>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</si>
  <si>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</si>
  <si>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</si>
  <si>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</si>
  <si>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</si>
  <si>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</si>
  <si>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</si>
  <si>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</si>
  <si>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</si>
  <si>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</si>
  <si>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</si>
  <si>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</si>
  <si>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</si>
  <si>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</si>
  <si>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</si>
  <si>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</si>
  <si>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</si>
  <si>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</si>
  <si>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</si>
  <si>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</si>
  <si>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</si>
  <si>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</si>
  <si>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</si>
  <si>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</si>
  <si>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</si>
  <si>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</si>
  <si>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</si>
  <si>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</si>
  <si>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</si>
  <si>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</si>
  <si>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</si>
  <si>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</si>
  <si>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</si>
  <si>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</si>
  <si>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</si>
  <si>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</si>
  <si>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</si>
  <si>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</si>
  <si>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</si>
  <si>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</si>
  <si>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</si>
  <si>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</si>
  <si>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</si>
  <si>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</si>
  <si>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</si>
  <si>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</si>
  <si>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</si>
  <si>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</si>
  <si>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</si>
  <si>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</si>
  <si>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</si>
  <si>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</si>
  <si>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</si>
  <si>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</si>
  <si>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</si>
  <si>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</si>
  <si>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</si>
  <si>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</si>
  <si>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</si>
  <si>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</si>
  <si>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</si>
  <si>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</si>
  <si>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</si>
  <si>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</si>
  <si>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</si>
  <si>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</si>
  <si>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</si>
  <si>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</si>
  <si>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</si>
  <si>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</si>
  <si>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</si>
  <si>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</si>
  <si>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</si>
  <si>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</si>
  <si>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</si>
  <si>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</si>
  <si>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</si>
  <si>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</si>
  <si>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</si>
  <si>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</si>
  <si>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</si>
  <si>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</si>
  <si>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</si>
  <si>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</si>
  <si>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</si>
  <si>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</si>
  <si>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</si>
  <si>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</si>
  <si>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</si>
  <si>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</si>
  <si>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</si>
  <si>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</si>
  <si>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</si>
  <si>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</si>
  <si>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</si>
  <si>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</si>
  <si>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</si>
  <si>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</si>
  <si>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</si>
  <si>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</si>
  <si>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</si>
  <si>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</si>
  <si>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</si>
  <si>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</si>
  <si>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</si>
  <si>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</si>
  <si>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</si>
  <si>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</si>
  <si>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</si>
  <si>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</si>
  <si>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</si>
  <si>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</si>
  <si>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</si>
  <si>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</si>
  <si>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contar</t>
  </si>
  <si>
    <t>MOTOCICLETA</t>
  </si>
  <si>
    <t>Piso</t>
  </si>
  <si>
    <t>Vinculacion</t>
  </si>
  <si>
    <t>Piso 12</t>
  </si>
  <si>
    <t>TABLA MOTOCICLETA ELECTRICA</t>
  </si>
  <si>
    <t>Piso 11</t>
  </si>
  <si>
    <t>UBICACIÓN</t>
  </si>
  <si>
    <t>SOTANO 1</t>
  </si>
  <si>
    <t>PUESTOS</t>
  </si>
  <si>
    <t>TIPO</t>
  </si>
  <si>
    <t>OFICIAL</t>
  </si>
  <si>
    <t>PLACA BLANCA</t>
  </si>
  <si>
    <t>SOTANO 2</t>
  </si>
  <si>
    <t>SOTANO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</si>
</sst>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6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7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8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B24" sqref="B24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</row>
    <row r="4" spans="1:11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8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zoomScale="90" zoomScaleNormal="90" workbookViewId="0">
      <pane ySplit="7" topLeftCell="A8" activePane="bottomLeft" state="frozen"/>
      <selection pane="bottomLeft" activeCell="A17" sqref="A17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42" t="s">
        <v>2122</v>
      </c>
      <c r="B3" s="42"/>
      <c r="C3" s="42"/>
      <c r="D3" s="42"/>
      <c r="E3" s="42"/>
      <c r="F3" s="42"/>
      <c r="G3" s="42"/>
    </row>
    <row r="4" spans="1:15" x14ac:dyDescent="0.25">
      <c r="A4" s="42"/>
      <c r="B4" s="42"/>
      <c r="C4" s="42"/>
      <c r="D4" s="42"/>
      <c r="E4" s="42"/>
      <c r="F4" s="42"/>
      <c r="G4" s="42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1" width="8.44140625" style="14" customWidth="1"/>
    <col min="2" max="2" width="13" style="14" bestFit="1" customWidth="1"/>
    <col min="3" max="3" width="5.44140625" style="14" bestFit="1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42" t="s">
        <v>2152</v>
      </c>
      <c r="B3" s="42"/>
      <c r="C3" s="42"/>
      <c r="D3" s="42"/>
      <c r="E3" s="42"/>
      <c r="F3" s="42"/>
      <c r="G3" s="42"/>
    </row>
    <row r="4" spans="1:9" x14ac:dyDescent="0.25">
      <c r="A4" s="42"/>
      <c r="B4" s="42"/>
      <c r="C4" s="42"/>
      <c r="D4" s="42"/>
      <c r="E4" s="42"/>
      <c r="F4" s="42"/>
      <c r="G4" s="42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6" priority="3"/>
  </conditionalFormatting>
  <conditionalFormatting sqref="C8:C38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12"/>
  <sheetViews>
    <sheetView zoomScale="90" zoomScaleNormal="90" workbookViewId="0">
      <pane ySplit="7" topLeftCell="A8" activePane="bottomLeft" state="frozen"/>
      <selection pane="bottomLeft" activeCell="A5" sqref="A5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2199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ht="14.4" x14ac:dyDescent="0.3">
      <c r="A8" s="5">
        <f t="shared" ref="A8" si="0">ROW()-7</f>
        <v>1</v>
      </c>
      <c r="B8" s="6" t="s">
        <v>2188</v>
      </c>
      <c r="C8" s="6" t="s">
        <v>2195</v>
      </c>
      <c r="D8" s="6" t="s">
        <v>129</v>
      </c>
      <c r="E8" s="6" t="s">
        <v>429</v>
      </c>
      <c r="F8" s="6" t="s">
        <v>430</v>
      </c>
      <c r="G8" s="6">
        <v>1010222069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('1','MOT-001','MOTOCICLETA','ELÉCTRICO','MOTO ELÉCTRICA ','ROSADO ','1010222069');</v>
      </c>
    </row>
    <row r="9" spans="1:8" ht="14.4" x14ac:dyDescent="0.3">
      <c r="A9" s="5">
        <f t="shared" ref="A9" si="1">ROW()-7</f>
        <v>2</v>
      </c>
      <c r="B9" s="6" t="s">
        <v>2189</v>
      </c>
      <c r="C9" s="6" t="s">
        <v>2195</v>
      </c>
      <c r="D9" s="6" t="s">
        <v>129</v>
      </c>
      <c r="E9" s="6" t="s">
        <v>994</v>
      </c>
      <c r="F9" s="6" t="s">
        <v>60</v>
      </c>
      <c r="G9" s="6">
        <v>1010033134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('2','MOT-002','MOTOCICLETA','ELÉCTRICO','LUCIERNAGAS','GRIS','1010033134');</v>
      </c>
    </row>
    <row r="10" spans="1:8" ht="14.4" x14ac:dyDescent="0.3">
      <c r="A10" s="5">
        <f t="shared" ref="A10" si="2">ROW()-7</f>
        <v>3</v>
      </c>
      <c r="B10" s="6" t="s">
        <v>2190</v>
      </c>
      <c r="C10" s="6" t="s">
        <v>2195</v>
      </c>
      <c r="D10" s="6" t="s">
        <v>129</v>
      </c>
      <c r="E10" s="6" t="s">
        <v>1367</v>
      </c>
      <c r="F10" s="6" t="s">
        <v>238</v>
      </c>
      <c r="G10" s="6">
        <v>1030623723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('3','MOT-003','MOTOCICLETA','ELÉCTRICO','MOTORETTAS','BLANCA','1030623723');</v>
      </c>
    </row>
    <row r="11" spans="1:8" ht="14.4" x14ac:dyDescent="0.3">
      <c r="A11" s="5">
        <f t="shared" ref="A11:A12" si="3">ROW()-7</f>
        <v>4</v>
      </c>
      <c r="B11" s="17" t="s">
        <v>2191</v>
      </c>
      <c r="C11" s="6" t="s">
        <v>2195</v>
      </c>
      <c r="D11" s="6" t="s">
        <v>129</v>
      </c>
      <c r="E11" s="17" t="s">
        <v>1897</v>
      </c>
      <c r="F11" s="17" t="s">
        <v>24</v>
      </c>
      <c r="G11" s="24">
        <v>1014260067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('4','MOT-004','MOTOCICLETA','ELÉCTRICO','ULTRA MAX HUYSER','NEGRO','1014260067');</v>
      </c>
    </row>
    <row r="12" spans="1:8" ht="14.4" x14ac:dyDescent="0.3">
      <c r="A12" s="5">
        <f t="shared" si="3"/>
        <v>5</v>
      </c>
      <c r="B12" s="6" t="s">
        <v>2192</v>
      </c>
      <c r="C12" s="6" t="s">
        <v>2195</v>
      </c>
      <c r="D12" s="6" t="s">
        <v>129</v>
      </c>
      <c r="E12" s="6" t="s">
        <v>1953</v>
      </c>
      <c r="F12" s="6" t="s">
        <v>44</v>
      </c>
      <c r="G12" s="6">
        <v>1026273797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('5','MOT-005','MOTOCICLETA','ELÉCTRICO','EVOBIKE','ROJO','1026273797');</v>
      </c>
    </row>
  </sheetData>
  <autoFilter ref="A7:H12"/>
  <mergeCells count="1">
    <mergeCell ref="A3:F4"/>
  </mergeCells>
  <conditionalFormatting sqref="G8:G12 G7:H7">
    <cfRule type="duplicateValues" dxfId="14" priority="94"/>
  </conditionalFormatting>
  <conditionalFormatting sqref="B1:B1048576">
    <cfRule type="duplicateValues" dxfId="13" priority="95"/>
    <cfRule type="duplicateValues" dxfId="12" priority="96"/>
  </conditionalFormatting>
  <conditionalFormatting sqref="B8:B12">
    <cfRule type="duplicateValues" dxfId="11" priority="9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56"/>
  <sheetViews>
    <sheetView tabSelected="1" zoomScale="90" zoomScaleNormal="90" workbookViewId="0">
      <pane ySplit="7" topLeftCell="A8" activePane="bottomLeft" state="frozen"/>
      <selection pane="bottomLeft" activeCell="C26" sqref="C26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42" t="s">
        <v>2193</v>
      </c>
      <c r="B3" s="42"/>
      <c r="C3" s="42"/>
      <c r="D3" s="42"/>
      <c r="E3" s="42"/>
      <c r="F3" s="42"/>
    </row>
    <row r="4" spans="1:8" x14ac:dyDescent="0.25">
      <c r="A4" s="42"/>
      <c r="B4" s="42"/>
      <c r="C4" s="42"/>
      <c r="D4" s="42"/>
      <c r="E4" s="42"/>
      <c r="F4" s="42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41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2195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34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2195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2195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2195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2195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2195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2195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2195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2195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2195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2195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2195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4" si="2">ROW()-7</f>
        <v>66</v>
      </c>
      <c r="B73" s="6" t="s">
        <v>373</v>
      </c>
      <c r="C73" s="6" t="s">
        <v>2195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2195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435</v>
      </c>
      <c r="C82" s="6" t="s">
        <v>115</v>
      </c>
      <c r="D82" s="6" t="s">
        <v>17</v>
      </c>
      <c r="E82" s="6" t="s">
        <v>393</v>
      </c>
      <c r="F82" s="6" t="s">
        <v>44</v>
      </c>
      <c r="G82" s="6">
        <v>11350393</v>
      </c>
      <c r="H82" t="str">
        <f t="shared" si="3"/>
        <v>INSERT INTO `parqueadero`.`vehiculo` (`Oid`, `Placa`, `Medio`, `Tipo`, `Marca`, `Color`, `IdConductor`) VALUES ('75','AVF201','AUTOMÓVIL','COMBUSTIBLE','KIA RIO','ROJO','11350393');</v>
      </c>
    </row>
    <row r="83" spans="1:8" ht="14.4" x14ac:dyDescent="0.3">
      <c r="A83" s="5">
        <f t="shared" si="2"/>
        <v>76</v>
      </c>
      <c r="B83" s="17" t="s">
        <v>440</v>
      </c>
      <c r="C83" s="6" t="s">
        <v>143</v>
      </c>
      <c r="D83" s="17" t="s">
        <v>17</v>
      </c>
      <c r="E83" s="17" t="s">
        <v>439</v>
      </c>
      <c r="F83" s="17" t="s">
        <v>18</v>
      </c>
      <c r="G83" s="17">
        <v>81715332</v>
      </c>
      <c r="H83" t="str">
        <f t="shared" si="3"/>
        <v>INSERT INTO `parqueadero`.`vehiculo` (`Oid`, `Placa`, `Medio`, `Tipo`, `Marca`, `Color`, `IdConductor`) VALUES ('76','FPQ281','CAMIONETA','COMBUSTIBLE','NISSAN KICKS','AZUL','81715332');</v>
      </c>
    </row>
    <row r="84" spans="1:8" ht="14.4" x14ac:dyDescent="0.3">
      <c r="A84" s="5">
        <f t="shared" si="2"/>
        <v>77</v>
      </c>
      <c r="B84" s="6" t="s">
        <v>444</v>
      </c>
      <c r="C84" s="6" t="s">
        <v>143</v>
      </c>
      <c r="D84" s="6" t="s">
        <v>17</v>
      </c>
      <c r="E84" s="6" t="s">
        <v>443</v>
      </c>
      <c r="F84" s="6" t="s">
        <v>60</v>
      </c>
      <c r="G84" s="6">
        <v>4579016</v>
      </c>
      <c r="H84" t="str">
        <f t="shared" si="3"/>
        <v>INSERT INTO `parqueadero`.`vehiculo` (`Oid`, `Placa`, `Medio`, `Tipo`, `Marca`, `Color`, `IdConductor`) VALUES ('77','ELP818','CAMIONETA','COMBUSTIBLE','HONDA HR-V','GRIS','4579016');</v>
      </c>
    </row>
    <row r="85" spans="1:8" ht="14.4" x14ac:dyDescent="0.3">
      <c r="A85" s="5">
        <f t="shared" si="2"/>
        <v>78</v>
      </c>
      <c r="B85" s="6" t="s">
        <v>448</v>
      </c>
      <c r="C85" s="6" t="s">
        <v>143</v>
      </c>
      <c r="D85" s="6" t="s">
        <v>17</v>
      </c>
      <c r="E85" s="6" t="s">
        <v>447</v>
      </c>
      <c r="F85" s="6" t="s">
        <v>259</v>
      </c>
      <c r="G85" s="6">
        <v>52820550</v>
      </c>
      <c r="H85" t="str">
        <f t="shared" si="3"/>
        <v>INSERT INTO `parqueadero`.`vehiculo` (`Oid`, `Placa`, `Medio`, `Tipo`, `Marca`, `Color`, `IdConductor`) VALUES ('78','IVP630','CAMIONETA','COMBUSTIBLE','VOLKSWAGEN ','PLATEADO','52820550');</v>
      </c>
    </row>
    <row r="86" spans="1:8" ht="14.4" x14ac:dyDescent="0.3">
      <c r="A86" s="5">
        <f t="shared" si="2"/>
        <v>79</v>
      </c>
      <c r="B86" s="6" t="s">
        <v>453</v>
      </c>
      <c r="C86" s="6" t="s">
        <v>115</v>
      </c>
      <c r="D86" s="6" t="s">
        <v>17</v>
      </c>
      <c r="E86" s="6" t="s">
        <v>452</v>
      </c>
      <c r="F86" s="6" t="s">
        <v>146</v>
      </c>
      <c r="G86" s="6">
        <v>1026263191</v>
      </c>
      <c r="H86" t="str">
        <f t="shared" si="3"/>
        <v>INSERT INTO `parqueadero`.`vehiculo` (`Oid`, `Placa`, `Medio`, `Tipo`, `Marca`, `Color`, `IdConductor`) VALUES ('79','GBU698','AUTOMÓVIL','COMBUSTIBLE','KWID','BLANCO ','1026263191');</v>
      </c>
    </row>
    <row r="87" spans="1:8" ht="14.4" x14ac:dyDescent="0.3">
      <c r="A87" s="5">
        <f t="shared" si="2"/>
        <v>80</v>
      </c>
      <c r="B87" s="17" t="s">
        <v>457</v>
      </c>
      <c r="C87" s="6" t="s">
        <v>143</v>
      </c>
      <c r="D87" s="17" t="s">
        <v>17</v>
      </c>
      <c r="E87" s="17" t="s">
        <v>64</v>
      </c>
      <c r="F87" s="17" t="s">
        <v>66</v>
      </c>
      <c r="G87" s="17">
        <v>49606615</v>
      </c>
      <c r="H87" t="str">
        <f t="shared" si="3"/>
        <v>INSERT INTO `parqueadero`.`vehiculo` (`Oid`, `Placa`, `Medio`, `Tipo`, `Marca`, `Color`, `IdConductor`) VALUES ('80','NLV749','CAMIONETA','COMBUSTIBLE','TOYOTA','BLANCO','49606615');</v>
      </c>
    </row>
    <row r="88" spans="1:8" ht="14.4" x14ac:dyDescent="0.3">
      <c r="A88" s="5">
        <f t="shared" si="2"/>
        <v>81</v>
      </c>
      <c r="B88" s="17" t="s">
        <v>462</v>
      </c>
      <c r="C88" s="6" t="s">
        <v>115</v>
      </c>
      <c r="D88" s="17" t="s">
        <v>17</v>
      </c>
      <c r="E88" s="17" t="s">
        <v>461</v>
      </c>
      <c r="F88" s="17" t="s">
        <v>24</v>
      </c>
      <c r="G88" s="17">
        <v>1032405392</v>
      </c>
      <c r="H88" t="str">
        <f t="shared" si="3"/>
        <v>INSERT INTO `parqueadero`.`vehiculo` (`Oid`, `Placa`, `Medio`, `Tipo`, `Marca`, `Color`, `IdConductor`) VALUES ('81','RKY958','AUTOMÓVIL','COMBUSTIBLE','RENAULT FLUENCE','NEGRO','1032405392');</v>
      </c>
    </row>
    <row r="89" spans="1:8" ht="14.4" x14ac:dyDescent="0.3">
      <c r="A89" s="5">
        <f t="shared" si="2"/>
        <v>82</v>
      </c>
      <c r="B89" s="6" t="s">
        <v>466</v>
      </c>
      <c r="C89" s="6" t="s">
        <v>143</v>
      </c>
      <c r="D89" s="6" t="s">
        <v>17</v>
      </c>
      <c r="E89" s="6" t="s">
        <v>58</v>
      </c>
      <c r="F89" s="6" t="s">
        <v>467</v>
      </c>
      <c r="G89" s="6">
        <v>79620120</v>
      </c>
      <c r="H89" t="str">
        <f t="shared" si="3"/>
        <v>INSERT INTO `parqueadero`.`vehiculo` (`Oid`, `Placa`, `Medio`, `Tipo`, `Marca`, `Color`, `IdConductor`) VALUES ('82','DJO120','CAMIONETA','COMBUSTIBLE','CHEVROLET','ACERO','79620120');</v>
      </c>
    </row>
    <row r="90" spans="1:8" ht="14.4" x14ac:dyDescent="0.3">
      <c r="A90" s="5">
        <f t="shared" si="2"/>
        <v>83</v>
      </c>
      <c r="B90" s="6" t="s">
        <v>472</v>
      </c>
      <c r="C90" s="6" t="s">
        <v>115</v>
      </c>
      <c r="D90" s="6" t="s">
        <v>17</v>
      </c>
      <c r="E90" s="6" t="s">
        <v>471</v>
      </c>
      <c r="F90" s="6" t="s">
        <v>44</v>
      </c>
      <c r="G90" s="6">
        <v>53066202</v>
      </c>
      <c r="H90" t="str">
        <f t="shared" si="3"/>
        <v>INSERT INTO `parqueadero`.`vehiculo` (`Oid`, `Placa`, `Medio`, `Tipo`, `Marca`, `Color`, `IdConductor`) VALUES ('83','DZZ039','AUTOMÓVIL','COMBUSTIBLE','KIA PICANTO','ROJO','53066202');</v>
      </c>
    </row>
    <row r="91" spans="1:8" ht="14.4" x14ac:dyDescent="0.3">
      <c r="A91" s="5">
        <f t="shared" si="2"/>
        <v>84</v>
      </c>
      <c r="B91" s="6" t="s">
        <v>477</v>
      </c>
      <c r="C91" s="6" t="s">
        <v>143</v>
      </c>
      <c r="D91" s="6" t="s">
        <v>253</v>
      </c>
      <c r="E91" s="6" t="s">
        <v>476</v>
      </c>
      <c r="F91" s="6" t="s">
        <v>66</v>
      </c>
      <c r="G91" s="6">
        <v>79754530</v>
      </c>
      <c r="H91" t="str">
        <f t="shared" si="3"/>
        <v>INSERT INTO `parqueadero`.`vehiculo` (`Oid`, `Placa`, `Medio`, `Tipo`, `Marca`, `Color`, `IdConductor`) VALUES ('84','JRM107','CAMIONETA','HÍBRIDO','FORD ESCAPE','BLANCO','79754530');</v>
      </c>
    </row>
    <row r="92" spans="1:8" ht="14.4" x14ac:dyDescent="0.3">
      <c r="A92" s="5">
        <f t="shared" si="2"/>
        <v>85</v>
      </c>
      <c r="B92" s="6" t="s">
        <v>481</v>
      </c>
      <c r="C92" s="6" t="s">
        <v>143</v>
      </c>
      <c r="D92" s="6" t="s">
        <v>253</v>
      </c>
      <c r="E92" s="6" t="s">
        <v>363</v>
      </c>
      <c r="F92" s="6" t="s">
        <v>146</v>
      </c>
      <c r="G92" s="6">
        <v>53075545</v>
      </c>
      <c r="H92" t="str">
        <f t="shared" si="3"/>
        <v>INSERT INTO `parqueadero`.`vehiculo` (`Oid`, `Placa`, `Medio`, `Tipo`, `Marca`, `Color`, `IdConductor`) VALUES ('85','POT693','CAMIONETA','HÍBRIDO','SUSUKI','BLANCO ','53075545');</v>
      </c>
    </row>
    <row r="93" spans="1:8" ht="14.4" x14ac:dyDescent="0.3">
      <c r="A93" s="5">
        <f t="shared" si="2"/>
        <v>86</v>
      </c>
      <c r="B93" s="6" t="s">
        <v>486</v>
      </c>
      <c r="C93" s="6" t="s">
        <v>143</v>
      </c>
      <c r="D93" s="6" t="s">
        <v>253</v>
      </c>
      <c r="E93" s="6" t="s">
        <v>485</v>
      </c>
      <c r="F93" s="6" t="s">
        <v>487</v>
      </c>
      <c r="G93" s="6">
        <v>1026279388</v>
      </c>
      <c r="H93" t="str">
        <f t="shared" si="3"/>
        <v>INSERT INTO `parqueadero`.`vehiculo` (`Oid`, `Placa`, `Medio`, `Tipo`, `Marca`, `Color`, `IdConductor`) VALUES ('86','PHL863','CAMIONETA','HÍBRIDO','KIA SPORTAGE ','VERDE ','1026279388');</v>
      </c>
    </row>
    <row r="94" spans="1:8" ht="14.4" x14ac:dyDescent="0.3">
      <c r="A94" s="5">
        <f t="shared" si="2"/>
        <v>87</v>
      </c>
      <c r="B94" s="6" t="s">
        <v>492</v>
      </c>
      <c r="C94" s="6" t="s">
        <v>143</v>
      </c>
      <c r="D94" s="6" t="s">
        <v>17</v>
      </c>
      <c r="E94" s="6" t="s">
        <v>491</v>
      </c>
      <c r="F94" s="6" t="s">
        <v>259</v>
      </c>
      <c r="G94" s="6">
        <v>52355600</v>
      </c>
      <c r="H94" t="str">
        <f t="shared" si="3"/>
        <v>INSERT INTO `parqueadero`.`vehiculo` (`Oid`, `Placa`, `Medio`, `Tipo`, `Marca`, `Color`, `IdConductor`) VALUES ('87','JCX491','CAMIONETA','COMBUSTIBLE','RENAULT DUSTER','PLATEADO','52355600');</v>
      </c>
    </row>
    <row r="95" spans="1:8" ht="14.4" x14ac:dyDescent="0.3">
      <c r="A95" s="5">
        <f t="shared" si="2"/>
        <v>88</v>
      </c>
      <c r="B95" s="6" t="s">
        <v>496</v>
      </c>
      <c r="C95" s="6" t="s">
        <v>143</v>
      </c>
      <c r="D95" s="6" t="s">
        <v>17</v>
      </c>
      <c r="E95" s="6" t="s">
        <v>304</v>
      </c>
      <c r="F95" s="6" t="s">
        <v>66</v>
      </c>
      <c r="G95" s="6">
        <v>1010222054</v>
      </c>
      <c r="H95" t="str">
        <f t="shared" si="3"/>
        <v>INSERT INTO `parqueadero`.`vehiculo` (`Oid`, `Placa`, `Medio`, `Tipo`, `Marca`, `Color`, `IdConductor`) VALUES ('88','ELR761','CAMIONETA','COMBUSTIBLE','RENAULT','BLANCO','1010222054');</v>
      </c>
    </row>
    <row r="96" spans="1:8" ht="14.4" x14ac:dyDescent="0.3">
      <c r="A96" s="5">
        <f t="shared" si="2"/>
        <v>89</v>
      </c>
      <c r="B96" s="6" t="s">
        <v>502</v>
      </c>
      <c r="C96" s="6" t="s">
        <v>115</v>
      </c>
      <c r="D96" s="6" t="s">
        <v>17</v>
      </c>
      <c r="E96" s="6" t="s">
        <v>501</v>
      </c>
      <c r="F96" s="6" t="s">
        <v>259</v>
      </c>
      <c r="G96" s="6">
        <v>1022332783</v>
      </c>
      <c r="H96" t="str">
        <f t="shared" si="3"/>
        <v>INSERT INTO `parqueadero`.`vehiculo` (`Oid`, `Placa`, `Medio`, `Tipo`, `Marca`, `Color`, `IdConductor`) VALUES ('89','DCT374','AUTOMÓVIL','COMBUSTIBLE','NISSAN','PLATEADO','1022332783');</v>
      </c>
    </row>
    <row r="97" spans="1:8" ht="14.4" x14ac:dyDescent="0.3">
      <c r="A97" s="5">
        <f t="shared" si="2"/>
        <v>90</v>
      </c>
      <c r="B97" s="6" t="s">
        <v>507</v>
      </c>
      <c r="C97" s="6" t="s">
        <v>143</v>
      </c>
      <c r="D97" s="6" t="s">
        <v>17</v>
      </c>
      <c r="E97" s="6" t="s">
        <v>506</v>
      </c>
      <c r="F97" s="6" t="s">
        <v>24</v>
      </c>
      <c r="G97" s="6">
        <v>80723272</v>
      </c>
      <c r="H97" t="str">
        <f t="shared" si="3"/>
        <v>INSERT INTO `parqueadero`.`vehiculo` (`Oid`, `Placa`, `Medio`, `Tipo`, `Marca`, `Color`, `IdConductor`) VALUES ('90','JVS865','CAMIONETA','COMBUSTIBLE','VOLKSWAGEN TIGUAN','NEGRO','80723272');</v>
      </c>
    </row>
    <row r="98" spans="1:8" ht="14.4" x14ac:dyDescent="0.3">
      <c r="A98" s="5">
        <f t="shared" si="2"/>
        <v>91</v>
      </c>
      <c r="B98" s="6" t="s">
        <v>511</v>
      </c>
      <c r="C98" s="6" t="s">
        <v>143</v>
      </c>
      <c r="D98" s="6" t="s">
        <v>17</v>
      </c>
      <c r="E98" s="6" t="s">
        <v>56</v>
      </c>
      <c r="F98" s="6" t="s">
        <v>512</v>
      </c>
      <c r="G98" s="6">
        <v>52267468</v>
      </c>
      <c r="H98" t="str">
        <f t="shared" si="3"/>
        <v>INSERT INTO `parqueadero`.`vehiculo` (`Oid`, `Placa`, `Medio`, `Tipo`, `Marca`, `Color`, `IdConductor`) VALUES ('91','DDD459','CAMIONETA','COMBUSTIBLE','HONDA','COBRE','52267468');</v>
      </c>
    </row>
    <row r="99" spans="1:8" ht="14.4" x14ac:dyDescent="0.3">
      <c r="A99" s="5">
        <f t="shared" si="2"/>
        <v>92</v>
      </c>
      <c r="B99" s="6" t="s">
        <v>517</v>
      </c>
      <c r="C99" s="6" t="s">
        <v>2195</v>
      </c>
      <c r="D99" s="6" t="s">
        <v>17</v>
      </c>
      <c r="E99" s="6" t="s">
        <v>516</v>
      </c>
      <c r="F99" s="6" t="s">
        <v>177</v>
      </c>
      <c r="G99" s="6">
        <v>11204191</v>
      </c>
      <c r="H99" t="str">
        <f t="shared" si="3"/>
        <v>INSERT INTO `parqueadero`.`vehiculo` (`Oid`, `Placa`, `Medio`, `Tipo`, `Marca`, `Color`, `IdConductor`) VALUES ('92','OBG31E','MOTOCICLETA','COMBUSTIBLE','YAMAHA ','NEGRO ','11204191');</v>
      </c>
    </row>
    <row r="100" spans="1:8" ht="14.4" x14ac:dyDescent="0.3">
      <c r="A100" s="5">
        <f t="shared" si="2"/>
        <v>93</v>
      </c>
      <c r="B100" s="6" t="s">
        <v>521</v>
      </c>
      <c r="C100" s="6" t="s">
        <v>115</v>
      </c>
      <c r="D100" s="6" t="s">
        <v>17</v>
      </c>
      <c r="E100" s="6" t="s">
        <v>304</v>
      </c>
      <c r="F100" s="6" t="s">
        <v>24</v>
      </c>
      <c r="G100" s="6">
        <v>52096386</v>
      </c>
      <c r="H100" t="str">
        <f t="shared" si="3"/>
        <v>INSERT INTO `parqueadero`.`vehiculo` (`Oid`, `Placa`, `Medio`, `Tipo`, `Marca`, `Color`, `IdConductor`) VALUES ('93','RMM055','AUTOMÓVIL','COMBUSTIBLE','RENAULT','NEGRO','52096386');</v>
      </c>
    </row>
    <row r="101" spans="1:8" ht="14.4" x14ac:dyDescent="0.3">
      <c r="A101" s="5">
        <f t="shared" si="2"/>
        <v>94</v>
      </c>
      <c r="B101" s="6" t="s">
        <v>525</v>
      </c>
      <c r="C101" s="6" t="s">
        <v>143</v>
      </c>
      <c r="D101" s="6" t="s">
        <v>17</v>
      </c>
      <c r="E101" s="6" t="s">
        <v>524</v>
      </c>
      <c r="F101" s="6" t="s">
        <v>526</v>
      </c>
      <c r="G101" s="6">
        <v>396645660</v>
      </c>
      <c r="H101" t="str">
        <f t="shared" si="3"/>
        <v>INSERT INTO `parqueadero`.`vehiculo` (`Oid`, `Placa`, `Medio`, `Tipo`, `Marca`, `Color`, `IdConductor`) VALUES ('94','KPK172','CAMIONETA','COMBUSTIBLE','MAZDA ','GRIS OSCURO ','396645660');</v>
      </c>
    </row>
    <row r="102" spans="1:8" ht="14.4" x14ac:dyDescent="0.3">
      <c r="A102" s="5">
        <f t="shared" si="2"/>
        <v>95</v>
      </c>
      <c r="B102" s="6" t="s">
        <v>530</v>
      </c>
      <c r="C102" s="6" t="s">
        <v>143</v>
      </c>
      <c r="D102" s="6" t="s">
        <v>17</v>
      </c>
      <c r="E102" s="6" t="s">
        <v>304</v>
      </c>
      <c r="F102" s="6" t="s">
        <v>134</v>
      </c>
      <c r="G102" s="6">
        <v>1023867746</v>
      </c>
      <c r="H102" t="str">
        <f t="shared" si="3"/>
        <v>INSERT INTO `parqueadero`.`vehiculo` (`Oid`, `Placa`, `Medio`, `Tipo`, `Marca`, `Color`, `IdConductor`) VALUES ('95','JNO190','CAMIONETA','COMBUSTIBLE','RENAULT','GRIS ','1023867746');</v>
      </c>
    </row>
    <row r="103" spans="1:8" ht="14.4" x14ac:dyDescent="0.3">
      <c r="A103" s="5">
        <f t="shared" si="2"/>
        <v>96</v>
      </c>
      <c r="B103" s="6" t="s">
        <v>534</v>
      </c>
      <c r="C103" s="6" t="s">
        <v>115</v>
      </c>
      <c r="D103" s="6" t="s">
        <v>17</v>
      </c>
      <c r="E103" s="6" t="s">
        <v>75</v>
      </c>
      <c r="F103" s="6" t="s">
        <v>166</v>
      </c>
      <c r="G103" s="6">
        <v>79844430</v>
      </c>
      <c r="H103" t="str">
        <f t="shared" si="3"/>
        <v>INSERT INTO `parqueadero`.`vehiculo` (`Oid`, `Placa`, `Medio`, `Tipo`, `Marca`, `Color`, `IdConductor`) VALUES ('96','DZV347','AUTOMÓVIL','COMBUSTIBLE','MAZDA','GRIS OSCURO','79844430');</v>
      </c>
    </row>
    <row r="104" spans="1:8" ht="14.4" x14ac:dyDescent="0.3">
      <c r="A104" s="5">
        <f t="shared" si="2"/>
        <v>97</v>
      </c>
      <c r="B104" s="6" t="s">
        <v>538</v>
      </c>
      <c r="C104" s="6" t="s">
        <v>115</v>
      </c>
      <c r="D104" s="6" t="s">
        <v>17</v>
      </c>
      <c r="E104" s="6" t="s">
        <v>320</v>
      </c>
      <c r="F104" s="6" t="s">
        <v>18</v>
      </c>
      <c r="G104" s="6">
        <v>50939844</v>
      </c>
      <c r="H104" t="str">
        <f t="shared" si="3"/>
        <v>INSERT INTO `parqueadero`.`vehiculo` (`Oid`, `Placa`, `Medio`, `Tipo`, `Marca`, `Color`, `IdConductor`) VALUES ('97','DBI304','AUTOMÓVIL','COMBUSTIBLE','AUDI','AZUL','50939844');</v>
      </c>
    </row>
    <row r="105" spans="1:8" ht="14.4" x14ac:dyDescent="0.3">
      <c r="A105" s="5">
        <f t="shared" si="2"/>
        <v>98</v>
      </c>
      <c r="B105" s="17" t="s">
        <v>542</v>
      </c>
      <c r="C105" s="6" t="s">
        <v>115</v>
      </c>
      <c r="D105" s="17" t="s">
        <v>17</v>
      </c>
      <c r="E105" s="17" t="s">
        <v>202</v>
      </c>
      <c r="F105" s="17" t="s">
        <v>66</v>
      </c>
      <c r="G105" s="17">
        <v>1020834737</v>
      </c>
      <c r="H105" t="str">
        <f t="shared" si="3"/>
        <v>INSERT INTO `parqueadero`.`vehiculo` (`Oid`, `Placa`, `Medio`, `Tipo`, `Marca`, `Color`, `IdConductor`) VALUES ('98','JNQ616','AUTOMÓVIL','COMBUSTIBLE','VOLKSWAGEN','BLANCO','1020834737');</v>
      </c>
    </row>
    <row r="106" spans="1:8" ht="14.4" x14ac:dyDescent="0.3">
      <c r="A106" s="5">
        <f t="shared" si="2"/>
        <v>99</v>
      </c>
      <c r="B106" s="17" t="s">
        <v>546</v>
      </c>
      <c r="C106" s="6" t="s">
        <v>115</v>
      </c>
      <c r="D106" s="17" t="s">
        <v>17</v>
      </c>
      <c r="E106" s="17" t="s">
        <v>501</v>
      </c>
      <c r="F106" s="17" t="s">
        <v>60</v>
      </c>
      <c r="G106" s="17">
        <v>13741047</v>
      </c>
      <c r="H106" t="str">
        <f t="shared" si="3"/>
        <v>INSERT INTO `parqueadero`.`vehiculo` (`Oid`, `Placa`, `Medio`, `Tipo`, `Marca`, `Color`, `IdConductor`) VALUES ('99','JBN324','AUTOMÓVIL','COMBUSTIBLE','NISSAN','GRIS','13741047');</v>
      </c>
    </row>
    <row r="107" spans="1:8" ht="14.4" x14ac:dyDescent="0.3">
      <c r="A107" s="5">
        <f t="shared" si="2"/>
        <v>100</v>
      </c>
      <c r="B107" s="6" t="s">
        <v>555</v>
      </c>
      <c r="C107" s="6" t="s">
        <v>115</v>
      </c>
      <c r="D107" s="6" t="s">
        <v>17</v>
      </c>
      <c r="E107" s="6" t="s">
        <v>294</v>
      </c>
      <c r="F107" s="6" t="s">
        <v>60</v>
      </c>
      <c r="G107" s="6">
        <v>52715205</v>
      </c>
      <c r="H107" t="str">
        <f t="shared" si="3"/>
        <v>INSERT INTO `parqueadero`.`vehiculo` (`Oid`, `Placa`, `Medio`, `Tipo`, `Marca`, `Color`, `IdConductor`) VALUES ('100','JDV193','AUTOMÓVIL','COMBUSTIBLE','FORD','GRIS','52715205');</v>
      </c>
    </row>
    <row r="108" spans="1:8" ht="14.4" x14ac:dyDescent="0.3">
      <c r="A108" s="5">
        <f t="shared" si="2"/>
        <v>101</v>
      </c>
      <c r="B108" s="6" t="s">
        <v>560</v>
      </c>
      <c r="C108" s="6" t="s">
        <v>143</v>
      </c>
      <c r="D108" s="6" t="s">
        <v>17</v>
      </c>
      <c r="E108" s="6" t="s">
        <v>559</v>
      </c>
      <c r="F108" s="6" t="s">
        <v>60</v>
      </c>
      <c r="G108" s="6">
        <v>30393634</v>
      </c>
      <c r="H108" t="str">
        <f t="shared" si="3"/>
        <v>INSERT INTO `parqueadero`.`vehiculo` (`Oid`, `Placa`, `Medio`, `Tipo`, `Marca`, `Color`, `IdConductor`) VALUES ('101','JNK827','CAMIONETA','COMBUSTIBLE','CHEVROLET  TRACKER','GRIS','30393634');</v>
      </c>
    </row>
    <row r="109" spans="1:8" ht="14.4" x14ac:dyDescent="0.3">
      <c r="A109" s="5">
        <f t="shared" si="2"/>
        <v>102</v>
      </c>
      <c r="B109" s="6" t="s">
        <v>564</v>
      </c>
      <c r="C109" s="6" t="s">
        <v>115</v>
      </c>
      <c r="D109" s="6" t="s">
        <v>17</v>
      </c>
      <c r="E109" s="6" t="s">
        <v>524</v>
      </c>
      <c r="F109" s="6" t="s">
        <v>259</v>
      </c>
      <c r="G109" s="6">
        <v>79950133</v>
      </c>
      <c r="H109" t="str">
        <f t="shared" si="3"/>
        <v>INSERT INTO `parqueadero`.`vehiculo` (`Oid`, `Placa`, `Medio`, `Tipo`, `Marca`, `Color`, `IdConductor`) VALUES ('102','BYR110','AUTOMÓVIL','COMBUSTIBLE','MAZDA ','PLATEADO','79950133');</v>
      </c>
    </row>
    <row r="110" spans="1:8" ht="14.4" x14ac:dyDescent="0.3">
      <c r="A110" s="5">
        <f t="shared" si="2"/>
        <v>103</v>
      </c>
      <c r="B110" s="6" t="s">
        <v>569</v>
      </c>
      <c r="C110" s="6" t="s">
        <v>143</v>
      </c>
      <c r="D110" s="6" t="s">
        <v>17</v>
      </c>
      <c r="E110" s="6" t="s">
        <v>568</v>
      </c>
      <c r="F110" s="6" t="s">
        <v>570</v>
      </c>
      <c r="G110" s="6">
        <v>1030589207</v>
      </c>
      <c r="H110" t="str">
        <f t="shared" si="3"/>
        <v>INSERT INTO `parqueadero`.`vehiculo` (`Oid`, `Placa`, `Medio`, `Tipo`, `Marca`, `Color`, `IdConductor`) VALUES ('103','LNP411','CAMIONETA','COMBUSTIBLE','VOLKSWAGEN TCROSS','AZUL ','1030589207');</v>
      </c>
    </row>
    <row r="111" spans="1:8" ht="14.4" x14ac:dyDescent="0.3">
      <c r="A111" s="5">
        <f t="shared" si="2"/>
        <v>104</v>
      </c>
      <c r="B111" s="6" t="s">
        <v>573</v>
      </c>
      <c r="C111" s="6" t="s">
        <v>2195</v>
      </c>
      <c r="D111" s="6" t="s">
        <v>17</v>
      </c>
      <c r="E111" s="6" t="s">
        <v>516</v>
      </c>
      <c r="F111" s="6" t="s">
        <v>570</v>
      </c>
      <c r="G111" s="6">
        <v>1019060772</v>
      </c>
      <c r="H111" t="str">
        <f t="shared" si="3"/>
        <v>INSERT INTO `parqueadero`.`vehiculo` (`Oid`, `Placa`, `Medio`, `Tipo`, `Marca`, `Color`, `IdConductor`) VALUES ('104','EHM75F','MOTOCICLETA','COMBUSTIBLE','YAMAHA ','AZUL ','1019060772');</v>
      </c>
    </row>
    <row r="112" spans="1:8" ht="14.4" x14ac:dyDescent="0.3">
      <c r="A112" s="5">
        <f t="shared" si="2"/>
        <v>105</v>
      </c>
      <c r="B112" s="6" t="s">
        <v>577</v>
      </c>
      <c r="C112" s="6" t="s">
        <v>115</v>
      </c>
      <c r="D112" s="6" t="s">
        <v>129</v>
      </c>
      <c r="E112" s="6" t="s">
        <v>22</v>
      </c>
      <c r="F112" s="6" t="s">
        <v>578</v>
      </c>
      <c r="G112" s="6">
        <v>79938373</v>
      </c>
      <c r="H112" t="str">
        <f t="shared" si="3"/>
        <v>INSERT INTO `parqueadero`.`vehiculo` (`Oid`, `Placa`, `Medio`, `Tipo`, `Marca`, `Color`, `IdConductor`) VALUES ('105','NIU313','AUTOMÓVIL','ELÉCTRICO','BYD','GRIS CHAMPAÑA','79938373');</v>
      </c>
    </row>
    <row r="113" spans="1:8" ht="14.4" x14ac:dyDescent="0.3">
      <c r="A113" s="5">
        <f t="shared" si="2"/>
        <v>106</v>
      </c>
      <c r="B113" s="17" t="s">
        <v>583</v>
      </c>
      <c r="C113" s="6" t="s">
        <v>2195</v>
      </c>
      <c r="D113" s="17" t="s">
        <v>17</v>
      </c>
      <c r="E113" s="17" t="s">
        <v>582</v>
      </c>
      <c r="F113" s="17" t="s">
        <v>44</v>
      </c>
      <c r="G113" s="17">
        <v>85203798</v>
      </c>
      <c r="H113" t="str">
        <f t="shared" si="3"/>
        <v>INSERT INTO `parqueadero`.`vehiculo` (`Oid`, `Placa`, `Medio`, `Tipo`, `Marca`, `Color`, `IdConductor`) VALUES ('106','BHT12C','MOTOCICLETA','COMBUSTIBLE','HONDA ','ROJO','85203798');</v>
      </c>
    </row>
    <row r="114" spans="1:8" ht="14.4" x14ac:dyDescent="0.3">
      <c r="A114" s="5">
        <f t="shared" si="2"/>
        <v>107</v>
      </c>
      <c r="B114" s="17" t="s">
        <v>588</v>
      </c>
      <c r="C114" s="6" t="s">
        <v>143</v>
      </c>
      <c r="D114" s="17" t="s">
        <v>17</v>
      </c>
      <c r="E114" s="17" t="s">
        <v>164</v>
      </c>
      <c r="F114" s="17" t="s">
        <v>589</v>
      </c>
      <c r="G114" s="17">
        <v>1001090013</v>
      </c>
      <c r="H114" t="str">
        <f t="shared" si="3"/>
        <v>INSERT INTO `parqueadero`.`vehiculo` (`Oid`, `Placa`, `Medio`, `Tipo`, `Marca`, `Color`, `IdConductor`) VALUES ('107','UBZ404','CAMIONETA','COMBUSTIBLE','KIA','GRIS OBSCURO','1001090013');</v>
      </c>
    </row>
    <row r="115" spans="1:8" ht="14.4" x14ac:dyDescent="0.3">
      <c r="A115" s="5">
        <f t="shared" si="2"/>
        <v>108</v>
      </c>
      <c r="B115" s="6" t="s">
        <v>593</v>
      </c>
      <c r="C115" s="6" t="s">
        <v>143</v>
      </c>
      <c r="D115" s="6" t="s">
        <v>17</v>
      </c>
      <c r="E115" s="6" t="s">
        <v>294</v>
      </c>
      <c r="F115" s="6" t="s">
        <v>66</v>
      </c>
      <c r="G115" s="6">
        <v>1049616323</v>
      </c>
      <c r="H115" t="str">
        <f t="shared" si="3"/>
        <v>INSERT INTO `parqueadero`.`vehiculo` (`Oid`, `Placa`, `Medio`, `Tipo`, `Marca`, `Color`, `IdConductor`) VALUES ('108','DAX652','CAMIONETA','COMBUSTIBLE','FORD','BLANCO','1049616323');</v>
      </c>
    </row>
    <row r="116" spans="1:8" ht="14.4" x14ac:dyDescent="0.3">
      <c r="A116" s="5">
        <f t="shared" si="2"/>
        <v>109</v>
      </c>
      <c r="B116" s="6" t="s">
        <v>597</v>
      </c>
      <c r="C116" s="6" t="s">
        <v>115</v>
      </c>
      <c r="D116" s="6" t="s">
        <v>253</v>
      </c>
      <c r="E116" s="6" t="s">
        <v>64</v>
      </c>
      <c r="F116" s="6" t="s">
        <v>66</v>
      </c>
      <c r="G116" s="6">
        <v>1015461189</v>
      </c>
      <c r="H116" t="str">
        <f t="shared" si="3"/>
        <v>INSERT INTO `parqueadero`.`vehiculo` (`Oid`, `Placa`, `Medio`, `Tipo`, `Marca`, `Color`, `IdConductor`) VALUES ('109','JVT391','AUTOMÓVIL','HÍBRIDO','TOYOTA','BLANCO','1015461189');</v>
      </c>
    </row>
    <row r="117" spans="1:8" ht="14.4" x14ac:dyDescent="0.3">
      <c r="A117" s="5">
        <f t="shared" si="2"/>
        <v>110</v>
      </c>
      <c r="B117" s="6" t="s">
        <v>601</v>
      </c>
      <c r="C117" s="6" t="s">
        <v>115</v>
      </c>
      <c r="D117" s="6" t="s">
        <v>253</v>
      </c>
      <c r="E117" s="6" t="s">
        <v>75</v>
      </c>
      <c r="F117" s="6" t="s">
        <v>602</v>
      </c>
      <c r="G117" s="6">
        <v>1032400206</v>
      </c>
      <c r="H117" t="str">
        <f t="shared" si="3"/>
        <v>INSERT INTO `parqueadero`.`vehiculo` (`Oid`, `Placa`, `Medio`, `Tipo`, `Marca`, `Color`, `IdConductor`) VALUES ('110','PCU762','AUTOMÓVIL','HÍBRIDO','MAZDA','GRIS AERO','1032400206');</v>
      </c>
    </row>
    <row r="118" spans="1:8" ht="14.4" x14ac:dyDescent="0.3">
      <c r="A118" s="5">
        <f t="shared" si="2"/>
        <v>111</v>
      </c>
      <c r="B118" s="17" t="s">
        <v>607</v>
      </c>
      <c r="C118" s="6" t="s">
        <v>2195</v>
      </c>
      <c r="D118" s="17" t="s">
        <v>17</v>
      </c>
      <c r="E118" s="17" t="s">
        <v>606</v>
      </c>
      <c r="F118" s="17" t="s">
        <v>608</v>
      </c>
      <c r="G118" s="17">
        <v>80505613</v>
      </c>
      <c r="H118" t="str">
        <f t="shared" si="3"/>
        <v>INSERT INTO `parqueadero`.`vehiculo` (`Oid`, `Placa`, `Medio`, `Tipo`, `Marca`, `Color`, `IdConductor`) VALUES ('111','KJJ76G','MOTOCICLETA','COMBUSTIBLE','ROYAL ENFIEL SCRAM','GRIS, NEGRO AZUL','80505613');</v>
      </c>
    </row>
    <row r="119" spans="1:8" ht="14.4" x14ac:dyDescent="0.3">
      <c r="A119" s="5">
        <f t="shared" si="2"/>
        <v>112</v>
      </c>
      <c r="B119" s="6" t="s">
        <v>612</v>
      </c>
      <c r="C119" s="6" t="s">
        <v>115</v>
      </c>
      <c r="D119" s="6" t="s">
        <v>17</v>
      </c>
      <c r="E119" s="6" t="s">
        <v>116</v>
      </c>
      <c r="F119" s="6" t="s">
        <v>66</v>
      </c>
      <c r="G119" s="6">
        <v>1015444843</v>
      </c>
      <c r="H119" t="str">
        <f t="shared" si="3"/>
        <v>INSERT INTO `parqueadero`.`vehiculo` (`Oid`, `Placa`, `Medio`, `Tipo`, `Marca`, `Color`, `IdConductor`) VALUES ('112','UTQ561','AUTOMÓVIL','COMBUSTIBLE','HYUNDAI','BLANCO','1015444843');</v>
      </c>
    </row>
    <row r="120" spans="1:8" ht="14.4" x14ac:dyDescent="0.3">
      <c r="A120" s="5">
        <f t="shared" si="2"/>
        <v>113</v>
      </c>
      <c r="B120" s="6" t="s">
        <v>617</v>
      </c>
      <c r="C120" s="6" t="s">
        <v>115</v>
      </c>
      <c r="D120" s="6" t="s">
        <v>253</v>
      </c>
      <c r="E120" s="6" t="s">
        <v>616</v>
      </c>
      <c r="F120" s="6" t="s">
        <v>618</v>
      </c>
      <c r="G120" s="6">
        <v>39698825</v>
      </c>
      <c r="H120" t="str">
        <f t="shared" si="3"/>
        <v>INSERT INTO `parqueadero`.`vehiculo` (`Oid`, `Placa`, `Medio`, `Tipo`, `Marca`, `Color`, `IdConductor`) VALUES ('113','KWZ109','AUTOMÓVIL','HÍBRIDO','SUZUKI ','ROJO NEGRO ','39698825');</v>
      </c>
    </row>
    <row r="121" spans="1:8" ht="14.4" x14ac:dyDescent="0.3">
      <c r="A121" s="5">
        <f t="shared" si="2"/>
        <v>114</v>
      </c>
      <c r="B121" s="6" t="s">
        <v>621</v>
      </c>
      <c r="C121" s="6" t="s">
        <v>143</v>
      </c>
      <c r="D121" s="6" t="s">
        <v>253</v>
      </c>
      <c r="E121" s="6" t="s">
        <v>64</v>
      </c>
      <c r="F121" s="6" t="s">
        <v>18</v>
      </c>
      <c r="G121" s="6">
        <v>53047446</v>
      </c>
      <c r="H121" t="str">
        <f t="shared" si="3"/>
        <v>INSERT INTO `parqueadero`.`vehiculo` (`Oid`, `Placa`, `Medio`, `Tipo`, `Marca`, `Color`, `IdConductor`) VALUES ('114','KXR481','CAMIONETA','HÍBRIDO','TOYOTA','AZUL','53047446');</v>
      </c>
    </row>
    <row r="122" spans="1:8" ht="14.4" x14ac:dyDescent="0.3">
      <c r="A122" s="5">
        <f t="shared" si="2"/>
        <v>115</v>
      </c>
      <c r="B122" s="6" t="s">
        <v>625</v>
      </c>
      <c r="C122" s="6" t="s">
        <v>2195</v>
      </c>
      <c r="D122" s="6" t="s">
        <v>17</v>
      </c>
      <c r="E122" s="6" t="s">
        <v>276</v>
      </c>
      <c r="F122" s="6" t="s">
        <v>157</v>
      </c>
      <c r="G122" s="6">
        <v>1019104675</v>
      </c>
      <c r="H122" t="str">
        <f t="shared" si="3"/>
        <v>INSERT INTO `parqueadero`.`vehiculo` (`Oid`, `Placa`, `Medio`, `Tipo`, `Marca`, `Color`, `IdConductor`) VALUES ('115','SCX09F','MOTOCICLETA','COMBUSTIBLE','SUZUKI','NEGRA','1019104675');</v>
      </c>
    </row>
    <row r="123" spans="1:8" ht="14.4" x14ac:dyDescent="0.3">
      <c r="A123" s="5">
        <f t="shared" si="2"/>
        <v>116</v>
      </c>
      <c r="B123" s="6" t="s">
        <v>629</v>
      </c>
      <c r="C123" s="6" t="s">
        <v>115</v>
      </c>
      <c r="D123" s="6" t="s">
        <v>17</v>
      </c>
      <c r="E123" s="6" t="s">
        <v>75</v>
      </c>
      <c r="F123" s="6" t="s">
        <v>630</v>
      </c>
      <c r="G123" s="6">
        <v>19325842</v>
      </c>
      <c r="H123" t="str">
        <f t="shared" si="3"/>
        <v>INSERT INTO `parqueadero`.`vehiculo` (`Oid`, `Placa`, `Medio`, `Tipo`, `Marca`, `Color`, `IdConductor`) VALUES ('116','CSF967','AUTOMÓVIL','COMBUSTIBLE','MAZDA','ROJO CONTINENTAL','19325842');</v>
      </c>
    </row>
    <row r="124" spans="1:8" ht="14.4" x14ac:dyDescent="0.3">
      <c r="A124" s="5">
        <f t="shared" si="2"/>
        <v>117</v>
      </c>
      <c r="B124" s="6" t="s">
        <v>634</v>
      </c>
      <c r="C124" s="6" t="s">
        <v>143</v>
      </c>
      <c r="D124" s="6" t="s">
        <v>253</v>
      </c>
      <c r="E124" s="6" t="s">
        <v>116</v>
      </c>
      <c r="F124" s="6" t="s">
        <v>146</v>
      </c>
      <c r="G124" s="6">
        <v>1031156687</v>
      </c>
      <c r="H124" t="str">
        <f t="shared" si="3"/>
        <v>INSERT INTO `parqueadero`.`vehiculo` (`Oid`, `Placa`, `Medio`, `Tipo`, `Marca`, `Color`, `IdConductor`) VALUES ('117','PCM045','CAMIONETA','HÍBRIDO','HYUNDAI','BLANCO ','1031156687');</v>
      </c>
    </row>
    <row r="125" spans="1:8" ht="14.4" x14ac:dyDescent="0.3">
      <c r="A125" s="5">
        <f t="shared" si="2"/>
        <v>118</v>
      </c>
      <c r="B125" s="17" t="s">
        <v>639</v>
      </c>
      <c r="C125" s="6" t="s">
        <v>143</v>
      </c>
      <c r="D125" s="6" t="s">
        <v>253</v>
      </c>
      <c r="E125" s="17" t="s">
        <v>638</v>
      </c>
      <c r="F125" s="17" t="s">
        <v>259</v>
      </c>
      <c r="G125" s="17">
        <v>52453674</v>
      </c>
      <c r="H125" t="str">
        <f t="shared" si="3"/>
        <v>INSERT INTO `parqueadero`.`vehiculo` (`Oid`, `Placa`, `Medio`, `Tipo`, `Marca`, `Color`, `IdConductor`) VALUES ('118','LWM872','CAMIONETA','HÍBRIDO','TOYOTA CROSS ','PLATEADO','52453674');</v>
      </c>
    </row>
    <row r="126" spans="1:8" ht="14.4" x14ac:dyDescent="0.3">
      <c r="A126" s="5">
        <f t="shared" si="2"/>
        <v>119</v>
      </c>
      <c r="B126" s="6" t="s">
        <v>643</v>
      </c>
      <c r="C126" s="6" t="s">
        <v>2195</v>
      </c>
      <c r="D126" s="6" t="s">
        <v>17</v>
      </c>
      <c r="E126" s="6" t="s">
        <v>175</v>
      </c>
      <c r="F126" s="6" t="s">
        <v>60</v>
      </c>
      <c r="G126" s="6">
        <v>1023943099</v>
      </c>
      <c r="H126" t="str">
        <f t="shared" si="3"/>
        <v>INSERT INTO `parqueadero`.`vehiculo` (`Oid`, `Placa`, `Medio`, `Tipo`, `Marca`, `Color`, `IdConductor`) VALUES ('119','MYL89H','MOTOCICLETA','COMBUSTIBLE','AKT','GRIS','1023943099');</v>
      </c>
    </row>
    <row r="127" spans="1:8" ht="14.4" x14ac:dyDescent="0.3">
      <c r="A127" s="5">
        <f t="shared" si="2"/>
        <v>120</v>
      </c>
      <c r="B127" s="6" t="s">
        <v>647</v>
      </c>
      <c r="C127" s="6" t="s">
        <v>143</v>
      </c>
      <c r="D127" s="6" t="s">
        <v>17</v>
      </c>
      <c r="E127" s="6" t="s">
        <v>276</v>
      </c>
      <c r="F127" s="6" t="s">
        <v>146</v>
      </c>
      <c r="G127" s="6">
        <v>1020833621</v>
      </c>
      <c r="H127" t="str">
        <f t="shared" si="3"/>
        <v>INSERT INTO `parqueadero`.`vehiculo` (`Oid`, `Placa`, `Medio`, `Tipo`, `Marca`, `Color`, `IdConductor`) VALUES ('120','LMZ504','CAMIONETA','COMBUSTIBLE','SUZUKI','BLANCO ','1020833621');</v>
      </c>
    </row>
    <row r="128" spans="1:8" ht="14.4" x14ac:dyDescent="0.3">
      <c r="A128" s="5">
        <f t="shared" si="2"/>
        <v>121</v>
      </c>
      <c r="B128" s="6" t="s">
        <v>652</v>
      </c>
      <c r="C128" s="6" t="s">
        <v>115</v>
      </c>
      <c r="D128" s="6" t="s">
        <v>17</v>
      </c>
      <c r="E128" s="6" t="s">
        <v>651</v>
      </c>
      <c r="F128" s="6" t="s">
        <v>653</v>
      </c>
      <c r="G128" s="6">
        <v>1032464919</v>
      </c>
      <c r="H128" t="str">
        <f t="shared" si="3"/>
        <v>INSERT INTO `parqueadero`.`vehiculo` (`Oid`, `Placa`, `Medio`, `Tipo`, `Marca`, `Color`, `IdConductor`) VALUES ('121','MJW540','AUTOMÓVIL','COMBUSTIBLE','RENAULT SANDERO ','VINOTINTO','1032464919');</v>
      </c>
    </row>
    <row r="129" spans="1:8" ht="14.4" x14ac:dyDescent="0.3">
      <c r="A129" s="5">
        <f t="shared" si="2"/>
        <v>122</v>
      </c>
      <c r="B129" s="6" t="s">
        <v>658</v>
      </c>
      <c r="C129" s="6" t="s">
        <v>143</v>
      </c>
      <c r="D129" s="6" t="s">
        <v>17</v>
      </c>
      <c r="E129" s="6" t="s">
        <v>657</v>
      </c>
      <c r="F129" s="6" t="s">
        <v>60</v>
      </c>
      <c r="G129" s="6">
        <v>1070306077</v>
      </c>
      <c r="H129" t="str">
        <f t="shared" si="3"/>
        <v>INSERT INTO `parqueadero`.`vehiculo` (`Oid`, `Placa`, `Medio`, `Tipo`, `Marca`, `Color`, `IdConductor`) VALUES ('122','LWM992','CAMIONETA','COMBUSTIBLE','MITSUBISHI ','GRIS','1070306077');</v>
      </c>
    </row>
    <row r="130" spans="1:8" ht="14.4" x14ac:dyDescent="0.3">
      <c r="A130" s="5">
        <f t="shared" si="2"/>
        <v>123</v>
      </c>
      <c r="B130" s="6" t="s">
        <v>666</v>
      </c>
      <c r="C130" s="6" t="s">
        <v>115</v>
      </c>
      <c r="D130" s="6" t="s">
        <v>17</v>
      </c>
      <c r="E130" s="6" t="s">
        <v>116</v>
      </c>
      <c r="F130" s="6" t="s">
        <v>60</v>
      </c>
      <c r="G130" s="6">
        <v>1019023084</v>
      </c>
      <c r="H130" t="str">
        <f t="shared" si="3"/>
        <v>INSERT INTO `parqueadero`.`vehiculo` (`Oid`, `Placa`, `Medio`, `Tipo`, `Marca`, `Color`, `IdConductor`) VALUES ('123','KYZ718','AUTOMÓVIL','COMBUSTIBLE','HYUNDAI','GRIS','1019023084');</v>
      </c>
    </row>
    <row r="131" spans="1:8" ht="14.4" x14ac:dyDescent="0.3">
      <c r="A131" s="5">
        <f t="shared" si="2"/>
        <v>124</v>
      </c>
      <c r="B131" s="6" t="s">
        <v>671</v>
      </c>
      <c r="C131" s="6" t="s">
        <v>2195</v>
      </c>
      <c r="D131" s="6" t="s">
        <v>17</v>
      </c>
      <c r="E131" s="6" t="s">
        <v>670</v>
      </c>
      <c r="F131" s="6" t="s">
        <v>672</v>
      </c>
      <c r="G131" s="6">
        <v>1022356860</v>
      </c>
      <c r="H131" t="str">
        <f t="shared" si="3"/>
        <v>INSERT INTO `parqueadero`.`vehiculo` (`Oid`, `Placa`, `Medio`, `Tipo`, `Marca`, `Color`, `IdConductor`) VALUES ('124','FUA84H','MOTOCICLETA','COMBUSTIBLE','TRIUMPH','GRIS NARANJA ','1022356860');</v>
      </c>
    </row>
    <row r="132" spans="1:8" ht="14.4" x14ac:dyDescent="0.3">
      <c r="A132" s="5">
        <f t="shared" si="2"/>
        <v>125</v>
      </c>
      <c r="B132" s="6" t="s">
        <v>677</v>
      </c>
      <c r="C132" s="6" t="s">
        <v>115</v>
      </c>
      <c r="D132" s="6" t="s">
        <v>253</v>
      </c>
      <c r="E132" s="6" t="s">
        <v>676</v>
      </c>
      <c r="F132" s="6" t="s">
        <v>60</v>
      </c>
      <c r="G132" s="6">
        <v>51974917</v>
      </c>
      <c r="H132" t="str">
        <f t="shared" si="3"/>
        <v>INSERT INTO `parqueadero`.`vehiculo` (`Oid`, `Placa`, `Medio`, `Tipo`, `Marca`, `Color`, `IdConductor`) VALUES ('125','KXQ945','AUTOMÓVIL','HÍBRIDO','SWIFT ','GRIS','51974917');</v>
      </c>
    </row>
    <row r="133" spans="1:8" ht="14.4" x14ac:dyDescent="0.3">
      <c r="A133" s="5">
        <f t="shared" si="2"/>
        <v>126</v>
      </c>
      <c r="B133" s="6" t="s">
        <v>682</v>
      </c>
      <c r="C133" s="6" t="s">
        <v>115</v>
      </c>
      <c r="D133" s="6" t="s">
        <v>17</v>
      </c>
      <c r="E133" s="6" t="s">
        <v>681</v>
      </c>
      <c r="F133" s="6" t="s">
        <v>683</v>
      </c>
      <c r="G133" s="6">
        <v>1233895766</v>
      </c>
      <c r="H133" t="str">
        <f t="shared" si="3"/>
        <v>INSERT INTO `parqueadero`.`vehiculo` (`Oid`, `Placa`, `Medio`, `Tipo`, `Marca`, `Color`, `IdConductor`) VALUES ('126','JLK455','AUTOMÓVIL','COMBUSTIBLE','MAZDA 2','GRIS MACHINE','1233895766');</v>
      </c>
    </row>
    <row r="134" spans="1:8" ht="14.4" x14ac:dyDescent="0.3">
      <c r="A134" s="5">
        <f t="shared" si="2"/>
        <v>127</v>
      </c>
      <c r="B134" s="6" t="s">
        <v>687</v>
      </c>
      <c r="C134" s="6" t="s">
        <v>115</v>
      </c>
      <c r="D134" s="6" t="s">
        <v>17</v>
      </c>
      <c r="E134" s="6" t="s">
        <v>337</v>
      </c>
      <c r="F134" s="6" t="s">
        <v>248</v>
      </c>
      <c r="G134" s="6">
        <v>10288931</v>
      </c>
      <c r="H134" t="str">
        <f t="shared" si="3"/>
        <v>INSERT INTO `parqueadero`.`vehiculo` (`Oid`, `Placa`, `Medio`, `Tipo`, `Marca`, `Color`, `IdConductor`) VALUES ('127','JDN117','AUTOMÓVIL','COMBUSTIBLE','MERCEDES BENZ','GRIS PLATA','10288931');</v>
      </c>
    </row>
    <row r="135" spans="1:8" ht="14.4" x14ac:dyDescent="0.3">
      <c r="A135" s="5">
        <f t="shared" ref="A135:A197" si="4">ROW()-7</f>
        <v>128</v>
      </c>
      <c r="B135" s="6" t="s">
        <v>692</v>
      </c>
      <c r="C135" s="6" t="s">
        <v>115</v>
      </c>
      <c r="D135" s="6" t="s">
        <v>17</v>
      </c>
      <c r="E135" s="6" t="s">
        <v>691</v>
      </c>
      <c r="F135" s="6" t="s">
        <v>693</v>
      </c>
      <c r="G135" s="6">
        <v>228042</v>
      </c>
      <c r="H135" t="str">
        <f t="shared" si="3"/>
        <v>INSERT INTO `parqueadero`.`vehiculo` (`Oid`, `Placa`, `Medio`, `Tipo`, `Marca`, `Color`, `IdConductor`) VALUES ('128','CYT553','AUTOMÓVIL','COMBUSTIBLE','RENAULT SCENIC','GRIS ECLIPSE','228042');</v>
      </c>
    </row>
    <row r="136" spans="1:8" ht="14.4" x14ac:dyDescent="0.3">
      <c r="A136" s="5">
        <f t="shared" si="4"/>
        <v>129</v>
      </c>
      <c r="B136" s="6" t="s">
        <v>697</v>
      </c>
      <c r="C136" s="6" t="s">
        <v>143</v>
      </c>
      <c r="D136" s="6" t="s">
        <v>17</v>
      </c>
      <c r="E136" s="6" t="s">
        <v>696</v>
      </c>
      <c r="F136" s="6" t="s">
        <v>60</v>
      </c>
      <c r="G136" s="6">
        <v>7217591</v>
      </c>
      <c r="H136" t="str">
        <f t="shared" si="3"/>
        <v>INSERT INTO `parqueadero`.`vehiculo` (`Oid`, `Placa`, `Medio`, `Tipo`, `Marca`, `Color`, `IdConductor`) VALUES ('129','HSQ116','CAMIONETA','COMBUSTIBLE','SUZUKI GRAN VITARA','GRIS','7217591');</v>
      </c>
    </row>
    <row r="137" spans="1:8" ht="14.4" x14ac:dyDescent="0.3">
      <c r="A137" s="5">
        <f t="shared" si="4"/>
        <v>130</v>
      </c>
      <c r="B137" s="6" t="s">
        <v>702</v>
      </c>
      <c r="C137" s="6" t="s">
        <v>2195</v>
      </c>
      <c r="D137" s="6" t="s">
        <v>17</v>
      </c>
      <c r="E137" s="6" t="s">
        <v>701</v>
      </c>
      <c r="F137" s="6" t="s">
        <v>703</v>
      </c>
      <c r="G137" s="6">
        <v>80154998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('130','ODK66E','MOTOCICLETA','COMBUSTIBLE','YAMAHA','GRIS Y NEGRO','80154998');</v>
      </c>
    </row>
    <row r="138" spans="1:8" ht="14.4" x14ac:dyDescent="0.3">
      <c r="A138" s="5">
        <f t="shared" si="4"/>
        <v>131</v>
      </c>
      <c r="B138" s="6" t="s">
        <v>707</v>
      </c>
      <c r="C138" s="6" t="s">
        <v>143</v>
      </c>
      <c r="D138" s="6" t="s">
        <v>17</v>
      </c>
      <c r="E138" s="6" t="s">
        <v>398</v>
      </c>
      <c r="F138" s="6" t="s">
        <v>708</v>
      </c>
      <c r="G138" s="6">
        <v>51769687</v>
      </c>
      <c r="H138" t="str">
        <f t="shared" si="5"/>
        <v>INSERT INTO `parqueadero`.`vehiculo` (`Oid`, `Placa`, `Medio`, `Tipo`, `Marca`, `Color`, `IdConductor`) VALUES ('131','HIU615','CAMIONETA','COMBUSTIBLE','RENAULT ','GRIS COMET','51769687');</v>
      </c>
    </row>
    <row r="139" spans="1:8" ht="14.4" x14ac:dyDescent="0.3">
      <c r="A139" s="5">
        <f t="shared" si="4"/>
        <v>132</v>
      </c>
      <c r="B139" s="6" t="s">
        <v>713</v>
      </c>
      <c r="C139" s="6" t="s">
        <v>143</v>
      </c>
      <c r="D139" s="6" t="s">
        <v>17</v>
      </c>
      <c r="E139" s="6" t="s">
        <v>712</v>
      </c>
      <c r="F139" s="6" t="s">
        <v>339</v>
      </c>
      <c r="G139" s="6">
        <v>1024496377</v>
      </c>
      <c r="H139" t="str">
        <f t="shared" si="5"/>
        <v>INSERT INTO `parqueadero`.`vehiculo` (`Oid`, `Placa`, `Medio`, `Tipo`, `Marca`, `Color`, `IdConductor`) VALUES ('132','NDX070','CAMIONETA','COMBUSTIBLE','FORD SCAPE ','GRIS PLATA ','1024496377');</v>
      </c>
    </row>
    <row r="140" spans="1:8" ht="14.4" x14ac:dyDescent="0.3">
      <c r="A140" s="5">
        <f t="shared" si="4"/>
        <v>133</v>
      </c>
      <c r="B140" s="17" t="s">
        <v>717</v>
      </c>
      <c r="C140" s="6" t="s">
        <v>2195</v>
      </c>
      <c r="D140" s="17" t="s">
        <v>17</v>
      </c>
      <c r="E140" s="17" t="s">
        <v>56</v>
      </c>
      <c r="F140" s="17" t="s">
        <v>166</v>
      </c>
      <c r="G140" s="17">
        <v>1012330327</v>
      </c>
      <c r="H140" t="str">
        <f t="shared" si="5"/>
        <v>INSERT INTO `parqueadero`.`vehiculo` (`Oid`, `Placa`, `Medio`, `Tipo`, `Marca`, `Color`, `IdConductor`) VALUES ('133','ZAD20G','MOTOCICLETA','COMBUSTIBLE','HONDA','GRIS OSCURO','1012330327');</v>
      </c>
    </row>
    <row r="141" spans="1:8" ht="14.4" x14ac:dyDescent="0.3">
      <c r="A141" s="5">
        <f t="shared" si="4"/>
        <v>134</v>
      </c>
      <c r="B141" s="6" t="s">
        <v>720</v>
      </c>
      <c r="C141" s="6" t="s">
        <v>115</v>
      </c>
      <c r="D141" s="6" t="s">
        <v>17</v>
      </c>
      <c r="E141" s="6" t="s">
        <v>144</v>
      </c>
      <c r="F141" s="6" t="s">
        <v>60</v>
      </c>
      <c r="G141" s="6">
        <v>11204730</v>
      </c>
      <c r="H141" t="str">
        <f t="shared" si="5"/>
        <v>INSERT INTO `parqueadero`.`vehiculo` (`Oid`, `Placa`, `Medio`, `Tipo`, `Marca`, `Color`, `IdConductor`) VALUES ('134','HJN091','AUTOMÓVIL','COMBUSTIBLE','FORD ','GRIS','11204730');</v>
      </c>
    </row>
    <row r="142" spans="1:8" ht="14.4" x14ac:dyDescent="0.3">
      <c r="A142" s="5">
        <f t="shared" si="4"/>
        <v>135</v>
      </c>
      <c r="B142" s="6" t="s">
        <v>724</v>
      </c>
      <c r="C142" s="6" t="s">
        <v>143</v>
      </c>
      <c r="D142" s="6" t="s">
        <v>17</v>
      </c>
      <c r="E142" s="6" t="s">
        <v>524</v>
      </c>
      <c r="F142" s="6" t="s">
        <v>725</v>
      </c>
      <c r="G142" s="6">
        <v>5710812</v>
      </c>
      <c r="H142" t="str">
        <f t="shared" si="5"/>
        <v>INSERT INTO `parqueadero`.`vehiculo` (`Oid`, `Placa`, `Medio`, `Tipo`, `Marca`, `Color`, `IdConductor`) VALUES ('135','GFN340','CAMIONETA','COMBUSTIBLE','MAZDA ','ROJO ','5710812');</v>
      </c>
    </row>
    <row r="143" spans="1:8" ht="14.4" x14ac:dyDescent="0.3">
      <c r="A143" s="5">
        <f t="shared" si="4"/>
        <v>136</v>
      </c>
      <c r="B143" s="6" t="s">
        <v>729</v>
      </c>
      <c r="C143" s="6" t="s">
        <v>115</v>
      </c>
      <c r="D143" s="6" t="s">
        <v>17</v>
      </c>
      <c r="E143" s="6" t="s">
        <v>164</v>
      </c>
      <c r="F143" s="6" t="s">
        <v>60</v>
      </c>
      <c r="G143" s="6">
        <v>52777129</v>
      </c>
      <c r="H143" t="str">
        <f t="shared" si="5"/>
        <v>INSERT INTO `parqueadero`.`vehiculo` (`Oid`, `Placa`, `Medio`, `Tipo`, `Marca`, `Color`, `IdConductor`) VALUES ('136','FOO895','AUTOMÓVIL','COMBUSTIBLE','KIA','GRIS','52777129');</v>
      </c>
    </row>
    <row r="144" spans="1:8" ht="14.4" x14ac:dyDescent="0.3">
      <c r="A144" s="5">
        <f t="shared" si="4"/>
        <v>137</v>
      </c>
      <c r="B144" s="6" t="s">
        <v>733</v>
      </c>
      <c r="C144" s="6" t="s">
        <v>2195</v>
      </c>
      <c r="D144" s="6" t="s">
        <v>17</v>
      </c>
      <c r="E144" s="6" t="s">
        <v>56</v>
      </c>
      <c r="F144" s="6" t="s">
        <v>734</v>
      </c>
      <c r="G144" s="6">
        <v>1019132150</v>
      </c>
      <c r="H144" t="str">
        <f t="shared" si="5"/>
        <v>INSERT INTO `parqueadero`.`vehiculo` (`Oid`, `Placa`, `Medio`, `Tipo`, `Marca`, `Color`, `IdConductor`) VALUES ('137','SCP49F','MOTOCICLETA','COMBUSTIBLE','HONDA','AZUL CLARO','1019132150');</v>
      </c>
    </row>
    <row r="145" spans="1:8" ht="14.4" x14ac:dyDescent="0.3">
      <c r="A145" s="5">
        <f t="shared" si="4"/>
        <v>138</v>
      </c>
      <c r="B145" s="6" t="s">
        <v>738</v>
      </c>
      <c r="C145" s="6" t="s">
        <v>115</v>
      </c>
      <c r="D145" s="6" t="s">
        <v>17</v>
      </c>
      <c r="E145" s="6" t="s">
        <v>196</v>
      </c>
      <c r="F145" s="6" t="s">
        <v>24</v>
      </c>
      <c r="G145" s="6">
        <v>79328182</v>
      </c>
      <c r="H145" t="str">
        <f t="shared" si="5"/>
        <v>INSERT INTO `parqueadero`.`vehiculo` (`Oid`, `Placa`, `Medio`, `Tipo`, `Marca`, `Color`, `IdConductor`) VALUES ('138','JDZ500','AUTOMÓVIL','COMBUSTIBLE','NISSAN VERSA','NEGRO','79328182');</v>
      </c>
    </row>
    <row r="146" spans="1:8" ht="14.4" x14ac:dyDescent="0.3">
      <c r="A146" s="5">
        <f t="shared" si="4"/>
        <v>139</v>
      </c>
      <c r="B146" s="6" t="s">
        <v>744</v>
      </c>
      <c r="C146" s="6" t="s">
        <v>115</v>
      </c>
      <c r="D146" s="6" t="s">
        <v>17</v>
      </c>
      <c r="E146" s="6" t="s">
        <v>743</v>
      </c>
      <c r="F146" s="6" t="s">
        <v>44</v>
      </c>
      <c r="G146" s="6">
        <v>51940883</v>
      </c>
      <c r="H146" t="str">
        <f t="shared" si="5"/>
        <v>INSERT INTO `parqueadero`.`vehiculo` (`Oid`, `Placa`, `Medio`, `Tipo`, `Marca`, `Color`, `IdConductor`) VALUES ('139','FNQ384','AUTOMÓVIL','COMBUSTIBLE','VOLSWAGEN','ROJO','51940883');</v>
      </c>
    </row>
    <row r="147" spans="1:8" ht="14.4" x14ac:dyDescent="0.3">
      <c r="A147" s="5">
        <f t="shared" si="4"/>
        <v>140</v>
      </c>
      <c r="B147" s="6" t="s">
        <v>748</v>
      </c>
      <c r="C147" s="6" t="s">
        <v>115</v>
      </c>
      <c r="D147" s="6" t="s">
        <v>253</v>
      </c>
      <c r="E147" s="6" t="s">
        <v>348</v>
      </c>
      <c r="F147" s="6" t="s">
        <v>146</v>
      </c>
      <c r="G147" s="6">
        <v>67023991</v>
      </c>
      <c r="H147" t="str">
        <f t="shared" si="5"/>
        <v>INSERT INTO `parqueadero`.`vehiculo` (`Oid`, `Placa`, `Medio`, `Tipo`, `Marca`, `Color`, `IdConductor`) VALUES ('140','JMV160','AUTOMÓVIL','HÍBRIDO','TOYOTA ','BLANCO ','67023991');</v>
      </c>
    </row>
    <row r="148" spans="1:8" ht="14.4" x14ac:dyDescent="0.3">
      <c r="A148" s="5">
        <f t="shared" si="4"/>
        <v>141</v>
      </c>
      <c r="B148" s="6" t="s">
        <v>752</v>
      </c>
      <c r="C148" s="6" t="s">
        <v>143</v>
      </c>
      <c r="D148" s="6" t="s">
        <v>17</v>
      </c>
      <c r="E148" s="6" t="s">
        <v>751</v>
      </c>
      <c r="F148" s="6" t="s">
        <v>248</v>
      </c>
      <c r="G148" s="6">
        <v>11433116</v>
      </c>
      <c r="H148" t="str">
        <f t="shared" si="5"/>
        <v>INSERT INTO `parqueadero`.`vehiculo` (`Oid`, `Placa`, `Medio`, `Tipo`, `Marca`, `Color`, `IdConductor`) VALUES ('141','RMZ758','CAMIONETA','COMBUSTIBLE','DODGE JOURNEY','GRIS PLATA','11433116');</v>
      </c>
    </row>
    <row r="149" spans="1:8" ht="14.4" x14ac:dyDescent="0.3">
      <c r="A149" s="5">
        <f t="shared" si="4"/>
        <v>142</v>
      </c>
      <c r="B149" s="6" t="s">
        <v>755</v>
      </c>
      <c r="C149" s="6" t="s">
        <v>2195</v>
      </c>
      <c r="D149" s="6" t="s">
        <v>17</v>
      </c>
      <c r="E149" s="6" t="s">
        <v>754</v>
      </c>
      <c r="F149" s="6" t="s">
        <v>24</v>
      </c>
      <c r="G149" s="6">
        <v>91495511</v>
      </c>
      <c r="H149" t="str">
        <f t="shared" si="5"/>
        <v>INSERT INTO `parqueadero`.`vehiculo` (`Oid`, `Placa`, `Medio`, `Tipo`, `Marca`, `Color`, `IdConductor`) VALUES ('142','DIP89H','MOTOCICLETA','COMBUSTIBLE','BENELLI','NEGRO','91495511');</v>
      </c>
    </row>
    <row r="150" spans="1:8" ht="14.4" x14ac:dyDescent="0.3">
      <c r="A150" s="5">
        <f t="shared" si="4"/>
        <v>143</v>
      </c>
      <c r="B150" s="6" t="s">
        <v>759</v>
      </c>
      <c r="C150" s="6" t="s">
        <v>143</v>
      </c>
      <c r="D150" s="6" t="s">
        <v>253</v>
      </c>
      <c r="E150" s="6" t="s">
        <v>408</v>
      </c>
      <c r="F150" s="6" t="s">
        <v>60</v>
      </c>
      <c r="G150" s="6">
        <v>79908099</v>
      </c>
      <c r="H150" t="str">
        <f t="shared" si="5"/>
        <v>INSERT INTO `parqueadero`.`vehiculo` (`Oid`, `Placa`, `Medio`, `Tipo`, `Marca`, `Color`, `IdConductor`) VALUES ('143','KPM490','CAMIONETA','HÍBRIDO','WOLKSWAGEN','GRIS','79908099');</v>
      </c>
    </row>
    <row r="151" spans="1:8" ht="14.4" x14ac:dyDescent="0.3">
      <c r="A151" s="5">
        <f t="shared" si="4"/>
        <v>144</v>
      </c>
      <c r="B151" s="6" t="s">
        <v>763</v>
      </c>
      <c r="C151" s="6" t="s">
        <v>143</v>
      </c>
      <c r="D151" s="6" t="s">
        <v>17</v>
      </c>
      <c r="E151" s="6" t="s">
        <v>64</v>
      </c>
      <c r="F151" s="6" t="s">
        <v>66</v>
      </c>
      <c r="G151" s="6">
        <v>80543468</v>
      </c>
      <c r="H151" t="str">
        <f t="shared" si="5"/>
        <v>INSERT INTO `parqueadero`.`vehiculo` (`Oid`, `Placa`, `Medio`, `Tipo`, `Marca`, `Color`, `IdConductor`) VALUES ('144','JJP900','CAMIONETA','COMBUSTIBLE','TOYOTA','BLANCO','80543468');</v>
      </c>
    </row>
    <row r="152" spans="1:8" ht="14.4" x14ac:dyDescent="0.3">
      <c r="A152" s="5">
        <f t="shared" si="4"/>
        <v>145</v>
      </c>
      <c r="B152" s="6" t="s">
        <v>767</v>
      </c>
      <c r="C152" s="6" t="s">
        <v>115</v>
      </c>
      <c r="D152" s="6" t="s">
        <v>17</v>
      </c>
      <c r="E152" s="6" t="s">
        <v>616</v>
      </c>
      <c r="F152" s="6" t="s">
        <v>146</v>
      </c>
      <c r="G152" s="6">
        <v>1010206263</v>
      </c>
      <c r="H152" t="str">
        <f t="shared" si="5"/>
        <v>INSERT INTO `parqueadero`.`vehiculo` (`Oid`, `Placa`, `Medio`, `Tipo`, `Marca`, `Color`, `IdConductor`) VALUES ('145','MRZ989','AUTOMÓVIL','COMBUSTIBLE','SUZUKI ','BLANCO ','1010206263');</v>
      </c>
    </row>
    <row r="153" spans="1:8" ht="14.4" x14ac:dyDescent="0.3">
      <c r="A153" s="5">
        <f t="shared" si="4"/>
        <v>146</v>
      </c>
      <c r="B153" s="6" t="s">
        <v>772</v>
      </c>
      <c r="C153" s="6" t="s">
        <v>143</v>
      </c>
      <c r="D153" s="6" t="s">
        <v>17</v>
      </c>
      <c r="E153" s="6" t="s">
        <v>771</v>
      </c>
      <c r="F153" s="6" t="s">
        <v>773</v>
      </c>
      <c r="G153" s="6">
        <v>1020722791</v>
      </c>
      <c r="H153" t="str">
        <f t="shared" si="5"/>
        <v>INSERT INTO `parqueadero`.`vehiculo` (`Oid`, `Placa`, `Medio`, `Tipo`, `Marca`, `Color`, `IdConductor`) VALUES ('146','NOM978','CAMIONETA','COMBUSTIBLE','CITROEN C3','GRIS GRAFITO','1020722791');</v>
      </c>
    </row>
    <row r="154" spans="1:8" ht="14.4" x14ac:dyDescent="0.3">
      <c r="A154" s="5">
        <f t="shared" si="4"/>
        <v>147</v>
      </c>
      <c r="B154" s="6" t="s">
        <v>778</v>
      </c>
      <c r="C154" s="6" t="s">
        <v>143</v>
      </c>
      <c r="D154" s="6" t="s">
        <v>17</v>
      </c>
      <c r="E154" s="6" t="s">
        <v>777</v>
      </c>
      <c r="F154" s="6" t="s">
        <v>725</v>
      </c>
      <c r="G154" s="6">
        <v>1026568929</v>
      </c>
      <c r="H154" t="str">
        <f t="shared" si="5"/>
        <v>INSERT INTO `parqueadero`.`vehiculo` (`Oid`, `Placa`, `Medio`, `Tipo`, `Marca`, `Color`, `IdConductor`) VALUES ('147','FXY022','CAMIONETA','COMBUSTIBLE','KIA SPORTAGE','ROJO ','1026568929');</v>
      </c>
    </row>
    <row r="155" spans="1:8" ht="14.4" x14ac:dyDescent="0.3">
      <c r="A155" s="5">
        <f t="shared" si="4"/>
        <v>148</v>
      </c>
      <c r="B155" s="6" t="s">
        <v>782</v>
      </c>
      <c r="C155" s="6" t="s">
        <v>115</v>
      </c>
      <c r="D155" s="6" t="s">
        <v>17</v>
      </c>
      <c r="E155" s="6" t="s">
        <v>781</v>
      </c>
      <c r="F155" s="6" t="s">
        <v>66</v>
      </c>
      <c r="G155" s="6">
        <v>80121497</v>
      </c>
      <c r="H155" t="str">
        <f t="shared" si="5"/>
        <v>INSERT INTO `parqueadero`.`vehiculo` (`Oid`, `Placa`, `Medio`, `Tipo`, `Marca`, `Color`, `IdConductor`) VALUES ('148','URX028','AUTOMÓVIL','COMBUSTIBLE','CHEVROLET SONIC','BLANCO','80121497');</v>
      </c>
    </row>
    <row r="156" spans="1:8" ht="14.4" x14ac:dyDescent="0.3">
      <c r="A156" s="5">
        <f t="shared" si="4"/>
        <v>149</v>
      </c>
      <c r="B156" s="17" t="s">
        <v>786</v>
      </c>
      <c r="C156" s="6" t="s">
        <v>143</v>
      </c>
      <c r="D156" s="17" t="s">
        <v>17</v>
      </c>
      <c r="E156" s="17" t="s">
        <v>58</v>
      </c>
      <c r="F156" s="17" t="s">
        <v>52</v>
      </c>
      <c r="G156" s="17">
        <v>1020716220</v>
      </c>
      <c r="H156" t="str">
        <f t="shared" si="5"/>
        <v>INSERT INTO `parqueadero`.`vehiculo` (`Oid`, `Placa`, `Medio`, `Tipo`, `Marca`, `Color`, `IdConductor`) VALUES ('149','LMQ898','CAMIONETA','COMBUSTIBLE','CHEVROLET','PLATA','1020716220');</v>
      </c>
    </row>
    <row r="157" spans="1:8" ht="14.4" x14ac:dyDescent="0.3">
      <c r="A157" s="5">
        <f t="shared" si="4"/>
        <v>150</v>
      </c>
      <c r="B157" s="6" t="s">
        <v>791</v>
      </c>
      <c r="C157" s="6" t="s">
        <v>143</v>
      </c>
      <c r="D157" s="6" t="s">
        <v>17</v>
      </c>
      <c r="E157" s="6" t="s">
        <v>790</v>
      </c>
      <c r="F157" s="6" t="s">
        <v>66</v>
      </c>
      <c r="G157" s="6">
        <v>80766953</v>
      </c>
      <c r="H157" t="str">
        <f t="shared" si="5"/>
        <v>INSERT INTO `parqueadero`.`vehiculo` (`Oid`, `Placa`, `Medio`, `Tipo`, `Marca`, `Color`, `IdConductor`) VALUES ('150','NJX700','CAMIONETA','COMBUSTIBLE','CHEVROLETE TRACKER','BLANCO','80766953');</v>
      </c>
    </row>
    <row r="158" spans="1:8" ht="14.4" x14ac:dyDescent="0.3">
      <c r="A158" s="5">
        <f t="shared" si="4"/>
        <v>151</v>
      </c>
      <c r="B158" s="6" t="s">
        <v>796</v>
      </c>
      <c r="C158" s="6" t="s">
        <v>2195</v>
      </c>
      <c r="D158" s="6" t="s">
        <v>17</v>
      </c>
      <c r="E158" s="6" t="s">
        <v>795</v>
      </c>
      <c r="F158" s="6" t="s">
        <v>797</v>
      </c>
      <c r="G158" s="6">
        <v>80060504</v>
      </c>
      <c r="H158" t="str">
        <f t="shared" si="5"/>
        <v>INSERT INTO `parqueadero`.`vehiculo` (`Oid`, `Placa`, `Medio`, `Tipo`, `Marca`, `Color`, `IdConductor`) VALUES ('151','DCL80E','MOTOCICLETA','COMBUSTIBLE','DISCOVER','ROJO - NEGRO','80060504');</v>
      </c>
    </row>
    <row r="159" spans="1:8" ht="14.4" x14ac:dyDescent="0.3">
      <c r="A159" s="5">
        <f t="shared" si="4"/>
        <v>152</v>
      </c>
      <c r="B159" s="6" t="s">
        <v>801</v>
      </c>
      <c r="C159" s="6" t="s">
        <v>115</v>
      </c>
      <c r="D159" s="6" t="s">
        <v>17</v>
      </c>
      <c r="E159" s="6" t="s">
        <v>164</v>
      </c>
      <c r="F159" s="6" t="s">
        <v>60</v>
      </c>
      <c r="G159" s="6">
        <v>5770982</v>
      </c>
      <c r="H159" t="str">
        <f t="shared" si="5"/>
        <v>INSERT INTO `parqueadero`.`vehiculo` (`Oid`, `Placa`, `Medio`, `Tipo`, `Marca`, `Color`, `IdConductor`) VALUES ('152','JLQ291','AUTOMÓVIL','COMBUSTIBLE','KIA','GRIS','5770982');</v>
      </c>
    </row>
    <row r="160" spans="1:8" ht="14.4" x14ac:dyDescent="0.3">
      <c r="A160" s="5">
        <f t="shared" si="4"/>
        <v>153</v>
      </c>
      <c r="B160" s="17" t="s">
        <v>806</v>
      </c>
      <c r="C160" s="6" t="s">
        <v>2195</v>
      </c>
      <c r="D160" s="17" t="s">
        <v>17</v>
      </c>
      <c r="E160" s="17" t="s">
        <v>805</v>
      </c>
      <c r="F160" s="17" t="s">
        <v>24</v>
      </c>
      <c r="G160" s="17">
        <v>52494966</v>
      </c>
      <c r="H160" t="str">
        <f t="shared" si="5"/>
        <v>INSERT INTO `parqueadero`.`vehiculo` (`Oid`, `Placa`, `Medio`, `Tipo`, `Marca`, `Color`, `IdConductor`) VALUES ('153','RPK84E','MOTOCICLETA','COMBUSTIBLE','KYMCO','NEGRO','52494966');</v>
      </c>
    </row>
    <row r="161" spans="1:8" ht="14.4" x14ac:dyDescent="0.3">
      <c r="A161" s="5">
        <f t="shared" si="4"/>
        <v>154</v>
      </c>
      <c r="B161" s="6" t="s">
        <v>811</v>
      </c>
      <c r="C161" s="6" t="s">
        <v>143</v>
      </c>
      <c r="D161" s="6" t="s">
        <v>253</v>
      </c>
      <c r="E161" s="6" t="s">
        <v>810</v>
      </c>
      <c r="F161" s="6" t="s">
        <v>166</v>
      </c>
      <c r="G161" s="6">
        <v>28483877</v>
      </c>
      <c r="H161" t="str">
        <f t="shared" si="5"/>
        <v>INSERT INTO `parqueadero`.`vehiculo` (`Oid`, `Placa`, `Medio`, `Tipo`, `Marca`, `Color`, `IdConductor`) VALUES ('154','NJZ832','CAMIONETA','HÍBRIDO','AUDI Q5','GRIS OSCURO','28483877');</v>
      </c>
    </row>
    <row r="162" spans="1:8" ht="14.4" x14ac:dyDescent="0.3">
      <c r="A162" s="5">
        <f t="shared" si="4"/>
        <v>155</v>
      </c>
      <c r="B162" s="6" t="s">
        <v>818</v>
      </c>
      <c r="C162" s="6" t="s">
        <v>143</v>
      </c>
      <c r="D162" s="6" t="s">
        <v>17</v>
      </c>
      <c r="E162" s="6" t="s">
        <v>337</v>
      </c>
      <c r="F162" s="6" t="s">
        <v>60</v>
      </c>
      <c r="G162" s="6">
        <v>1026271116</v>
      </c>
      <c r="H162" t="str">
        <f t="shared" si="5"/>
        <v>INSERT INTO `parqueadero`.`vehiculo` (`Oid`, `Placa`, `Medio`, `Tipo`, `Marca`, `Color`, `IdConductor`) VALUES ('155','INK096','CAMIONETA','COMBUSTIBLE','MERCEDES BENZ','GRIS','1026271116');</v>
      </c>
    </row>
    <row r="163" spans="1:8" ht="14.4" x14ac:dyDescent="0.3">
      <c r="A163" s="5">
        <f t="shared" si="4"/>
        <v>156</v>
      </c>
      <c r="B163" s="17" t="s">
        <v>822</v>
      </c>
      <c r="C163" s="6" t="s">
        <v>115</v>
      </c>
      <c r="D163" s="17" t="s">
        <v>17</v>
      </c>
      <c r="E163" s="17" t="s">
        <v>681</v>
      </c>
      <c r="F163" s="17" t="s">
        <v>66</v>
      </c>
      <c r="G163" s="17">
        <v>1121869677</v>
      </c>
      <c r="H163" t="str">
        <f t="shared" si="5"/>
        <v>INSERT INTO `parqueadero`.`vehiculo` (`Oid`, `Placa`, `Medio`, `Tipo`, `Marca`, `Color`, `IdConductor`) VALUES ('156','NBW294','AUTOMÓVIL','COMBUSTIBLE','MAZDA 2','BLANCO','1121869677');</v>
      </c>
    </row>
    <row r="164" spans="1:8" ht="14.4" x14ac:dyDescent="0.3">
      <c r="A164" s="5">
        <f t="shared" si="4"/>
        <v>157</v>
      </c>
      <c r="B164" s="6" t="s">
        <v>826</v>
      </c>
      <c r="C164" s="6" t="s">
        <v>143</v>
      </c>
      <c r="D164" s="6" t="s">
        <v>253</v>
      </c>
      <c r="E164" s="6" t="s">
        <v>75</v>
      </c>
      <c r="F164" s="6" t="s">
        <v>44</v>
      </c>
      <c r="G164" s="6">
        <v>1020731626</v>
      </c>
      <c r="H164" t="str">
        <f t="shared" si="5"/>
        <v>INSERT INTO `parqueadero`.`vehiculo` (`Oid`, `Placa`, `Medio`, `Tipo`, `Marca`, `Color`, `IdConductor`) VALUES ('157','PZV518','CAMIONETA','HÍBRIDO','MAZDA','ROJO','1020731626');</v>
      </c>
    </row>
    <row r="165" spans="1:8" ht="14.4" x14ac:dyDescent="0.3">
      <c r="A165" s="5">
        <f t="shared" si="4"/>
        <v>158</v>
      </c>
      <c r="B165" s="6" t="s">
        <v>831</v>
      </c>
      <c r="C165" s="6" t="s">
        <v>143</v>
      </c>
      <c r="D165" s="6" t="s">
        <v>17</v>
      </c>
      <c r="E165" s="6" t="s">
        <v>830</v>
      </c>
      <c r="F165" s="6" t="s">
        <v>44</v>
      </c>
      <c r="G165" s="6">
        <v>52907657</v>
      </c>
      <c r="H165" t="str">
        <f t="shared" si="5"/>
        <v>INSERT INTO `parqueadero`.`vehiculo` (`Oid`, `Placa`, `Medio`, `Tipo`, `Marca`, `Color`, `IdConductor`) VALUES ('158','DQO942','CAMIONETA','COMBUSTIBLE','JEEP','ROJO','52907657');</v>
      </c>
    </row>
    <row r="166" spans="1:8" ht="14.4" x14ac:dyDescent="0.3">
      <c r="A166" s="5">
        <f t="shared" si="4"/>
        <v>159</v>
      </c>
      <c r="B166" s="6" t="s">
        <v>835</v>
      </c>
      <c r="C166" s="6" t="s">
        <v>2195</v>
      </c>
      <c r="D166" s="6" t="s">
        <v>17</v>
      </c>
      <c r="E166" s="6" t="s">
        <v>701</v>
      </c>
      <c r="F166" s="6" t="s">
        <v>24</v>
      </c>
      <c r="G166" s="6">
        <v>1030579980</v>
      </c>
      <c r="H166" t="str">
        <f t="shared" si="5"/>
        <v>INSERT INTO `parqueadero`.`vehiculo` (`Oid`, `Placa`, `Medio`, `Tipo`, `Marca`, `Color`, `IdConductor`) VALUES ('159','QTN58C','MOTOCICLETA','COMBUSTIBLE','YAMAHA','NEGRO','1030579980');</v>
      </c>
    </row>
    <row r="167" spans="1:8" ht="14.4" x14ac:dyDescent="0.3">
      <c r="A167" s="5">
        <f t="shared" si="4"/>
        <v>160</v>
      </c>
      <c r="B167" s="6" t="s">
        <v>839</v>
      </c>
      <c r="C167" s="6" t="s">
        <v>115</v>
      </c>
      <c r="D167" s="6" t="s">
        <v>17</v>
      </c>
      <c r="E167" s="6" t="s">
        <v>246</v>
      </c>
      <c r="F167" s="6" t="s">
        <v>166</v>
      </c>
      <c r="G167" s="6">
        <v>79798056</v>
      </c>
      <c r="H167" t="str">
        <f t="shared" si="5"/>
        <v>INSERT INTO `parqueadero`.`vehiculo` (`Oid`, `Placa`, `Medio`, `Tipo`, `Marca`, `Color`, `IdConductor`) VALUES ('160','BZL830','AUTOMÓVIL','COMBUSTIBLE','CHEVROLET AVEO','GRIS OSCURO','79798056');</v>
      </c>
    </row>
    <row r="168" spans="1:8" ht="14.4" x14ac:dyDescent="0.3">
      <c r="A168" s="5">
        <f t="shared" si="4"/>
        <v>161</v>
      </c>
      <c r="B168" s="6" t="s">
        <v>844</v>
      </c>
      <c r="C168" s="6" t="s">
        <v>115</v>
      </c>
      <c r="D168" s="6" t="s">
        <v>17</v>
      </c>
      <c r="E168" s="6" t="s">
        <v>843</v>
      </c>
      <c r="F168" s="6" t="s">
        <v>845</v>
      </c>
      <c r="G168" s="6">
        <v>52152263</v>
      </c>
      <c r="H168" t="str">
        <f t="shared" si="5"/>
        <v>INSERT INTO `parqueadero`.`vehiculo` (`Oid`, `Placa`, `Medio`, `Tipo`, `Marca`, `Color`, `IdConductor`) VALUES ('161','CXU008','AUTOMÓVIL','COMBUSTIBLE','PEUGEOT ','METALIZADO GRIS CENDRE','52152263');</v>
      </c>
    </row>
    <row r="169" spans="1:8" ht="14.4" x14ac:dyDescent="0.3">
      <c r="A169" s="5">
        <f t="shared" si="4"/>
        <v>162</v>
      </c>
      <c r="B169" s="6" t="s">
        <v>850</v>
      </c>
      <c r="C169" s="6" t="s">
        <v>2195</v>
      </c>
      <c r="D169" s="6" t="s">
        <v>17</v>
      </c>
      <c r="E169" s="6" t="s">
        <v>849</v>
      </c>
      <c r="F169" s="6" t="s">
        <v>851</v>
      </c>
      <c r="G169" s="6">
        <v>1073152672</v>
      </c>
      <c r="H169" t="str">
        <f t="shared" si="5"/>
        <v>INSERT INTO `parqueadero`.`vehiculo` (`Oid`, `Placa`, `Medio`, `Tipo`, `Marca`, `Color`, `IdConductor`) VALUES ('162','JWN05G','MOTOCICLETA','COMBUSTIBLE','VICTORY-AUTECO','GRIS PIEDRA NEGRO MATE','1073152672');</v>
      </c>
    </row>
    <row r="170" spans="1:8" ht="14.4" x14ac:dyDescent="0.3">
      <c r="A170" s="5">
        <f t="shared" si="4"/>
        <v>163</v>
      </c>
      <c r="B170" s="6" t="s">
        <v>854</v>
      </c>
      <c r="C170" s="6" t="s">
        <v>115</v>
      </c>
      <c r="D170" s="6" t="s">
        <v>17</v>
      </c>
      <c r="E170" s="6" t="s">
        <v>144</v>
      </c>
      <c r="F170" s="6" t="s">
        <v>339</v>
      </c>
      <c r="G170" s="6">
        <v>6769668</v>
      </c>
      <c r="H170" t="str">
        <f t="shared" si="5"/>
        <v>INSERT INTO `parqueadero`.`vehiculo` (`Oid`, `Placa`, `Medio`, `Tipo`, `Marca`, `Color`, `IdConductor`) VALUES ('163','ZYX282','AUTOMÓVIL','COMBUSTIBLE','FORD ','GRIS PLATA ','6769668');</v>
      </c>
    </row>
    <row r="171" spans="1:8" ht="14.4" x14ac:dyDescent="0.3">
      <c r="A171" s="5">
        <f t="shared" si="4"/>
        <v>164</v>
      </c>
      <c r="B171" s="6" t="s">
        <v>858</v>
      </c>
      <c r="C171" s="6" t="s">
        <v>115</v>
      </c>
      <c r="D171" s="6" t="s">
        <v>17</v>
      </c>
      <c r="E171" s="6" t="s">
        <v>202</v>
      </c>
      <c r="F171" s="6" t="s">
        <v>859</v>
      </c>
      <c r="G171" s="6">
        <v>52028400</v>
      </c>
      <c r="H171" t="str">
        <f t="shared" si="5"/>
        <v>INSERT INTO `parqueadero`.`vehiculo` (`Oid`, `Placa`, `Medio`, `Tipo`, `Marca`, `Color`, `IdConductor`) VALUES ('164','GPP291','AUTOMÓVIL','COMBUSTIBLE','VOLKSWAGEN','PLATASIRIUS METALICO ','52028400');</v>
      </c>
    </row>
    <row r="172" spans="1:8" ht="14.4" x14ac:dyDescent="0.3">
      <c r="A172" s="5">
        <f t="shared" si="4"/>
        <v>165</v>
      </c>
      <c r="B172" s="17" t="s">
        <v>863</v>
      </c>
      <c r="C172" s="6" t="s">
        <v>115</v>
      </c>
      <c r="D172" s="17" t="s">
        <v>17</v>
      </c>
      <c r="E172" s="17" t="s">
        <v>337</v>
      </c>
      <c r="F172" s="17" t="s">
        <v>248</v>
      </c>
      <c r="G172" s="17">
        <v>29120343</v>
      </c>
      <c r="H172" t="str">
        <f t="shared" si="5"/>
        <v>INSERT INTO `parqueadero`.`vehiculo` (`Oid`, `Placa`, `Medio`, `Tipo`, `Marca`, `Color`, `IdConductor`) VALUES ('165','JLW677','AUTOMÓVIL','COMBUSTIBLE','MERCEDES BENZ','GRIS PLATA','29120343');</v>
      </c>
    </row>
    <row r="173" spans="1:8" ht="14.4" x14ac:dyDescent="0.3">
      <c r="A173" s="5">
        <f t="shared" si="4"/>
        <v>166</v>
      </c>
      <c r="B173" s="6" t="s">
        <v>867</v>
      </c>
      <c r="C173" s="6" t="s">
        <v>143</v>
      </c>
      <c r="D173" s="6" t="s">
        <v>17</v>
      </c>
      <c r="E173" s="6" t="s">
        <v>132</v>
      </c>
      <c r="F173" s="6" t="s">
        <v>60</v>
      </c>
      <c r="G173" s="6">
        <v>1010196659</v>
      </c>
      <c r="H173" t="str">
        <f t="shared" si="5"/>
        <v>INSERT INTO `parqueadero`.`vehiculo` (`Oid`, `Placa`, `Medio`, `Tipo`, `Marca`, `Color`, `IdConductor`) VALUES ('166','EJL040','CAMIONETA','COMBUSTIBLE','BMW','GRIS','1010196659');</v>
      </c>
    </row>
    <row r="174" spans="1:8" ht="14.4" x14ac:dyDescent="0.3">
      <c r="A174" s="5">
        <f t="shared" si="4"/>
        <v>167</v>
      </c>
      <c r="B174" s="17" t="s">
        <v>870</v>
      </c>
      <c r="C174" s="6" t="s">
        <v>143</v>
      </c>
      <c r="D174" s="6" t="s">
        <v>253</v>
      </c>
      <c r="E174" s="17" t="s">
        <v>294</v>
      </c>
      <c r="F174" s="17" t="s">
        <v>60</v>
      </c>
      <c r="G174" s="17">
        <v>80239647</v>
      </c>
      <c r="H174" t="str">
        <f t="shared" si="5"/>
        <v>INSERT INTO `parqueadero`.`vehiculo` (`Oid`, `Placa`, `Medio`, `Tipo`, `Marca`, `Color`, `IdConductor`) VALUES ('167','NKX356','CAMIONETA','HÍBRIDO','FORD','GRIS','80239647');</v>
      </c>
    </row>
    <row r="175" spans="1:8" ht="14.4" x14ac:dyDescent="0.3">
      <c r="A175" s="5">
        <f t="shared" si="4"/>
        <v>168</v>
      </c>
      <c r="B175" s="17" t="s">
        <v>874</v>
      </c>
      <c r="C175" s="6" t="s">
        <v>2195</v>
      </c>
      <c r="D175" s="17" t="s">
        <v>17</v>
      </c>
      <c r="E175" s="17" t="s">
        <v>56</v>
      </c>
      <c r="F175" s="17" t="s">
        <v>146</v>
      </c>
      <c r="G175" s="17">
        <v>1030543652</v>
      </c>
      <c r="H175" t="str">
        <f t="shared" si="5"/>
        <v>INSERT INTO `parqueadero`.`vehiculo` (`Oid`, `Placa`, `Medio`, `Tipo`, `Marca`, `Color`, `IdConductor`) VALUES ('168','XCP05C','MOTOCICLETA','COMBUSTIBLE','HONDA','BLANCO ','1030543652');</v>
      </c>
    </row>
    <row r="176" spans="1:8" ht="14.4" x14ac:dyDescent="0.3">
      <c r="A176" s="5">
        <f t="shared" si="4"/>
        <v>169</v>
      </c>
      <c r="B176" s="6" t="s">
        <v>879</v>
      </c>
      <c r="C176" s="6" t="s">
        <v>2195</v>
      </c>
      <c r="D176" s="6" t="s">
        <v>17</v>
      </c>
      <c r="E176" s="6" t="s">
        <v>878</v>
      </c>
      <c r="F176" s="6" t="s">
        <v>880</v>
      </c>
      <c r="G176" s="6">
        <v>1010247161</v>
      </c>
      <c r="H176" t="str">
        <f t="shared" si="5"/>
        <v>INSERT INTO `parqueadero`.`vehiculo` (`Oid`, `Placa`, `Medio`, `Tipo`, `Marca`, `Color`, `IdConductor`) VALUES ('169','UDD71H','MOTOCICLETA','COMBUSTIBLE','SYM','MULTICOLOR','1010247161');</v>
      </c>
    </row>
    <row r="177" spans="1:8" ht="14.4" x14ac:dyDescent="0.3">
      <c r="A177" s="5">
        <f t="shared" si="4"/>
        <v>170</v>
      </c>
      <c r="B177" s="6" t="s">
        <v>884</v>
      </c>
      <c r="C177" s="6" t="s">
        <v>115</v>
      </c>
      <c r="D177" s="6" t="s">
        <v>17</v>
      </c>
      <c r="E177" s="6" t="s">
        <v>304</v>
      </c>
      <c r="F177" s="6" t="s">
        <v>44</v>
      </c>
      <c r="G177" s="6">
        <v>6070137</v>
      </c>
      <c r="H177" t="str">
        <f t="shared" si="5"/>
        <v>INSERT INTO `parqueadero`.`vehiculo` (`Oid`, `Placa`, `Medio`, `Tipo`, `Marca`, `Color`, `IdConductor`) VALUES ('170','LNL046','AUTOMÓVIL','COMBUSTIBLE','RENAULT','ROJO','6070137');</v>
      </c>
    </row>
    <row r="178" spans="1:8" ht="14.4" x14ac:dyDescent="0.3">
      <c r="A178" s="5">
        <f t="shared" si="4"/>
        <v>171</v>
      </c>
      <c r="B178" s="6" t="s">
        <v>888</v>
      </c>
      <c r="C178" s="6" t="s">
        <v>115</v>
      </c>
      <c r="D178" s="6" t="s">
        <v>17</v>
      </c>
      <c r="E178" s="6" t="s">
        <v>304</v>
      </c>
      <c r="F178" s="6" t="s">
        <v>66</v>
      </c>
      <c r="G178" s="6">
        <v>10305307</v>
      </c>
      <c r="H178" t="str">
        <f t="shared" si="5"/>
        <v>INSERT INTO `parqueadero`.`vehiculo` (`Oid`, `Placa`, `Medio`, `Tipo`, `Marca`, `Color`, `IdConductor`) VALUES ('171','DXT697','AUTOMÓVIL','COMBUSTIBLE','RENAULT','BLANCO','10305307');</v>
      </c>
    </row>
    <row r="179" spans="1:8" ht="14.4" x14ac:dyDescent="0.3">
      <c r="A179" s="5">
        <f t="shared" si="4"/>
        <v>172</v>
      </c>
      <c r="B179" s="6" t="s">
        <v>893</v>
      </c>
      <c r="C179" s="6" t="s">
        <v>143</v>
      </c>
      <c r="D179" s="6" t="s">
        <v>17</v>
      </c>
      <c r="E179" s="6" t="s">
        <v>892</v>
      </c>
      <c r="F179" s="6" t="s">
        <v>248</v>
      </c>
      <c r="G179" s="6">
        <v>1110494882</v>
      </c>
      <c r="H179" t="str">
        <f t="shared" si="5"/>
        <v>INSERT INTO `parqueadero`.`vehiculo` (`Oid`, `Placa`, `Medio`, `Tipo`, `Marca`, `Color`, `IdConductor`) VALUES ('172','GSQ121','CAMIONETA','COMBUSTIBLE','FORD EDGE','GRIS PLATA','1110494882');</v>
      </c>
    </row>
    <row r="180" spans="1:8" ht="14.4" x14ac:dyDescent="0.3">
      <c r="A180" s="5">
        <f t="shared" si="4"/>
        <v>173</v>
      </c>
      <c r="B180" s="17" t="s">
        <v>897</v>
      </c>
      <c r="C180" s="6" t="s">
        <v>143</v>
      </c>
      <c r="D180" s="17" t="s">
        <v>17</v>
      </c>
      <c r="E180" s="17" t="s">
        <v>58</v>
      </c>
      <c r="F180" s="17" t="s">
        <v>60</v>
      </c>
      <c r="G180" s="17">
        <v>39707570</v>
      </c>
      <c r="H180" t="str">
        <f t="shared" si="5"/>
        <v>INSERT INTO `parqueadero`.`vehiculo` (`Oid`, `Placa`, `Medio`, `Tipo`, `Marca`, `Color`, `IdConductor`) VALUES ('173','JCU242','CAMIONETA','COMBUSTIBLE','CHEVROLET','GRIS','39707570');</v>
      </c>
    </row>
    <row r="181" spans="1:8" ht="14.4" x14ac:dyDescent="0.3">
      <c r="A181" s="5">
        <f t="shared" si="4"/>
        <v>174</v>
      </c>
      <c r="B181" s="6" t="s">
        <v>901</v>
      </c>
      <c r="C181" s="6" t="s">
        <v>143</v>
      </c>
      <c r="D181" s="6" t="s">
        <v>17</v>
      </c>
      <c r="E181" s="6" t="s">
        <v>58</v>
      </c>
      <c r="F181" s="6" t="s">
        <v>653</v>
      </c>
      <c r="G181" s="6">
        <v>51563303</v>
      </c>
      <c r="H181" t="str">
        <f t="shared" si="5"/>
        <v>INSERT INTO `parqueadero`.`vehiculo` (`Oid`, `Placa`, `Medio`, `Tipo`, `Marca`, `Color`, `IdConductor`) VALUES ('174','UDY304','CAMIONETA','COMBUSTIBLE','CHEVROLET','VINOTINTO','51563303');</v>
      </c>
    </row>
    <row r="182" spans="1:8" ht="14.4" x14ac:dyDescent="0.3">
      <c r="A182" s="5">
        <f t="shared" si="4"/>
        <v>175</v>
      </c>
      <c r="B182" s="6" t="s">
        <v>906</v>
      </c>
      <c r="C182" s="6" t="s">
        <v>115</v>
      </c>
      <c r="D182" s="6" t="s">
        <v>17</v>
      </c>
      <c r="E182" s="6" t="s">
        <v>905</v>
      </c>
      <c r="F182" s="6" t="s">
        <v>66</v>
      </c>
      <c r="G182" s="6">
        <v>4978456</v>
      </c>
      <c r="H182" t="str">
        <f t="shared" si="5"/>
        <v>INSERT INTO `parqueadero`.`vehiculo` (`Oid`, `Placa`, `Medio`, `Tipo`, `Marca`, `Color`, `IdConductor`) VALUES ('175','MKU320','AUTOMÓVIL','COMBUSTIBLE','KIA CERATO FORTE','BLANCO','4978456');</v>
      </c>
    </row>
    <row r="183" spans="1:8" ht="14.4" x14ac:dyDescent="0.3">
      <c r="A183" s="5">
        <f t="shared" si="4"/>
        <v>176</v>
      </c>
      <c r="B183" s="6" t="s">
        <v>910</v>
      </c>
      <c r="C183" s="6" t="s">
        <v>2195</v>
      </c>
      <c r="D183" s="6" t="s">
        <v>17</v>
      </c>
      <c r="E183" s="6" t="s">
        <v>616</v>
      </c>
      <c r="F183" s="6" t="s">
        <v>911</v>
      </c>
      <c r="G183" s="6">
        <v>1000008186</v>
      </c>
      <c r="H183" t="str">
        <f t="shared" si="5"/>
        <v>INSERT INTO `parqueadero`.`vehiculo` (`Oid`, `Placa`, `Medio`, `Tipo`, `Marca`, `Color`, `IdConductor`) VALUES ('176','UDK33H','MOTOCICLETA','COMBUSTIBLE','SUZUKI ','AZUL CON BLANCO ','1000008186');</v>
      </c>
    </row>
    <row r="184" spans="1:8" ht="14.4" x14ac:dyDescent="0.3">
      <c r="A184" s="5">
        <f t="shared" si="4"/>
        <v>177</v>
      </c>
      <c r="B184" s="6" t="s">
        <v>915</v>
      </c>
      <c r="C184" s="6" t="s">
        <v>115</v>
      </c>
      <c r="D184" s="6" t="s">
        <v>17</v>
      </c>
      <c r="E184" s="6" t="s">
        <v>75</v>
      </c>
      <c r="F184" s="6" t="s">
        <v>725</v>
      </c>
      <c r="G184" s="6">
        <v>80129534</v>
      </c>
      <c r="H184" t="str">
        <f t="shared" si="5"/>
        <v>INSERT INTO `parqueadero`.`vehiculo` (`Oid`, `Placa`, `Medio`, `Tipo`, `Marca`, `Color`, `IdConductor`) VALUES ('177','FNM864','AUTOMÓVIL','COMBUSTIBLE','MAZDA','ROJO ','80129534');</v>
      </c>
    </row>
    <row r="185" spans="1:8" ht="14.4" x14ac:dyDescent="0.3">
      <c r="A185" s="5">
        <f t="shared" si="4"/>
        <v>178</v>
      </c>
      <c r="B185" s="6" t="s">
        <v>920</v>
      </c>
      <c r="C185" s="6" t="s">
        <v>115</v>
      </c>
      <c r="D185" s="6" t="s">
        <v>17</v>
      </c>
      <c r="E185" s="6" t="s">
        <v>919</v>
      </c>
      <c r="F185" s="6" t="s">
        <v>921</v>
      </c>
      <c r="G185" s="6">
        <v>53021213</v>
      </c>
      <c r="H185" t="str">
        <f t="shared" si="5"/>
        <v>INSERT INTO `parqueadero`.`vehiculo` (`Oid`, `Placa`, `Medio`, `Tipo`, `Marca`, `Color`, `IdConductor`) VALUES ('178','BLD160','AUTOMÓVIL','COMBUSTIBLE','CHEVROLET WAGON','VERDE ESMERALDA ','53021213');</v>
      </c>
    </row>
    <row r="186" spans="1:8" ht="14.4" x14ac:dyDescent="0.3">
      <c r="A186" s="5">
        <f t="shared" si="4"/>
        <v>179</v>
      </c>
      <c r="B186" s="6" t="s">
        <v>925</v>
      </c>
      <c r="C186" s="6" t="s">
        <v>115</v>
      </c>
      <c r="D186" s="6" t="s">
        <v>17</v>
      </c>
      <c r="E186" s="6" t="s">
        <v>354</v>
      </c>
      <c r="F186" s="6" t="s">
        <v>34</v>
      </c>
      <c r="G186" s="6">
        <v>80401214</v>
      </c>
      <c r="H186" t="str">
        <f t="shared" si="5"/>
        <v>INSERT INTO `parqueadero`.`vehiculo` (`Oid`, `Placa`, `Medio`, `Tipo`, `Marca`, `Color`, `IdConductor`) VALUES ('179','KAM927','AUTOMÓVIL','COMBUSTIBLE','NISSAN ','BEIGE','80401214');</v>
      </c>
    </row>
    <row r="187" spans="1:8" ht="14.4" x14ac:dyDescent="0.3">
      <c r="A187" s="5">
        <f t="shared" si="4"/>
        <v>180</v>
      </c>
      <c r="B187" s="6" t="s">
        <v>930</v>
      </c>
      <c r="C187" s="6" t="s">
        <v>143</v>
      </c>
      <c r="D187" s="6" t="s">
        <v>17</v>
      </c>
      <c r="E187" s="6" t="s">
        <v>929</v>
      </c>
      <c r="F187" s="6" t="s">
        <v>931</v>
      </c>
      <c r="G187" s="6">
        <v>79881307</v>
      </c>
      <c r="H187" t="str">
        <f t="shared" si="5"/>
        <v>INSERT INTO `parqueadero`.`vehiculo` (`Oid`, `Placa`, `Medio`, `Tipo`, `Marca`, `Color`, `IdConductor`) VALUES ('180','JNU529','CAMIONETA','COMBUSTIBLE','CITRÖEN','BLANCO NACAR NEGRO','79881307');</v>
      </c>
    </row>
    <row r="188" spans="1:8" ht="14.4" x14ac:dyDescent="0.3">
      <c r="A188" s="5">
        <f t="shared" si="4"/>
        <v>181</v>
      </c>
      <c r="B188" s="6" t="s">
        <v>935</v>
      </c>
      <c r="C188" s="6" t="s">
        <v>115</v>
      </c>
      <c r="D188" s="6" t="s">
        <v>129</v>
      </c>
      <c r="E188" s="6" t="s">
        <v>22</v>
      </c>
      <c r="F188" s="6" t="s">
        <v>38</v>
      </c>
      <c r="G188" s="6">
        <v>80213841</v>
      </c>
      <c r="H188" t="str">
        <f t="shared" si="5"/>
        <v>INSERT INTO `parqueadero`.`vehiculo` (`Oid`, `Placa`, `Medio`, `Tipo`, `Marca`, `Color`, `IdConductor`) VALUES ('181','NJV828','AUTOMÓVIL','ELÉCTRICO','BYD','VERDE','80213841');</v>
      </c>
    </row>
    <row r="189" spans="1:8" ht="14.4" x14ac:dyDescent="0.3">
      <c r="A189" s="5">
        <f t="shared" si="4"/>
        <v>182</v>
      </c>
      <c r="B189" s="6" t="s">
        <v>938</v>
      </c>
      <c r="C189" s="6" t="s">
        <v>143</v>
      </c>
      <c r="D189" s="6" t="s">
        <v>253</v>
      </c>
      <c r="E189" s="6" t="s">
        <v>75</v>
      </c>
      <c r="F189" s="6" t="s">
        <v>66</v>
      </c>
      <c r="G189" s="6">
        <v>79265641</v>
      </c>
      <c r="H189" t="str">
        <f t="shared" si="5"/>
        <v>INSERT INTO `parqueadero`.`vehiculo` (`Oid`, `Placa`, `Medio`, `Tipo`, `Marca`, `Color`, `IdConductor`) VALUES ('182','NGK802','CAMIONETA','HÍBRIDO','MAZDA','BLANCO','79265641');</v>
      </c>
    </row>
    <row r="190" spans="1:8" ht="14.4" x14ac:dyDescent="0.3">
      <c r="A190" s="5">
        <f t="shared" si="4"/>
        <v>183</v>
      </c>
      <c r="B190" s="6" t="s">
        <v>942</v>
      </c>
      <c r="C190" s="6" t="s">
        <v>115</v>
      </c>
      <c r="D190" s="6" t="s">
        <v>17</v>
      </c>
      <c r="E190" s="6" t="s">
        <v>398</v>
      </c>
      <c r="F190" s="6" t="s">
        <v>943</v>
      </c>
      <c r="G190" s="6">
        <v>1140847934</v>
      </c>
      <c r="H190" t="str">
        <f t="shared" si="5"/>
        <v>INSERT INTO `parqueadero`.`vehiculo` (`Oid`, `Placa`, `Medio`, `Tipo`, `Marca`, `Color`, `IdConductor`) VALUES ('183','KHY698','AUTOMÓVIL','COMBUSTIBLE','RENAULT ','GRIS ESTRELLA ','1140847934');</v>
      </c>
    </row>
    <row r="191" spans="1:8" ht="14.4" x14ac:dyDescent="0.3">
      <c r="A191" s="5">
        <f t="shared" si="4"/>
        <v>184</v>
      </c>
      <c r="B191" s="6" t="s">
        <v>947</v>
      </c>
      <c r="C191" s="6" t="s">
        <v>2195</v>
      </c>
      <c r="D191" s="6" t="s">
        <v>17</v>
      </c>
      <c r="E191" s="6" t="s">
        <v>56</v>
      </c>
      <c r="F191" s="6" t="s">
        <v>725</v>
      </c>
      <c r="G191" s="6">
        <v>1000596077</v>
      </c>
      <c r="H191" t="str">
        <f t="shared" si="5"/>
        <v>INSERT INTO `parqueadero`.`vehiculo` (`Oid`, `Placa`, `Medio`, `Tipo`, `Marca`, `Color`, `IdConductor`) VALUES ('184','QPE41H','MOTOCICLETA','COMBUSTIBLE','HONDA','ROJO ','1000596077');</v>
      </c>
    </row>
    <row r="192" spans="1:8" ht="14.4" x14ac:dyDescent="0.3">
      <c r="A192" s="5">
        <f t="shared" si="4"/>
        <v>185</v>
      </c>
      <c r="B192" s="6" t="s">
        <v>951</v>
      </c>
      <c r="C192" s="6" t="s">
        <v>115</v>
      </c>
      <c r="D192" s="6" t="s">
        <v>17</v>
      </c>
      <c r="E192" s="6" t="s">
        <v>447</v>
      </c>
      <c r="F192" s="6" t="s">
        <v>134</v>
      </c>
      <c r="G192" s="6">
        <v>53140489</v>
      </c>
      <c r="H192" t="str">
        <f t="shared" si="5"/>
        <v>INSERT INTO `parqueadero`.`vehiculo` (`Oid`, `Placa`, `Medio`, `Tipo`, `Marca`, `Color`, `IdConductor`) VALUES ('185','KPM313','AUTOMÓVIL','COMBUSTIBLE','VOLKSWAGEN ','GRIS ','53140489');</v>
      </c>
    </row>
    <row r="193" spans="1:8" ht="14.4" x14ac:dyDescent="0.3">
      <c r="A193" s="5">
        <f t="shared" si="4"/>
        <v>186</v>
      </c>
      <c r="B193" s="6" t="s">
        <v>955</v>
      </c>
      <c r="C193" s="6" t="s">
        <v>115</v>
      </c>
      <c r="D193" s="6" t="s">
        <v>17</v>
      </c>
      <c r="E193" s="6" t="s">
        <v>320</v>
      </c>
      <c r="F193" s="6" t="s">
        <v>956</v>
      </c>
      <c r="G193" s="6">
        <v>13745497</v>
      </c>
      <c r="H193" t="str">
        <f t="shared" si="5"/>
        <v>INSERT INTO `parqueadero`.`vehiculo` (`Oid`, `Placa`, `Medio`, `Tipo`, `Marca`, `Color`, `IdConductor`) VALUES ('186','ZZQ044','AUTOMÓVIL','COMBUSTIBLE','AUDI','AZUL SCUBA CON PLATA HIELO','13745497');</v>
      </c>
    </row>
    <row r="194" spans="1:8" ht="14.4" x14ac:dyDescent="0.3">
      <c r="A194" s="5">
        <f t="shared" si="4"/>
        <v>187</v>
      </c>
      <c r="B194" s="6" t="s">
        <v>960</v>
      </c>
      <c r="C194" s="6" t="s">
        <v>115</v>
      </c>
      <c r="D194" s="6" t="s">
        <v>17</v>
      </c>
      <c r="E194" s="6" t="s">
        <v>116</v>
      </c>
      <c r="F194" s="6" t="s">
        <v>44</v>
      </c>
      <c r="G194" s="6">
        <v>52855892</v>
      </c>
      <c r="H194" t="str">
        <f t="shared" si="5"/>
        <v>INSERT INTO `parqueadero`.`vehiculo` (`Oid`, `Placa`, `Medio`, `Tipo`, `Marca`, `Color`, `IdConductor`) VALUES ('187','EBN363','AUTOMÓVIL','COMBUSTIBLE','HYUNDAI','ROJO','52855892');</v>
      </c>
    </row>
    <row r="195" spans="1:8" ht="14.4" x14ac:dyDescent="0.3">
      <c r="A195" s="5">
        <f t="shared" si="4"/>
        <v>188</v>
      </c>
      <c r="B195" s="6" t="s">
        <v>964</v>
      </c>
      <c r="C195" s="6" t="s">
        <v>2195</v>
      </c>
      <c r="D195" s="6" t="s">
        <v>17</v>
      </c>
      <c r="E195" s="6" t="s">
        <v>701</v>
      </c>
      <c r="F195" s="6" t="s">
        <v>24</v>
      </c>
      <c r="G195" s="6">
        <v>1001114395</v>
      </c>
      <c r="H195" t="str">
        <f t="shared" si="5"/>
        <v>INSERT INTO `parqueadero`.`vehiculo` (`Oid`, `Placa`, `Medio`, `Tipo`, `Marca`, `Color`, `IdConductor`) VALUES ('188','DLF53C','MOTOCICLETA','COMBUSTIBLE','YAMAHA','NEGRO','1001114395');</v>
      </c>
    </row>
    <row r="196" spans="1:8" ht="14.4" x14ac:dyDescent="0.3">
      <c r="A196" s="5">
        <f t="shared" si="4"/>
        <v>189</v>
      </c>
      <c r="B196" s="6" t="s">
        <v>968</v>
      </c>
      <c r="C196" s="6" t="s">
        <v>143</v>
      </c>
      <c r="D196" s="6" t="s">
        <v>17</v>
      </c>
      <c r="E196" s="6" t="s">
        <v>64</v>
      </c>
      <c r="F196" s="6" t="s">
        <v>66</v>
      </c>
      <c r="G196" s="6">
        <v>1049640375</v>
      </c>
      <c r="H196" t="str">
        <f t="shared" si="5"/>
        <v>INSERT INTO `parqueadero`.`vehiculo` (`Oid`, `Placa`, `Medio`, `Tipo`, `Marca`, `Color`, `IdConductor`) VALUES ('189','FLM749','CAMIONETA','COMBUSTIBLE','TOYOTA','BLANCO','1049640375');</v>
      </c>
    </row>
    <row r="197" spans="1:8" ht="14.4" x14ac:dyDescent="0.3">
      <c r="A197" s="5">
        <f t="shared" si="4"/>
        <v>190</v>
      </c>
      <c r="B197" s="17" t="s">
        <v>972</v>
      </c>
      <c r="C197" s="6" t="s">
        <v>115</v>
      </c>
      <c r="D197" s="17" t="s">
        <v>17</v>
      </c>
      <c r="E197" s="17" t="s">
        <v>304</v>
      </c>
      <c r="F197" s="17" t="s">
        <v>973</v>
      </c>
      <c r="G197" s="17">
        <v>31422496</v>
      </c>
      <c r="H197" t="str">
        <f t="shared" si="5"/>
        <v>INSERT INTO `parqueadero`.`vehiculo` (`Oid`, `Placa`, `Medio`, `Tipo`, `Marca`, `Color`, `IdConductor`) VALUES ('190','HIS237','AUTOMÓVIL','COMBUSTIBLE','RENAULT','GRIS BEIGE','31422496');</v>
      </c>
    </row>
    <row r="198" spans="1:8" ht="14.4" x14ac:dyDescent="0.3">
      <c r="A198" s="5">
        <f t="shared" ref="A198:A260" si="6">ROW()-7</f>
        <v>191</v>
      </c>
      <c r="B198" s="6" t="s">
        <v>977</v>
      </c>
      <c r="C198" s="6" t="s">
        <v>115</v>
      </c>
      <c r="D198" s="6" t="s">
        <v>17</v>
      </c>
      <c r="E198" s="6" t="s">
        <v>337</v>
      </c>
      <c r="F198" s="6" t="s">
        <v>24</v>
      </c>
      <c r="G198" s="6">
        <v>1019131919</v>
      </c>
      <c r="H198" t="str">
        <f t="shared" si="5"/>
        <v>INSERT INTO `parqueadero`.`vehiculo` (`Oid`, `Placa`, `Medio`, `Tipo`, `Marca`, `Color`, `IdConductor`) VALUES ('191','NDW570','AUTOMÓVIL','COMBUSTIBLE','MERCEDES BENZ','NEGRO','1019131919');</v>
      </c>
    </row>
    <row r="199" spans="1:8" ht="14.4" x14ac:dyDescent="0.3">
      <c r="A199" s="5">
        <f t="shared" si="6"/>
        <v>192</v>
      </c>
      <c r="B199" s="17" t="s">
        <v>981</v>
      </c>
      <c r="C199" s="6" t="s">
        <v>115</v>
      </c>
      <c r="D199" s="17" t="s">
        <v>17</v>
      </c>
      <c r="E199" s="17" t="s">
        <v>202</v>
      </c>
      <c r="F199" s="17" t="s">
        <v>44</v>
      </c>
      <c r="G199" s="17">
        <v>1020806493</v>
      </c>
      <c r="H199" t="str">
        <f t="shared" si="5"/>
        <v>INSERT INTO `parqueadero`.`vehiculo` (`Oid`, `Placa`, `Medio`, `Tipo`, `Marca`, `Color`, `IdConductor`) VALUES ('192','IXR377','AUTOMÓVIL','COMBUSTIBLE','VOLKSWAGEN','ROJO','1020806493');</v>
      </c>
    </row>
    <row r="200" spans="1:8" ht="14.4" x14ac:dyDescent="0.3">
      <c r="A200" s="5">
        <f t="shared" si="6"/>
        <v>193</v>
      </c>
      <c r="B200" s="6" t="s">
        <v>984</v>
      </c>
      <c r="C200" s="6" t="s">
        <v>115</v>
      </c>
      <c r="D200" s="6" t="s">
        <v>17</v>
      </c>
      <c r="E200" s="6" t="s">
        <v>75</v>
      </c>
      <c r="F200" s="6" t="s">
        <v>985</v>
      </c>
      <c r="G200" s="6">
        <v>79802867</v>
      </c>
      <c r="H200" t="str">
        <f t="shared" si="5"/>
        <v>INSERT INTO `parqueadero`.`vehiculo` (`Oid`, `Placa`, `Medio`, `Tipo`, `Marca`, `Color`, `IdConductor`) VALUES ('193','RCU484','AUTOMÓVIL','COMBUSTIBLE','MAZDA','GRIS METROPOLITANO','79802867');</v>
      </c>
    </row>
    <row r="201" spans="1:8" ht="14.4" x14ac:dyDescent="0.3">
      <c r="A201" s="5">
        <f t="shared" si="6"/>
        <v>194</v>
      </c>
      <c r="B201" s="6" t="s">
        <v>989</v>
      </c>
      <c r="C201" s="6" t="s">
        <v>115</v>
      </c>
      <c r="D201" s="6" t="s">
        <v>17</v>
      </c>
      <c r="E201" s="6" t="s">
        <v>988</v>
      </c>
      <c r="F201" s="6" t="s">
        <v>990</v>
      </c>
      <c r="G201" s="6">
        <v>1023893878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('194','MBM740','AUTOMÓVIL','COMBUSTIBLE','JEEP WRANGLER ','ROJO FLAMA','1023893878');</v>
      </c>
    </row>
    <row r="202" spans="1:8" ht="14.4" x14ac:dyDescent="0.3">
      <c r="A202" s="5">
        <f t="shared" si="6"/>
        <v>195</v>
      </c>
      <c r="B202" s="6" t="s">
        <v>998</v>
      </c>
      <c r="C202" s="6" t="s">
        <v>115</v>
      </c>
      <c r="D202" s="6" t="s">
        <v>17</v>
      </c>
      <c r="E202" s="6" t="s">
        <v>398</v>
      </c>
      <c r="F202" s="6" t="s">
        <v>66</v>
      </c>
      <c r="G202" s="6">
        <v>1078347237</v>
      </c>
      <c r="H202" t="str">
        <f t="shared" si="7"/>
        <v>INSERT INTO `parqueadero`.`vehiculo` (`Oid`, `Placa`, `Medio`, `Tipo`, `Marca`, `Color`, `IdConductor`) VALUES ('195','LRX282','AUTOMÓVIL','COMBUSTIBLE','RENAULT ','BLANCO','1078347237');</v>
      </c>
    </row>
    <row r="203" spans="1:8" ht="14.4" x14ac:dyDescent="0.3">
      <c r="A203" s="5">
        <f t="shared" si="6"/>
        <v>196</v>
      </c>
      <c r="B203" s="6" t="s">
        <v>1002</v>
      </c>
      <c r="C203" s="6" t="s">
        <v>115</v>
      </c>
      <c r="D203" s="6" t="s">
        <v>17</v>
      </c>
      <c r="E203" s="6" t="s">
        <v>132</v>
      </c>
      <c r="F203" s="6" t="s">
        <v>259</v>
      </c>
      <c r="G203" s="6">
        <v>80085952</v>
      </c>
      <c r="H203" t="str">
        <f t="shared" si="7"/>
        <v>INSERT INTO `parqueadero`.`vehiculo` (`Oid`, `Placa`, `Medio`, `Tipo`, `Marca`, `Color`, `IdConductor`) VALUES ('196','HKS838','AUTOMÓVIL','COMBUSTIBLE','BMW','PLATEADO','80085952');</v>
      </c>
    </row>
    <row r="204" spans="1:8" ht="14.4" x14ac:dyDescent="0.3">
      <c r="A204" s="5">
        <f t="shared" si="6"/>
        <v>197</v>
      </c>
      <c r="B204" s="6" t="s">
        <v>1007</v>
      </c>
      <c r="C204" s="6" t="s">
        <v>2195</v>
      </c>
      <c r="D204" s="6" t="s">
        <v>17</v>
      </c>
      <c r="E204" s="6" t="s">
        <v>175</v>
      </c>
      <c r="F204" s="6" t="s">
        <v>24</v>
      </c>
      <c r="G204" s="6">
        <v>1015479089</v>
      </c>
      <c r="H204" t="str">
        <f t="shared" si="7"/>
        <v>INSERT INTO `parqueadero`.`vehiculo` (`Oid`, `Placa`, `Medio`, `Tipo`, `Marca`, `Color`, `IdConductor`) VALUES ('197','FVK55H','MOTOCICLETA','COMBUSTIBLE','AKT','NEGRO','1015479089');</v>
      </c>
    </row>
    <row r="205" spans="1:8" ht="14.4" x14ac:dyDescent="0.3">
      <c r="A205" s="5">
        <f t="shared" si="6"/>
        <v>198</v>
      </c>
      <c r="B205" s="6" t="s">
        <v>1011</v>
      </c>
      <c r="C205" s="6" t="s">
        <v>115</v>
      </c>
      <c r="D205" s="6" t="s">
        <v>253</v>
      </c>
      <c r="E205" s="6" t="s">
        <v>616</v>
      </c>
      <c r="F205" s="6" t="s">
        <v>60</v>
      </c>
      <c r="G205" s="6">
        <v>1072072690</v>
      </c>
      <c r="H205" t="str">
        <f t="shared" si="7"/>
        <v>INSERT INTO `parqueadero`.`vehiculo` (`Oid`, `Placa`, `Medio`, `Tipo`, `Marca`, `Color`, `IdConductor`) VALUES ('198','LNQ539','AUTOMÓVIL','HÍBRIDO','SUZUKI ','GRIS','1072072690');</v>
      </c>
    </row>
    <row r="206" spans="1:8" ht="14.4" x14ac:dyDescent="0.3">
      <c r="A206" s="5">
        <f t="shared" si="6"/>
        <v>199</v>
      </c>
      <c r="B206" s="6" t="s">
        <v>1015</v>
      </c>
      <c r="C206" s="6" t="s">
        <v>2195</v>
      </c>
      <c r="D206" s="6" t="s">
        <v>17</v>
      </c>
      <c r="E206" s="6" t="s">
        <v>701</v>
      </c>
      <c r="F206" s="6" t="s">
        <v>880</v>
      </c>
      <c r="G206" s="6">
        <v>1018482735</v>
      </c>
      <c r="H206" t="str">
        <f t="shared" si="7"/>
        <v>INSERT INTO `parqueadero`.`vehiculo` (`Oid`, `Placa`, `Medio`, `Tipo`, `Marca`, `Color`, `IdConductor`) VALUES ('199','QLT32G','MOTOCICLETA','COMBUSTIBLE','YAMAHA','MULTICOLOR','1018482735');</v>
      </c>
    </row>
    <row r="207" spans="1:8" ht="14.4" x14ac:dyDescent="0.3">
      <c r="A207" s="5">
        <f t="shared" si="6"/>
        <v>200</v>
      </c>
      <c r="B207" s="6" t="s">
        <v>1020</v>
      </c>
      <c r="C207" s="6" t="s">
        <v>115</v>
      </c>
      <c r="D207" s="6" t="s">
        <v>253</v>
      </c>
      <c r="E207" s="6" t="s">
        <v>1019</v>
      </c>
      <c r="F207" s="6" t="s">
        <v>1021</v>
      </c>
      <c r="G207" s="6">
        <v>1016070278</v>
      </c>
      <c r="H207" t="str">
        <f t="shared" si="7"/>
        <v>INSERT INTO `parqueadero`.`vehiculo` (`Oid`, `Placa`, `Medio`, `Tipo`, `Marca`, `Color`, `IdConductor`) VALUES ('200','PCV468','AUTOMÓVIL','HÍBRIDO','MAZDA 3','BLANCO PERLADO','1016070278');</v>
      </c>
    </row>
    <row r="208" spans="1:8" ht="14.4" x14ac:dyDescent="0.3">
      <c r="A208" s="5">
        <f t="shared" si="6"/>
        <v>201</v>
      </c>
      <c r="B208" s="6" t="s">
        <v>1025</v>
      </c>
      <c r="C208" s="6" t="s">
        <v>115</v>
      </c>
      <c r="D208" s="6" t="s">
        <v>17</v>
      </c>
      <c r="E208" s="6" t="s">
        <v>304</v>
      </c>
      <c r="F208" s="6" t="s">
        <v>66</v>
      </c>
      <c r="G208" s="6">
        <v>1019005047</v>
      </c>
      <c r="H208" t="str">
        <f t="shared" si="7"/>
        <v>INSERT INTO `parqueadero`.`vehiculo` (`Oid`, `Placa`, `Medio`, `Tipo`, `Marca`, `Color`, `IdConductor`) VALUES ('201','RKN115','AUTOMÓVIL','COMBUSTIBLE','RENAULT','BLANCO','1019005047');</v>
      </c>
    </row>
    <row r="209" spans="1:8" ht="14.4" x14ac:dyDescent="0.3">
      <c r="A209" s="5">
        <f t="shared" si="6"/>
        <v>202</v>
      </c>
      <c r="B209" s="6" t="s">
        <v>1029</v>
      </c>
      <c r="C209" s="6" t="s">
        <v>2195</v>
      </c>
      <c r="D209" s="6" t="s">
        <v>17</v>
      </c>
      <c r="E209" s="6" t="s">
        <v>56</v>
      </c>
      <c r="F209" s="6" t="s">
        <v>24</v>
      </c>
      <c r="G209" s="6">
        <v>1030636071</v>
      </c>
      <c r="H209" t="str">
        <f t="shared" si="7"/>
        <v>INSERT INTO `parqueadero`.`vehiculo` (`Oid`, `Placa`, `Medio`, `Tipo`, `Marca`, `Color`, `IdConductor`) VALUES ('202','NAF95H','MOTOCICLETA','COMBUSTIBLE','HONDA','NEGRO','1030636071');</v>
      </c>
    </row>
    <row r="210" spans="1:8" ht="14.4" x14ac:dyDescent="0.3">
      <c r="A210" s="5">
        <f t="shared" si="6"/>
        <v>203</v>
      </c>
      <c r="B210" s="6" t="s">
        <v>1032</v>
      </c>
      <c r="C210" s="6" t="s">
        <v>115</v>
      </c>
      <c r="D210" s="6" t="s">
        <v>253</v>
      </c>
      <c r="E210" s="6" t="s">
        <v>64</v>
      </c>
      <c r="F210" s="6" t="s">
        <v>526</v>
      </c>
      <c r="G210" s="6">
        <v>1019111965</v>
      </c>
      <c r="H210" t="str">
        <f t="shared" si="7"/>
        <v>INSERT INTO `parqueadero`.`vehiculo` (`Oid`, `Placa`, `Medio`, `Tipo`, `Marca`, `Color`, `IdConductor`) VALUES ('203','KMY552','AUTOMÓVIL','HÍBRIDO','TOYOTA','GRIS OSCURO ','1019111965');</v>
      </c>
    </row>
    <row r="211" spans="1:8" ht="14.4" x14ac:dyDescent="0.3">
      <c r="A211" s="5">
        <f t="shared" si="6"/>
        <v>204</v>
      </c>
      <c r="B211" s="6" t="s">
        <v>1037</v>
      </c>
      <c r="C211" s="6" t="s">
        <v>143</v>
      </c>
      <c r="D211" s="6" t="s">
        <v>253</v>
      </c>
      <c r="E211" s="6" t="s">
        <v>1036</v>
      </c>
      <c r="F211" s="6" t="s">
        <v>60</v>
      </c>
      <c r="G211" s="6">
        <v>79793117</v>
      </c>
      <c r="H211" t="str">
        <f t="shared" si="7"/>
        <v>INSERT INTO `parqueadero`.`vehiculo` (`Oid`, `Placa`, `Medio`, `Tipo`, `Marca`, `Color`, `IdConductor`) VALUES ('204','NSU353','CAMIONETA','HÍBRIDO','SUBARU','GRIS','79793117');</v>
      </c>
    </row>
    <row r="212" spans="1:8" ht="15.9" customHeight="1" x14ac:dyDescent="0.3">
      <c r="A212" s="5">
        <f t="shared" si="6"/>
        <v>205</v>
      </c>
      <c r="B212" s="17" t="s">
        <v>1042</v>
      </c>
      <c r="C212" s="6" t="s">
        <v>115</v>
      </c>
      <c r="D212" s="17" t="s">
        <v>17</v>
      </c>
      <c r="E212" s="17" t="s">
        <v>304</v>
      </c>
      <c r="F212" s="17" t="s">
        <v>1043</v>
      </c>
      <c r="G212" s="17">
        <v>1000604330</v>
      </c>
      <c r="H212" t="str">
        <f t="shared" si="7"/>
        <v>INSERT INTO `parqueadero`.`vehiculo` (`Oid`, `Placa`, `Medio`, `Tipo`, `Marca`, `Color`, `IdConductor`) VALUES ('205','IVU685','AUTOMÓVIL','COMBUSTIBLE','RENAULT','NEGRO NACARADO','1000604330');</v>
      </c>
    </row>
    <row r="213" spans="1:8" ht="14.4" x14ac:dyDescent="0.3">
      <c r="A213" s="5">
        <f t="shared" si="6"/>
        <v>206</v>
      </c>
      <c r="B213" s="17" t="s">
        <v>1047</v>
      </c>
      <c r="C213" s="6" t="s">
        <v>2195</v>
      </c>
      <c r="D213" s="17" t="s">
        <v>17</v>
      </c>
      <c r="E213" s="17" t="s">
        <v>582</v>
      </c>
      <c r="F213" s="17" t="s">
        <v>1048</v>
      </c>
      <c r="G213" s="17">
        <v>1075257769</v>
      </c>
      <c r="H213" t="str">
        <f t="shared" si="7"/>
        <v>INSERT INTO `parqueadero`.`vehiculo` (`Oid`, `Placa`, `Medio`, `Tipo`, `Marca`, `Color`, `IdConductor`) VALUES ('206','WRI85H','MOTOCICLETA','COMBUSTIBLE','HONDA ','NEGRO BLANCO ROJO ','1075257769');</v>
      </c>
    </row>
    <row r="214" spans="1:8" ht="14.4" x14ac:dyDescent="0.3">
      <c r="A214" s="5">
        <f t="shared" si="6"/>
        <v>207</v>
      </c>
      <c r="B214" s="6" t="s">
        <v>1052</v>
      </c>
      <c r="C214" s="6" t="s">
        <v>115</v>
      </c>
      <c r="D214" s="6" t="s">
        <v>129</v>
      </c>
      <c r="E214" s="6" t="s">
        <v>22</v>
      </c>
      <c r="F214" s="6" t="s">
        <v>146</v>
      </c>
      <c r="G214" s="6">
        <v>1018477650</v>
      </c>
      <c r="H214" t="str">
        <f t="shared" si="7"/>
        <v>INSERT INTO `parqueadero`.`vehiculo` (`Oid`, `Placa`, `Medio`, `Tipo`, `Marca`, `Color`, `IdConductor`) VALUES ('207','PZT247','AUTOMÓVIL','ELÉCTRICO','BYD','BLANCO ','1018477650');</v>
      </c>
    </row>
    <row r="215" spans="1:8" ht="14.4" x14ac:dyDescent="0.3">
      <c r="A215" s="5">
        <f t="shared" si="6"/>
        <v>208</v>
      </c>
      <c r="B215" s="6" t="s">
        <v>1056</v>
      </c>
      <c r="C215" s="6" t="s">
        <v>115</v>
      </c>
      <c r="D215" s="6" t="s">
        <v>17</v>
      </c>
      <c r="E215" s="6" t="s">
        <v>343</v>
      </c>
      <c r="F215" s="6" t="s">
        <v>693</v>
      </c>
      <c r="G215" s="6">
        <v>52821918</v>
      </c>
      <c r="H215" t="str">
        <f t="shared" si="7"/>
        <v>INSERT INTO `parqueadero`.`vehiculo` (`Oid`, `Placa`, `Medio`, `Tipo`, `Marca`, `Color`, `IdConductor`) VALUES ('208','CZY815','AUTOMÓVIL','COMBUSTIBLE','RENAULT TWINGO','GRIS ECLIPSE','52821918');</v>
      </c>
    </row>
    <row r="216" spans="1:8" ht="14.4" x14ac:dyDescent="0.3">
      <c r="A216" s="5">
        <f t="shared" si="6"/>
        <v>209</v>
      </c>
      <c r="B216" s="6" t="s">
        <v>1060</v>
      </c>
      <c r="C216" s="6" t="s">
        <v>115</v>
      </c>
      <c r="D216" s="6" t="s">
        <v>17</v>
      </c>
      <c r="E216" s="6" t="s">
        <v>132</v>
      </c>
      <c r="F216" s="6" t="s">
        <v>66</v>
      </c>
      <c r="G216" s="6">
        <v>1026302740</v>
      </c>
      <c r="H216" t="str">
        <f t="shared" si="7"/>
        <v>INSERT INTO `parqueadero`.`vehiculo` (`Oid`, `Placa`, `Medio`, `Tipo`, `Marca`, `Color`, `IdConductor`) VALUES ('209','NCL288','AUTOMÓVIL','COMBUSTIBLE','BMW','BLANCO','1026302740');</v>
      </c>
    </row>
    <row r="217" spans="1:8" ht="14.4" x14ac:dyDescent="0.3">
      <c r="A217" s="5">
        <f t="shared" si="6"/>
        <v>210</v>
      </c>
      <c r="B217" s="6" t="s">
        <v>1065</v>
      </c>
      <c r="C217" s="6" t="s">
        <v>115</v>
      </c>
      <c r="D217" s="6" t="s">
        <v>17</v>
      </c>
      <c r="E217" s="6" t="s">
        <v>1064</v>
      </c>
      <c r="F217" s="6" t="s">
        <v>44</v>
      </c>
      <c r="G217" s="6">
        <v>24731198</v>
      </c>
      <c r="H217" t="str">
        <f t="shared" si="7"/>
        <v>INSERT INTO `parqueadero`.`vehiculo` (`Oid`, `Placa`, `Medio`, `Tipo`, `Marca`, `Color`, `IdConductor`) VALUES ('210','EFL237','AUTOMÓVIL','COMBUSTIBLE','RENUOL','ROJO','24731198');</v>
      </c>
    </row>
    <row r="218" spans="1:8" ht="14.4" x14ac:dyDescent="0.3">
      <c r="A218" s="5">
        <f t="shared" si="6"/>
        <v>211</v>
      </c>
      <c r="B218" s="6" t="s">
        <v>1070</v>
      </c>
      <c r="C218" s="6" t="s">
        <v>143</v>
      </c>
      <c r="D218" s="6" t="s">
        <v>17</v>
      </c>
      <c r="E218" s="6" t="s">
        <v>1069</v>
      </c>
      <c r="F218" s="6" t="s">
        <v>44</v>
      </c>
      <c r="G218" s="6">
        <v>1022360944</v>
      </c>
      <c r="H218" t="str">
        <f t="shared" si="7"/>
        <v>INSERT INTO `parqueadero`.`vehiculo` (`Oid`, `Placa`, `Medio`, `Tipo`, `Marca`, `Color`, `IdConductor`) VALUES ('211','JVT888','CAMIONETA','COMBUSTIBLE','BRONCO','ROJO','1022360944');</v>
      </c>
    </row>
    <row r="219" spans="1:8" ht="14.4" x14ac:dyDescent="0.3">
      <c r="A219" s="5">
        <f t="shared" si="6"/>
        <v>212</v>
      </c>
      <c r="B219" s="6" t="s">
        <v>1074</v>
      </c>
      <c r="C219" s="6" t="s">
        <v>115</v>
      </c>
      <c r="D219" s="6" t="s">
        <v>17</v>
      </c>
      <c r="E219" s="6" t="s">
        <v>1073</v>
      </c>
      <c r="F219" s="6" t="s">
        <v>60</v>
      </c>
      <c r="G219" s="6">
        <v>3181809</v>
      </c>
      <c r="H219" t="str">
        <f t="shared" si="7"/>
        <v>INSERT INTO `parqueadero`.`vehiculo` (`Oid`, `Placa`, `Medio`, `Tipo`, `Marca`, `Color`, `IdConductor`) VALUES ('212','LLR904','AUTOMÓVIL','COMBUSTIBLE','WOLKSVAGEN ','GRIS','3181809');</v>
      </c>
    </row>
    <row r="220" spans="1:8" ht="14.4" x14ac:dyDescent="0.3">
      <c r="A220" s="5">
        <f t="shared" si="6"/>
        <v>213</v>
      </c>
      <c r="B220" s="6" t="s">
        <v>1078</v>
      </c>
      <c r="C220" s="6" t="s">
        <v>115</v>
      </c>
      <c r="D220" s="6" t="s">
        <v>17</v>
      </c>
      <c r="E220" s="6" t="s">
        <v>164</v>
      </c>
      <c r="F220" s="6" t="s">
        <v>60</v>
      </c>
      <c r="G220" s="6">
        <v>1010184160</v>
      </c>
      <c r="H220" t="str">
        <f t="shared" si="7"/>
        <v>INSERT INTO `parqueadero`.`vehiculo` (`Oid`, `Placa`, `Medio`, `Tipo`, `Marca`, `Color`, `IdConductor`) VALUES ('213','ZXS854','AUTOMÓVIL','COMBUSTIBLE','KIA','GRIS','1010184160');</v>
      </c>
    </row>
    <row r="221" spans="1:8" ht="14.4" x14ac:dyDescent="0.3">
      <c r="A221" s="5">
        <f t="shared" si="6"/>
        <v>214</v>
      </c>
      <c r="B221" s="6" t="s">
        <v>1082</v>
      </c>
      <c r="C221" s="6" t="s">
        <v>143</v>
      </c>
      <c r="D221" s="6" t="s">
        <v>17</v>
      </c>
      <c r="E221" s="6" t="s">
        <v>214</v>
      </c>
      <c r="F221" s="6" t="s">
        <v>1083</v>
      </c>
      <c r="G221" s="6">
        <v>80268446</v>
      </c>
      <c r="H221" t="str">
        <f t="shared" si="7"/>
        <v>INSERT INTO `parqueadero`.`vehiculo` (`Oid`, `Placa`, `Medio`, `Tipo`, `Marca`, `Color`, `IdConductor`) VALUES ('214','UCT114','CAMIONETA','COMBUSTIBLE','CHEVROLET TRACKER','GRIS TECHNO','80268446');</v>
      </c>
    </row>
    <row r="222" spans="1:8" ht="14.4" x14ac:dyDescent="0.3">
      <c r="A222" s="5">
        <f t="shared" si="6"/>
        <v>215</v>
      </c>
      <c r="B222" s="17" t="s">
        <v>1088</v>
      </c>
      <c r="C222" s="6" t="s">
        <v>115</v>
      </c>
      <c r="D222" s="17" t="s">
        <v>17</v>
      </c>
      <c r="E222" s="17" t="s">
        <v>1087</v>
      </c>
      <c r="F222" s="17" t="s">
        <v>66</v>
      </c>
      <c r="G222" s="17">
        <v>1140821506</v>
      </c>
      <c r="H222" t="str">
        <f t="shared" si="7"/>
        <v>INSERT INTO `parqueadero`.`vehiculo` (`Oid`, `Placa`, `Medio`, `Tipo`, `Marca`, `Color`, `IdConductor`) VALUES ('215','HWM047','AUTOMÓVIL','COMBUSTIBLE','RENAULT - SANDERO','BLANCO','1140821506');</v>
      </c>
    </row>
    <row r="223" spans="1:8" ht="14.4" x14ac:dyDescent="0.3">
      <c r="A223" s="5">
        <f t="shared" si="6"/>
        <v>216</v>
      </c>
      <c r="B223" s="6" t="s">
        <v>1092</v>
      </c>
      <c r="C223" s="6" t="s">
        <v>143</v>
      </c>
      <c r="D223" s="6" t="s">
        <v>17</v>
      </c>
      <c r="E223" s="6" t="s">
        <v>1036</v>
      </c>
      <c r="F223" s="6" t="s">
        <v>1093</v>
      </c>
      <c r="G223" s="6">
        <v>52146673</v>
      </c>
      <c r="H223" t="str">
        <f t="shared" si="7"/>
        <v>INSERT INTO `parqueadero`.`vehiculo` (`Oid`, `Placa`, `Medio`, `Tipo`, `Marca`, `Color`, `IdConductor`) VALUES ('216','GPX812','CAMIONETA','COMBUSTIBLE','SUBARU','TUGSTENO','52146673');</v>
      </c>
    </row>
    <row r="224" spans="1:8" ht="14.4" x14ac:dyDescent="0.3">
      <c r="A224" s="5">
        <f t="shared" si="6"/>
        <v>217</v>
      </c>
      <c r="B224" s="6" t="s">
        <v>1097</v>
      </c>
      <c r="C224" s="6" t="s">
        <v>115</v>
      </c>
      <c r="D224" s="6" t="s">
        <v>17</v>
      </c>
      <c r="E224" s="6" t="s">
        <v>398</v>
      </c>
      <c r="F224" s="6" t="s">
        <v>248</v>
      </c>
      <c r="G224" s="6">
        <v>52353521</v>
      </c>
      <c r="H224" t="str">
        <f t="shared" si="7"/>
        <v>INSERT INTO `parqueadero`.`vehiculo` (`Oid`, `Placa`, `Medio`, `Tipo`, `Marca`, `Color`, `IdConductor`) VALUES ('217','RGN450','AUTOMÓVIL','COMBUSTIBLE','RENAULT ','GRIS PLATA','52353521');</v>
      </c>
    </row>
    <row r="225" spans="1:8" ht="14.4" x14ac:dyDescent="0.3">
      <c r="A225" s="5">
        <f t="shared" si="6"/>
        <v>218</v>
      </c>
      <c r="B225" s="17" t="s">
        <v>1102</v>
      </c>
      <c r="C225" s="6" t="s">
        <v>115</v>
      </c>
      <c r="D225" s="6" t="s">
        <v>253</v>
      </c>
      <c r="E225" s="17" t="s">
        <v>1101</v>
      </c>
      <c r="F225" s="17" t="s">
        <v>248</v>
      </c>
      <c r="G225" s="17">
        <v>53178070</v>
      </c>
      <c r="H225" t="str">
        <f t="shared" si="7"/>
        <v>INSERT INTO `parqueadero`.`vehiculo` (`Oid`, `Placa`, `Medio`, `Tipo`, `Marca`, `Color`, `IdConductor`) VALUES ('218','PCN272','AUTOMÓVIL','HÍBRIDO','CHERY TIGO','GRIS PLATA','53178070');</v>
      </c>
    </row>
    <row r="226" spans="1:8" ht="14.4" x14ac:dyDescent="0.3">
      <c r="A226" s="5">
        <f t="shared" si="6"/>
        <v>219</v>
      </c>
      <c r="B226" s="6" t="s">
        <v>1106</v>
      </c>
      <c r="C226" s="6" t="s">
        <v>143</v>
      </c>
      <c r="D226" s="6" t="s">
        <v>17</v>
      </c>
      <c r="E226" s="6" t="s">
        <v>501</v>
      </c>
      <c r="F226" s="6" t="s">
        <v>52</v>
      </c>
      <c r="G226" s="6">
        <v>79867029</v>
      </c>
      <c r="H226" t="str">
        <f t="shared" si="7"/>
        <v>INSERT INTO `parqueadero`.`vehiculo` (`Oid`, `Placa`, `Medio`, `Tipo`, `Marca`, `Color`, `IdConductor`) VALUES ('219','HVU392','CAMIONETA','COMBUSTIBLE','NISSAN','PLATA','79867029');</v>
      </c>
    </row>
    <row r="227" spans="1:8" ht="14.4" x14ac:dyDescent="0.3">
      <c r="A227" s="5">
        <f t="shared" si="6"/>
        <v>220</v>
      </c>
      <c r="B227" s="6" t="s">
        <v>1110</v>
      </c>
      <c r="C227" s="6" t="s">
        <v>115</v>
      </c>
      <c r="D227" s="6" t="s">
        <v>17</v>
      </c>
      <c r="E227" s="6" t="s">
        <v>294</v>
      </c>
      <c r="F227" s="6" t="s">
        <v>24</v>
      </c>
      <c r="G227" s="6">
        <v>79944990</v>
      </c>
      <c r="H227" t="str">
        <f t="shared" si="7"/>
        <v>INSERT INTO `parqueadero`.`vehiculo` (`Oid`, `Placa`, `Medio`, `Tipo`, `Marca`, `Color`, `IdConductor`) VALUES ('220','FYO593','AUTOMÓVIL','COMBUSTIBLE','FORD','NEGRO','79944990');</v>
      </c>
    </row>
    <row r="228" spans="1:8" ht="14.4" x14ac:dyDescent="0.3">
      <c r="A228" s="5">
        <f t="shared" si="6"/>
        <v>221</v>
      </c>
      <c r="B228" s="17" t="s">
        <v>1114</v>
      </c>
      <c r="C228" s="6" t="s">
        <v>143</v>
      </c>
      <c r="D228" s="17" t="s">
        <v>17</v>
      </c>
      <c r="E228" s="17" t="s">
        <v>408</v>
      </c>
      <c r="F228" s="17" t="s">
        <v>44</v>
      </c>
      <c r="G228" s="17">
        <v>79328078</v>
      </c>
      <c r="H228" t="str">
        <f t="shared" si="7"/>
        <v>INSERT INTO `parqueadero`.`vehiculo` (`Oid`, `Placa`, `Medio`, `Tipo`, `Marca`, `Color`, `IdConductor`) VALUES ('221','NUS236','CAMIONETA','COMBUSTIBLE','WOLKSWAGEN','ROJO','79328078');</v>
      </c>
    </row>
    <row r="229" spans="1:8" ht="14.4" x14ac:dyDescent="0.3">
      <c r="A229" s="5">
        <f t="shared" si="6"/>
        <v>222</v>
      </c>
      <c r="B229" s="17" t="s">
        <v>1118</v>
      </c>
      <c r="C229" s="6" t="s">
        <v>2195</v>
      </c>
      <c r="D229" s="17" t="s">
        <v>17</v>
      </c>
      <c r="E229" s="17" t="s">
        <v>276</v>
      </c>
      <c r="F229" s="17" t="s">
        <v>24</v>
      </c>
      <c r="G229" s="17">
        <v>1014279715</v>
      </c>
      <c r="H229" t="str">
        <f t="shared" si="7"/>
        <v>INSERT INTO `parqueadero`.`vehiculo` (`Oid`, `Placa`, `Medio`, `Tipo`, `Marca`, `Color`, `IdConductor`) VALUES ('222','LUM74G','MOTOCICLETA','COMBUSTIBLE','SUZUKI','NEGRO','1014279715');</v>
      </c>
    </row>
    <row r="230" spans="1:8" ht="14.4" x14ac:dyDescent="0.3">
      <c r="A230" s="5">
        <f t="shared" si="6"/>
        <v>223</v>
      </c>
      <c r="B230" s="6" t="s">
        <v>1123</v>
      </c>
      <c r="C230" s="6" t="s">
        <v>115</v>
      </c>
      <c r="D230" s="6" t="s">
        <v>17</v>
      </c>
      <c r="E230" s="6" t="s">
        <v>1122</v>
      </c>
      <c r="F230" s="6" t="s">
        <v>60</v>
      </c>
      <c r="G230" s="6">
        <v>1026302501</v>
      </c>
      <c r="H230" t="str">
        <f t="shared" si="7"/>
        <v>INSERT INTO `parqueadero`.`vehiculo` (`Oid`, `Placa`, `Medio`, `Tipo`, `Marca`, `Color`, `IdConductor`) VALUES ('223','ZXY753','AUTOMÓVIL','COMBUSTIBLE','DODGE','GRIS','1026302501');</v>
      </c>
    </row>
    <row r="231" spans="1:8" ht="14.4" x14ac:dyDescent="0.3">
      <c r="A231" s="5">
        <f t="shared" si="6"/>
        <v>224</v>
      </c>
      <c r="B231" s="6" t="s">
        <v>1128</v>
      </c>
      <c r="C231" s="6" t="s">
        <v>143</v>
      </c>
      <c r="D231" s="6" t="s">
        <v>17</v>
      </c>
      <c r="E231" s="6" t="s">
        <v>1127</v>
      </c>
      <c r="F231" s="6" t="s">
        <v>18</v>
      </c>
      <c r="G231" s="6">
        <v>1110473907</v>
      </c>
      <c r="H231" t="str">
        <f t="shared" si="7"/>
        <v>INSERT INTO `parqueadero`.`vehiculo` (`Oid`, `Placa`, `Medio`, `Tipo`, `Marca`, `Color`, `IdConductor`) VALUES ('224','JXV942','CAMIONETA','COMBUSTIBLE','AUDI Q3','AZUL','1110473907');</v>
      </c>
    </row>
    <row r="232" spans="1:8" ht="14.4" x14ac:dyDescent="0.3">
      <c r="A232" s="5">
        <f t="shared" si="6"/>
        <v>225</v>
      </c>
      <c r="B232" s="6" t="s">
        <v>1132</v>
      </c>
      <c r="C232" s="6" t="s">
        <v>115</v>
      </c>
      <c r="D232" s="6" t="s">
        <v>17</v>
      </c>
      <c r="E232" s="6" t="s">
        <v>1131</v>
      </c>
      <c r="F232" s="6" t="s">
        <v>1133</v>
      </c>
      <c r="G232" s="6">
        <v>79867042</v>
      </c>
      <c r="H232" t="str">
        <f t="shared" si="7"/>
        <v>INSERT INTO `parqueadero`.`vehiculo` (`Oid`, `Placa`, `Medio`, `Tipo`, `Marca`, `Color`, `IdConductor`) VALUES ('225','JUW580','AUTOMÓVIL','COMBUSTIBLE','RENAULT  LOGAN','GRIS ESTRELLA','79867042');</v>
      </c>
    </row>
    <row r="233" spans="1:8" ht="14.4" x14ac:dyDescent="0.3">
      <c r="A233" s="5">
        <f t="shared" si="6"/>
        <v>226</v>
      </c>
      <c r="B233" s="6" t="s">
        <v>1137</v>
      </c>
      <c r="C233" s="6" t="s">
        <v>2195</v>
      </c>
      <c r="D233" s="6" t="s">
        <v>17</v>
      </c>
      <c r="E233" s="6" t="s">
        <v>56</v>
      </c>
      <c r="F233" s="6" t="s">
        <v>24</v>
      </c>
      <c r="G233" s="6">
        <v>1049632235</v>
      </c>
      <c r="H233" t="str">
        <f t="shared" si="7"/>
        <v>INSERT INTO `parqueadero`.`vehiculo` (`Oid`, `Placa`, `Medio`, `Tipo`, `Marca`, `Color`, `IdConductor`) VALUES ('226','BTD47G','MOTOCICLETA','COMBUSTIBLE','HONDA','NEGRO','1049632235');</v>
      </c>
    </row>
    <row r="234" spans="1:8" ht="14.4" x14ac:dyDescent="0.3">
      <c r="A234" s="5">
        <f t="shared" si="6"/>
        <v>227</v>
      </c>
      <c r="B234" s="6" t="s">
        <v>1142</v>
      </c>
      <c r="C234" s="6" t="s">
        <v>2195</v>
      </c>
      <c r="D234" s="6" t="s">
        <v>17</v>
      </c>
      <c r="E234" s="6" t="s">
        <v>1141</v>
      </c>
      <c r="F234" s="6" t="s">
        <v>24</v>
      </c>
      <c r="G234" s="6">
        <v>1018492612</v>
      </c>
      <c r="H234" t="str">
        <f t="shared" si="7"/>
        <v>INSERT INTO `parqueadero`.`vehiculo` (`Oid`, `Placa`, `Medio`, `Tipo`, `Marca`, `Color`, `IdConductor`) VALUES ('227','IBM82G','MOTOCICLETA','COMBUSTIBLE','SUSUKI ','NEGRO','1018492612');</v>
      </c>
    </row>
    <row r="235" spans="1:8" ht="14.4" x14ac:dyDescent="0.3">
      <c r="A235" s="5">
        <f t="shared" si="6"/>
        <v>228</v>
      </c>
      <c r="B235" s="6" t="s">
        <v>1147</v>
      </c>
      <c r="C235" s="6" t="s">
        <v>115</v>
      </c>
      <c r="D235" s="6" t="s">
        <v>17</v>
      </c>
      <c r="E235" s="6" t="s">
        <v>1146</v>
      </c>
      <c r="F235" s="6" t="s">
        <v>221</v>
      </c>
      <c r="G235" s="6">
        <v>52226898</v>
      </c>
      <c r="H235" t="str">
        <f t="shared" si="7"/>
        <v>INSERT INTO `parqueadero`.`vehiculo` (`Oid`, `Placa`, `Medio`, `Tipo`, `Marca`, `Color`, `IdConductor`) VALUES ('228','LNL250','AUTOMÓVIL','COMBUSTIBLE','RENAULT LOGAN ','GRIS CASIOPE','52226898');</v>
      </c>
    </row>
    <row r="236" spans="1:8" ht="14.4" x14ac:dyDescent="0.3">
      <c r="A236" s="5">
        <f t="shared" si="6"/>
        <v>229</v>
      </c>
      <c r="B236" s="6" t="s">
        <v>1157</v>
      </c>
      <c r="C236" s="6" t="s">
        <v>115</v>
      </c>
      <c r="D236" s="6" t="s">
        <v>17</v>
      </c>
      <c r="E236" s="6" t="s">
        <v>1156</v>
      </c>
      <c r="F236" s="6" t="s">
        <v>66</v>
      </c>
      <c r="G236" s="6">
        <v>1002524810</v>
      </c>
      <c r="H236" t="str">
        <f t="shared" si="7"/>
        <v>INSERT INTO `parqueadero`.`vehiculo` (`Oid`, `Placa`, `Medio`, `Tipo`, `Marca`, `Color`, `IdConductor`) VALUES ('229','FNY049','AUTOMÓVIL','COMBUSTIBLE','CHEVROLET SPARK','BLANCO','1002524810');</v>
      </c>
    </row>
    <row r="237" spans="1:8" ht="14.4" x14ac:dyDescent="0.3">
      <c r="A237" s="5">
        <f t="shared" si="6"/>
        <v>230</v>
      </c>
      <c r="B237" s="6" t="s">
        <v>1162</v>
      </c>
      <c r="C237" s="6" t="s">
        <v>2195</v>
      </c>
      <c r="D237" s="6" t="s">
        <v>17</v>
      </c>
      <c r="E237" s="6" t="s">
        <v>1161</v>
      </c>
      <c r="F237" s="6" t="s">
        <v>24</v>
      </c>
      <c r="G237" s="6">
        <v>1020828035</v>
      </c>
      <c r="H237" t="str">
        <f t="shared" si="7"/>
        <v>INSERT INTO `parqueadero`.`vehiculo` (`Oid`, `Placa`, `Medio`, `Tipo`, `Marca`, `Color`, `IdConductor`) VALUES ('230','KXE25G','MOTOCICLETA','COMBUSTIBLE','VICTORY','NEGRO','1020828035');</v>
      </c>
    </row>
    <row r="238" spans="1:8" ht="14.4" x14ac:dyDescent="0.3">
      <c r="A238" s="5">
        <f t="shared" si="6"/>
        <v>231</v>
      </c>
      <c r="B238" s="17" t="s">
        <v>1167</v>
      </c>
      <c r="C238" s="6" t="s">
        <v>143</v>
      </c>
      <c r="D238" s="6" t="s">
        <v>253</v>
      </c>
      <c r="E238" s="17" t="s">
        <v>1166</v>
      </c>
      <c r="F238" s="17" t="s">
        <v>773</v>
      </c>
      <c r="G238" s="17">
        <v>1136888167</v>
      </c>
      <c r="H238" t="str">
        <f t="shared" si="7"/>
        <v>INSERT INTO `parqueadero`.`vehiculo` (`Oid`, `Placa`, `Medio`, `Tipo`, `Marca`, `Color`, `IdConductor`) VALUES ('231','PAX983','CAMIONETA','HÍBRIDO','CHANGAN','GRIS GRAFITO','1136888167');</v>
      </c>
    </row>
    <row r="239" spans="1:8" ht="14.4" x14ac:dyDescent="0.3">
      <c r="A239" s="5">
        <f t="shared" si="6"/>
        <v>232</v>
      </c>
      <c r="B239" s="6" t="s">
        <v>1170</v>
      </c>
      <c r="C239" s="6" t="s">
        <v>115</v>
      </c>
      <c r="D239" s="6" t="s">
        <v>17</v>
      </c>
      <c r="E239" s="6" t="s">
        <v>1087</v>
      </c>
      <c r="F239" s="6" t="s">
        <v>1171</v>
      </c>
      <c r="G239" s="6">
        <v>52084821</v>
      </c>
      <c r="H239" t="str">
        <f t="shared" si="7"/>
        <v>INSERT INTO `parqueadero`.`vehiculo` (`Oid`, `Placa`, `Medio`, `Tipo`, `Marca`, `Color`, `IdConductor`) VALUES ('232','GCQ531','AUTOMÓVIL','COMBUSTIBLE','RENAULT - SANDERO','GRIS PERLA','52084821');</v>
      </c>
    </row>
    <row r="240" spans="1:8" ht="14.4" x14ac:dyDescent="0.3">
      <c r="A240" s="5">
        <f t="shared" si="6"/>
        <v>233</v>
      </c>
      <c r="B240" s="17" t="s">
        <v>1179</v>
      </c>
      <c r="C240" s="6" t="s">
        <v>2195</v>
      </c>
      <c r="D240" s="17" t="s">
        <v>17</v>
      </c>
      <c r="E240" s="17" t="s">
        <v>701</v>
      </c>
      <c r="F240" s="17" t="s">
        <v>66</v>
      </c>
      <c r="G240" s="17">
        <v>80897139</v>
      </c>
      <c r="H240" t="str">
        <f t="shared" si="7"/>
        <v>INSERT INTO `parqueadero`.`vehiculo` (`Oid`, `Placa`, `Medio`, `Tipo`, `Marca`, `Color`, `IdConductor`) VALUES ('233','QVH56C','MOTOCICLETA','COMBUSTIBLE','YAMAHA','BLANCO','80897139');</v>
      </c>
    </row>
    <row r="241" spans="1:8" ht="14.4" x14ac:dyDescent="0.3">
      <c r="A241" s="5">
        <f t="shared" si="6"/>
        <v>234</v>
      </c>
      <c r="B241" s="6" t="s">
        <v>1182</v>
      </c>
      <c r="C241" s="6" t="s">
        <v>143</v>
      </c>
      <c r="D241" s="6" t="s">
        <v>17</v>
      </c>
      <c r="E241" s="6" t="s">
        <v>202</v>
      </c>
      <c r="F241" s="6" t="s">
        <v>96</v>
      </c>
      <c r="G241" s="6">
        <v>51736627</v>
      </c>
      <c r="H241" t="str">
        <f t="shared" si="7"/>
        <v>INSERT INTO `parqueadero`.`vehiculo` (`Oid`, `Placa`, `Medio`, `Tipo`, `Marca`, `Color`, `IdConductor`) VALUES ('234','FPV215','CAMIONETA','COMBUSTIBLE','VOLKSWAGEN','GRIS PLATINO METALICO','51736627');</v>
      </c>
    </row>
    <row r="242" spans="1:8" ht="14.4" x14ac:dyDescent="0.3">
      <c r="A242" s="5">
        <f t="shared" si="6"/>
        <v>235</v>
      </c>
      <c r="B242" s="6" t="s">
        <v>1186</v>
      </c>
      <c r="C242" s="6" t="s">
        <v>115</v>
      </c>
      <c r="D242" s="6" t="s">
        <v>17</v>
      </c>
      <c r="E242" s="6" t="s">
        <v>781</v>
      </c>
      <c r="F242" s="6" t="s">
        <v>166</v>
      </c>
      <c r="G242" s="6">
        <v>51655384</v>
      </c>
      <c r="H242" t="str">
        <f t="shared" si="7"/>
        <v>INSERT INTO `parqueadero`.`vehiculo` (`Oid`, `Placa`, `Medio`, `Tipo`, `Marca`, `Color`, `IdConductor`) VALUES ('235','IJL691','AUTOMÓVIL','COMBUSTIBLE','CHEVROLET SONIC','GRIS OSCURO','51655384');</v>
      </c>
    </row>
    <row r="243" spans="1:8" ht="14.4" x14ac:dyDescent="0.3">
      <c r="A243" s="5">
        <f t="shared" si="6"/>
        <v>236</v>
      </c>
      <c r="B243" s="6" t="s">
        <v>1191</v>
      </c>
      <c r="C243" s="6" t="s">
        <v>115</v>
      </c>
      <c r="D243" s="6" t="s">
        <v>17</v>
      </c>
      <c r="E243" s="6" t="s">
        <v>1190</v>
      </c>
      <c r="F243" s="6" t="s">
        <v>1192</v>
      </c>
      <c r="G243" s="6">
        <v>19366198</v>
      </c>
      <c r="H243" t="str">
        <f t="shared" si="7"/>
        <v>INSERT INTO `parqueadero`.`vehiculo` (`Oid`, `Placa`, `Medio`, `Tipo`, `Marca`, `Color`, `IdConductor`) VALUES ('236','KOV035','AUTOMÓVIL','COMBUSTIBLE','CHEVROLET JOY','GRIS SATIN','19366198');</v>
      </c>
    </row>
    <row r="244" spans="1:8" ht="14.4" x14ac:dyDescent="0.3">
      <c r="A244" s="5">
        <f t="shared" si="6"/>
        <v>237</v>
      </c>
      <c r="B244" s="17" t="s">
        <v>1196</v>
      </c>
      <c r="C244" s="6" t="s">
        <v>143</v>
      </c>
      <c r="D244" s="17" t="s">
        <v>17</v>
      </c>
      <c r="E244" s="17" t="s">
        <v>75</v>
      </c>
      <c r="F244" s="17" t="s">
        <v>66</v>
      </c>
      <c r="G244" s="17">
        <v>1010185027</v>
      </c>
      <c r="H244" t="str">
        <f t="shared" si="7"/>
        <v>INSERT INTO `parqueadero`.`vehiculo` (`Oid`, `Placa`, `Medio`, `Tipo`, `Marca`, `Color`, `IdConductor`) VALUES ('237','FQP716','CAMIONETA','COMBUSTIBLE','MAZDA','BLANCO','1010185027');</v>
      </c>
    </row>
    <row r="245" spans="1:8" ht="14.4" x14ac:dyDescent="0.3">
      <c r="A245" s="5">
        <f t="shared" si="6"/>
        <v>238</v>
      </c>
      <c r="B245" s="17" t="s">
        <v>1201</v>
      </c>
      <c r="C245" s="6" t="s">
        <v>143</v>
      </c>
      <c r="D245" s="17" t="s">
        <v>17</v>
      </c>
      <c r="E245" s="17" t="s">
        <v>1200</v>
      </c>
      <c r="F245" s="17" t="s">
        <v>66</v>
      </c>
      <c r="G245" s="17">
        <v>1019025949</v>
      </c>
      <c r="H245" t="str">
        <f t="shared" si="7"/>
        <v>INSERT INTO `parqueadero`.`vehiculo` (`Oid`, `Placa`, `Medio`, `Tipo`, `Marca`, `Color`, `IdConductor`) VALUES ('238','RKP236','CAMIONETA','COMBUSTIBLE','CHEVROLET CAPTIVA','BLANCO','1019025949');</v>
      </c>
    </row>
    <row r="246" spans="1:8" ht="14.4" x14ac:dyDescent="0.3">
      <c r="A246" s="5">
        <f t="shared" si="6"/>
        <v>239</v>
      </c>
      <c r="B246" s="17" t="s">
        <v>1205</v>
      </c>
      <c r="C246" s="6" t="s">
        <v>115</v>
      </c>
      <c r="D246" s="17" t="s">
        <v>17</v>
      </c>
      <c r="E246" s="17" t="s">
        <v>196</v>
      </c>
      <c r="F246" s="17" t="s">
        <v>1206</v>
      </c>
      <c r="G246" s="17">
        <v>79967484</v>
      </c>
      <c r="H246" t="str">
        <f t="shared" si="7"/>
        <v>INSERT INTO `parqueadero`.`vehiculo` (`Oid`, `Placa`, `Medio`, `Tipo`, `Marca`, `Color`, `IdConductor`) VALUES ('239','JWY962','AUTOMÓVIL','COMBUSTIBLE','NISSAN VERSA','AZUL COBALTO','79967484');</v>
      </c>
    </row>
    <row r="247" spans="1:8" ht="14.4" x14ac:dyDescent="0.3">
      <c r="A247" s="5">
        <f t="shared" si="6"/>
        <v>240</v>
      </c>
      <c r="B247" s="17" t="s">
        <v>1210</v>
      </c>
      <c r="C247" s="6" t="s">
        <v>115</v>
      </c>
      <c r="D247" s="17" t="s">
        <v>17</v>
      </c>
      <c r="E247" s="17" t="s">
        <v>304</v>
      </c>
      <c r="F247" s="17" t="s">
        <v>24</v>
      </c>
      <c r="G247" s="17">
        <v>74370778</v>
      </c>
      <c r="H247" t="str">
        <f t="shared" si="7"/>
        <v>INSERT INTO `parqueadero`.`vehiculo` (`Oid`, `Placa`, `Medio`, `Tipo`, `Marca`, `Color`, `IdConductor`) VALUES ('240','IWP358','AUTOMÓVIL','COMBUSTIBLE','RENAULT','NEGRO','74370778');</v>
      </c>
    </row>
    <row r="248" spans="1:8" ht="14.4" x14ac:dyDescent="0.3">
      <c r="A248" s="5">
        <f t="shared" si="6"/>
        <v>241</v>
      </c>
      <c r="B248" s="6" t="s">
        <v>1215</v>
      </c>
      <c r="C248" s="6" t="s">
        <v>115</v>
      </c>
      <c r="D248" s="6" t="s">
        <v>253</v>
      </c>
      <c r="E248" s="6" t="s">
        <v>1214</v>
      </c>
      <c r="F248" s="6" t="s">
        <v>1216</v>
      </c>
      <c r="G248" s="6">
        <v>1015399199</v>
      </c>
      <c r="H248" t="str">
        <f t="shared" si="7"/>
        <v>INSERT INTO `parqueadero`.`vehiculo` (`Oid`, `Placa`, `Medio`, `Tipo`, `Marca`, `Color`, `IdConductor`) VALUES ('241','PDX410','AUTOMÓVIL','HÍBRIDO','CUPRA','GRIS NOCHE','1015399199');</v>
      </c>
    </row>
    <row r="249" spans="1:8" ht="14.4" x14ac:dyDescent="0.3">
      <c r="A249" s="5">
        <f t="shared" si="6"/>
        <v>242</v>
      </c>
      <c r="B249" s="6" t="s">
        <v>1221</v>
      </c>
      <c r="C249" s="6" t="s">
        <v>115</v>
      </c>
      <c r="D249" s="6" t="s">
        <v>253</v>
      </c>
      <c r="E249" s="6" t="s">
        <v>1220</v>
      </c>
      <c r="F249" s="6" t="s">
        <v>60</v>
      </c>
      <c r="G249" s="6">
        <v>79331288</v>
      </c>
      <c r="H249" t="str">
        <f t="shared" si="7"/>
        <v>INSERT INTO `parqueadero`.`vehiculo` (`Oid`, `Placa`, `Medio`, `Tipo`, `Marca`, `Color`, `IdConductor`) VALUES ('242','PZS643','AUTOMÓVIL','HÍBRIDO','HIUNDAY','GRIS','79331288');</v>
      </c>
    </row>
    <row r="250" spans="1:8" ht="14.4" x14ac:dyDescent="0.3">
      <c r="A250" s="5">
        <f t="shared" si="6"/>
        <v>243</v>
      </c>
      <c r="B250" s="17" t="s">
        <v>1225</v>
      </c>
      <c r="C250" s="6" t="s">
        <v>115</v>
      </c>
      <c r="D250" s="17" t="s">
        <v>17</v>
      </c>
      <c r="E250" s="17" t="s">
        <v>58</v>
      </c>
      <c r="F250" s="17" t="s">
        <v>18</v>
      </c>
      <c r="G250" s="17">
        <v>1012383494</v>
      </c>
      <c r="H250" t="str">
        <f t="shared" si="7"/>
        <v>INSERT INTO `parqueadero`.`vehiculo` (`Oid`, `Placa`, `Medio`, `Tipo`, `Marca`, `Color`, `IdConductor`) VALUES ('243','JLX436','AUTOMÓVIL','COMBUSTIBLE','CHEVROLET','AZUL','1012383494');</v>
      </c>
    </row>
    <row r="251" spans="1:8" ht="14.4" x14ac:dyDescent="0.3">
      <c r="A251" s="5">
        <f t="shared" si="6"/>
        <v>244</v>
      </c>
      <c r="B251" s="17" t="s">
        <v>1231</v>
      </c>
      <c r="C251" s="6" t="s">
        <v>2195</v>
      </c>
      <c r="D251" s="17" t="s">
        <v>17</v>
      </c>
      <c r="E251" s="17" t="s">
        <v>1230</v>
      </c>
      <c r="F251" s="17" t="s">
        <v>1232</v>
      </c>
      <c r="G251" s="17">
        <v>1026578164</v>
      </c>
      <c r="H251" t="str">
        <f t="shared" si="7"/>
        <v>INSERT INTO `parqueadero`.`vehiculo` (`Oid`, `Placa`, `Medio`, `Tipo`, `Marca`, `Color`, `IdConductor`) VALUES ('244','VEK73F','MOTOCICLETA','COMBUSTIBLE','KTM','NARANJA Y NEGRO','1026578164');</v>
      </c>
    </row>
    <row r="252" spans="1:8" ht="14.4" x14ac:dyDescent="0.3">
      <c r="A252" s="5">
        <f t="shared" si="6"/>
        <v>245</v>
      </c>
      <c r="B252" s="6" t="s">
        <v>1235</v>
      </c>
      <c r="C252" s="6" t="s">
        <v>115</v>
      </c>
      <c r="D252" s="6" t="s">
        <v>253</v>
      </c>
      <c r="E252" s="6" t="s">
        <v>276</v>
      </c>
      <c r="F252" s="6" t="s">
        <v>18</v>
      </c>
      <c r="G252" s="6">
        <v>79794570</v>
      </c>
      <c r="H252" t="str">
        <f t="shared" si="7"/>
        <v>INSERT INTO `parqueadero`.`vehiculo` (`Oid`, `Placa`, `Medio`, `Tipo`, `Marca`, `Color`, `IdConductor`) VALUES ('245','NLZ576','AUTOMÓVIL','HÍBRIDO','SUZUKI','AZUL','79794570');</v>
      </c>
    </row>
    <row r="253" spans="1:8" ht="14.4" x14ac:dyDescent="0.3">
      <c r="A253" s="5">
        <f t="shared" si="6"/>
        <v>246</v>
      </c>
      <c r="B253" s="6" t="s">
        <v>1239</v>
      </c>
      <c r="C253" s="6" t="s">
        <v>115</v>
      </c>
      <c r="D253" s="6" t="s">
        <v>17</v>
      </c>
      <c r="E253" s="6" t="s">
        <v>452</v>
      </c>
      <c r="F253" s="6" t="s">
        <v>1240</v>
      </c>
      <c r="G253" s="6">
        <v>80755333</v>
      </c>
      <c r="H253" t="str">
        <f t="shared" si="7"/>
        <v>INSERT INTO `parqueadero`.`vehiculo` (`Oid`, `Placa`, `Medio`, `Tipo`, `Marca`, `Color`, `IdConductor`) VALUES ('246','POT373','AUTOMÓVIL','COMBUSTIBLE','KWID','AZUL IRON','80755333');</v>
      </c>
    </row>
    <row r="254" spans="1:8" ht="14.4" x14ac:dyDescent="0.3">
      <c r="A254" s="5">
        <f t="shared" si="6"/>
        <v>247</v>
      </c>
      <c r="B254" s="6" t="s">
        <v>1244</v>
      </c>
      <c r="C254" s="6" t="s">
        <v>143</v>
      </c>
      <c r="D254" s="6" t="s">
        <v>17</v>
      </c>
      <c r="E254" s="6" t="s">
        <v>1243</v>
      </c>
      <c r="F254" s="6" t="s">
        <v>1245</v>
      </c>
      <c r="G254" s="6">
        <v>79547192</v>
      </c>
      <c r="H254" t="str">
        <f t="shared" si="7"/>
        <v>INSERT INTO `parqueadero`.`vehiculo` (`Oid`, `Placa`, `Medio`, `Tipo`, `Marca`, `Color`, `IdConductor`) VALUES ('247','URT559','CAMIONETA','COMBUSTIBLE','CHERY VAN ','ROJO IMPERIAL','79547192');</v>
      </c>
    </row>
    <row r="255" spans="1:8" ht="14.4" x14ac:dyDescent="0.3">
      <c r="A255" s="5">
        <f t="shared" si="6"/>
        <v>248</v>
      </c>
      <c r="B255" s="6" t="s">
        <v>1249</v>
      </c>
      <c r="C255" s="6" t="s">
        <v>143</v>
      </c>
      <c r="D255" s="6" t="s">
        <v>253</v>
      </c>
      <c r="E255" s="6" t="s">
        <v>64</v>
      </c>
      <c r="F255" s="6" t="s">
        <v>134</v>
      </c>
      <c r="G255" s="6">
        <v>63548541</v>
      </c>
      <c r="H255" t="str">
        <f t="shared" si="7"/>
        <v>INSERT INTO `parqueadero`.`vehiculo` (`Oid`, `Placa`, `Medio`, `Tipo`, `Marca`, `Color`, `IdConductor`) VALUES ('248','KWO992','CAMIONETA','HÍBRIDO','TOYOTA','GRIS ','63548541');</v>
      </c>
    </row>
    <row r="256" spans="1:8" ht="14.4" x14ac:dyDescent="0.3">
      <c r="A256" s="5">
        <f t="shared" si="6"/>
        <v>249</v>
      </c>
      <c r="B256" s="6" t="s">
        <v>1253</v>
      </c>
      <c r="C256" s="6" t="s">
        <v>115</v>
      </c>
      <c r="D256" s="6" t="s">
        <v>17</v>
      </c>
      <c r="E256" s="6" t="s">
        <v>1252</v>
      </c>
      <c r="F256" s="6" t="s">
        <v>60</v>
      </c>
      <c r="G256" s="6">
        <v>52265674</v>
      </c>
      <c r="H256" t="str">
        <f t="shared" si="7"/>
        <v>INSERT INTO `parqueadero`.`vehiculo` (`Oid`, `Placa`, `Medio`, `Tipo`, `Marca`, `Color`, `IdConductor`) VALUES ('249','LOZ836','AUTOMÓVIL','COMBUSTIBLE','WOLSKWAGEN','GRIS','52265674');</v>
      </c>
    </row>
    <row r="257" spans="1:8" ht="14.4" x14ac:dyDescent="0.3">
      <c r="A257" s="5">
        <f t="shared" si="6"/>
        <v>250</v>
      </c>
      <c r="B257" s="6" t="s">
        <v>1257</v>
      </c>
      <c r="C257" s="6" t="s">
        <v>143</v>
      </c>
      <c r="D257" s="6" t="s">
        <v>17</v>
      </c>
      <c r="E257" s="6" t="s">
        <v>354</v>
      </c>
      <c r="F257" s="6" t="s">
        <v>1258</v>
      </c>
      <c r="G257" s="6">
        <v>43877882</v>
      </c>
      <c r="H257" t="str">
        <f t="shared" si="7"/>
        <v>INSERT INTO `parqueadero`.`vehiculo` (`Oid`, `Placa`, `Medio`, `Tipo`, `Marca`, `Color`, `IdConductor`) VALUES ('250','ELS298','CAMIONETA','COMBUSTIBLE','NISSAN ','PLATA ','43877882');</v>
      </c>
    </row>
    <row r="258" spans="1:8" ht="14.4" x14ac:dyDescent="0.3">
      <c r="A258" s="5">
        <f t="shared" si="6"/>
        <v>251</v>
      </c>
      <c r="B258" s="6" t="s">
        <v>1262</v>
      </c>
      <c r="C258" s="6" t="s">
        <v>2195</v>
      </c>
      <c r="D258" s="6" t="s">
        <v>17</v>
      </c>
      <c r="E258" s="6" t="s">
        <v>363</v>
      </c>
      <c r="F258" s="6" t="s">
        <v>1263</v>
      </c>
      <c r="G258" s="6">
        <v>1010243381</v>
      </c>
      <c r="H258" t="str">
        <f t="shared" si="7"/>
        <v>INSERT INTO `parqueadero`.`vehiculo` (`Oid`, `Placa`, `Medio`, `Tipo`, `Marca`, `Color`, `IdConductor`) VALUES ('251','RSX87G','MOTOCICLETA','COMBUSTIBLE','SUSUKI','AZUL MATE','1010243381');</v>
      </c>
    </row>
    <row r="259" spans="1:8" ht="14.4" x14ac:dyDescent="0.3">
      <c r="A259" s="5">
        <f t="shared" si="6"/>
        <v>252</v>
      </c>
      <c r="B259" s="6" t="s">
        <v>1266</v>
      </c>
      <c r="C259" s="6" t="s">
        <v>115</v>
      </c>
      <c r="D259" s="6" t="s">
        <v>17</v>
      </c>
      <c r="E259" s="6" t="s">
        <v>123</v>
      </c>
      <c r="F259" s="6" t="s">
        <v>60</v>
      </c>
      <c r="G259" s="6">
        <v>1018493253</v>
      </c>
      <c r="H259" t="str">
        <f t="shared" si="7"/>
        <v>INSERT INTO `parqueadero`.`vehiculo` (`Oid`, `Placa`, `Medio`, `Tipo`, `Marca`, `Color`, `IdConductor`) VALUES ('252','MCZ065','AUTOMÓVIL','COMBUSTIBLE','CHEVROLET ','GRIS','1018493253');</v>
      </c>
    </row>
    <row r="260" spans="1:8" ht="14.4" x14ac:dyDescent="0.3">
      <c r="A260" s="5">
        <f t="shared" si="6"/>
        <v>253</v>
      </c>
      <c r="B260" s="6" t="s">
        <v>1270</v>
      </c>
      <c r="C260" s="6" t="s">
        <v>2195</v>
      </c>
      <c r="D260" s="6" t="s">
        <v>17</v>
      </c>
      <c r="E260" s="6" t="s">
        <v>1269</v>
      </c>
      <c r="F260" s="6" t="s">
        <v>18</v>
      </c>
      <c r="G260" s="6">
        <v>1018428215</v>
      </c>
      <c r="H260" t="str">
        <f t="shared" si="7"/>
        <v>INSERT INTO `parqueadero`.`vehiculo` (`Oid`, `Placa`, `Medio`, `Tipo`, `Marca`, `Color`, `IdConductor`) VALUES ('253','BWG20C','MOTOCICLETA','COMBUSTIBLE','SUZUKI GS125','AZUL','1018428215');</v>
      </c>
    </row>
    <row r="261" spans="1:8" ht="14.4" x14ac:dyDescent="0.3">
      <c r="A261" s="5">
        <f t="shared" ref="A261:A322" si="8">ROW()-7</f>
        <v>254</v>
      </c>
      <c r="B261" s="6" t="s">
        <v>1273</v>
      </c>
      <c r="C261" s="6" t="s">
        <v>2195</v>
      </c>
      <c r="D261" s="6" t="s">
        <v>17</v>
      </c>
      <c r="E261" s="6" t="s">
        <v>1272</v>
      </c>
      <c r="F261" s="6" t="s">
        <v>1274</v>
      </c>
      <c r="G261" s="6">
        <v>1012397431</v>
      </c>
      <c r="H261" t="str">
        <f t="shared" si="7"/>
        <v>INSERT INTO `parqueadero`.`vehiculo` (`Oid`, `Placa`, `Medio`, `Tipo`, `Marca`, `Color`, `IdConductor`) VALUES ('254','UAQ31H','MOTOCICLETA','COMBUSTIBLE','YAMAHA FZ25 3.0','NEGRO GRIS','1012397431');</v>
      </c>
    </row>
    <row r="262" spans="1:8" ht="14.4" x14ac:dyDescent="0.3">
      <c r="A262" s="5">
        <f t="shared" si="8"/>
        <v>255</v>
      </c>
      <c r="B262" s="6" t="s">
        <v>1277</v>
      </c>
      <c r="C262" s="6" t="s">
        <v>2195</v>
      </c>
      <c r="D262" s="6" t="s">
        <v>17</v>
      </c>
      <c r="E262" s="6" t="s">
        <v>1276</v>
      </c>
      <c r="F262" s="6" t="s">
        <v>24</v>
      </c>
      <c r="G262" s="6">
        <v>1012337063</v>
      </c>
      <c r="H262" t="str">
        <f t="shared" si="7"/>
        <v>INSERT INTO `parqueadero`.`vehiculo` (`Oid`, `Placa`, `Medio`, `Tipo`, `Marca`, `Color`, `IdConductor`) VALUES ('255','FXV46H','MOTOCICLETA','COMBUSTIBLE','HERO HUNK 160R','NEGRO','1012337063');</v>
      </c>
    </row>
    <row r="263" spans="1:8" ht="14.4" x14ac:dyDescent="0.3">
      <c r="A263" s="5">
        <f t="shared" si="8"/>
        <v>256</v>
      </c>
      <c r="B263" s="6" t="s">
        <v>1284</v>
      </c>
      <c r="C263" s="6" t="s">
        <v>143</v>
      </c>
      <c r="D263" s="6" t="s">
        <v>253</v>
      </c>
      <c r="E263" s="6" t="s">
        <v>1036</v>
      </c>
      <c r="F263" s="6" t="s">
        <v>66</v>
      </c>
      <c r="G263" s="6">
        <v>275407</v>
      </c>
      <c r="H263" t="str">
        <f t="shared" si="7"/>
        <v>INSERT INTO `parqueadero`.`vehiculo` (`Oid`, `Placa`, `Medio`, `Tipo`, `Marca`, `Color`, `IdConductor`) VALUES ('256','KWZ493','CAMIONETA','HÍBRIDO','SUBARU','BLANCO','275407');</v>
      </c>
    </row>
    <row r="264" spans="1:8" ht="14.4" x14ac:dyDescent="0.3">
      <c r="A264" s="5">
        <f t="shared" si="8"/>
        <v>257</v>
      </c>
      <c r="B264" s="6" t="s">
        <v>1287</v>
      </c>
      <c r="C264" s="6" t="s">
        <v>2195</v>
      </c>
      <c r="D264" s="6" t="s">
        <v>17</v>
      </c>
      <c r="E264" s="6" t="s">
        <v>1286</v>
      </c>
      <c r="F264" s="6" t="s">
        <v>66</v>
      </c>
      <c r="G264" s="6">
        <v>1000180027</v>
      </c>
      <c r="H264" t="str">
        <f t="shared" si="7"/>
        <v>INSERT INTO `parqueadero`.`vehiculo` (`Oid`, `Placa`, `Medio`, `Tipo`, `Marca`, `Color`, `IdConductor`) VALUES ('257','ZFD64H','MOTOCICLETA','COMBUSTIBLE','AKT NKD 125 ','BLANCO','1000180027');</v>
      </c>
    </row>
    <row r="265" spans="1:8" ht="14.4" x14ac:dyDescent="0.3">
      <c r="A265" s="5">
        <f t="shared" si="8"/>
        <v>258</v>
      </c>
      <c r="B265" s="6" t="s">
        <v>1291</v>
      </c>
      <c r="C265" s="6" t="s">
        <v>143</v>
      </c>
      <c r="D265" s="6" t="s">
        <v>17</v>
      </c>
      <c r="E265" s="6" t="s">
        <v>1290</v>
      </c>
      <c r="F265" s="6" t="s">
        <v>18</v>
      </c>
      <c r="G265" s="6">
        <v>52712916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('258','EJU191','CAMIONETA','COMBUSTIBLE','JEEP RENEGADE','AZUL','52712916');</v>
      </c>
    </row>
    <row r="266" spans="1:8" ht="14.4" x14ac:dyDescent="0.3">
      <c r="A266" s="5">
        <f t="shared" si="8"/>
        <v>259</v>
      </c>
      <c r="B266" s="6" t="s">
        <v>1294</v>
      </c>
      <c r="C266" s="6" t="s">
        <v>115</v>
      </c>
      <c r="D266" s="6" t="s">
        <v>17</v>
      </c>
      <c r="E266" s="6" t="s">
        <v>164</v>
      </c>
      <c r="F266" s="6" t="s">
        <v>60</v>
      </c>
      <c r="G266" s="6">
        <v>79605849</v>
      </c>
      <c r="H266" t="str">
        <f t="shared" si="9"/>
        <v>INSERT INTO `parqueadero`.`vehiculo` (`Oid`, `Placa`, `Medio`, `Tipo`, `Marca`, `Color`, `IdConductor`) VALUES ('259','ZYM788','AUTOMÓVIL','COMBUSTIBLE','KIA','GRIS','79605849');</v>
      </c>
    </row>
    <row r="267" spans="1:8" ht="14.4" x14ac:dyDescent="0.3">
      <c r="A267" s="5">
        <f t="shared" si="8"/>
        <v>260</v>
      </c>
      <c r="B267" s="6" t="s">
        <v>1303</v>
      </c>
      <c r="C267" s="6" t="s">
        <v>143</v>
      </c>
      <c r="D267" s="6" t="s">
        <v>17</v>
      </c>
      <c r="E267" s="6" t="s">
        <v>1036</v>
      </c>
      <c r="F267" s="6" t="s">
        <v>18</v>
      </c>
      <c r="G267" s="6">
        <v>79688967</v>
      </c>
      <c r="H267" t="str">
        <f t="shared" si="9"/>
        <v>INSERT INTO `parqueadero`.`vehiculo` (`Oid`, `Placa`, `Medio`, `Tipo`, `Marca`, `Color`, `IdConductor`) VALUES ('260','GMZ660','CAMIONETA','COMBUSTIBLE','SUBARU','AZUL','79688967');</v>
      </c>
    </row>
    <row r="268" spans="1:8" ht="14.4" x14ac:dyDescent="0.3">
      <c r="A268" s="5">
        <f t="shared" si="8"/>
        <v>261</v>
      </c>
      <c r="B268" s="6" t="s">
        <v>1307</v>
      </c>
      <c r="C268" s="6" t="s">
        <v>115</v>
      </c>
      <c r="D268" s="6" t="s">
        <v>17</v>
      </c>
      <c r="E268" s="6" t="s">
        <v>202</v>
      </c>
      <c r="F268" s="6" t="s">
        <v>18</v>
      </c>
      <c r="G268" s="6">
        <v>1001299742</v>
      </c>
      <c r="H268" t="str">
        <f t="shared" si="9"/>
        <v>INSERT INTO `parqueadero`.`vehiculo` (`Oid`, `Placa`, `Medio`, `Tipo`, `Marca`, `Color`, `IdConductor`) VALUES ('261','JYK889','AUTOMÓVIL','COMBUSTIBLE','VOLKSWAGEN','AZUL','1001299742');</v>
      </c>
    </row>
    <row r="269" spans="1:8" ht="14.4" x14ac:dyDescent="0.3">
      <c r="A269" s="5">
        <f t="shared" si="8"/>
        <v>262</v>
      </c>
      <c r="B269" s="6" t="s">
        <v>1312</v>
      </c>
      <c r="C269" s="6" t="s">
        <v>115</v>
      </c>
      <c r="D269" s="6" t="s">
        <v>17</v>
      </c>
      <c r="E269" s="6" t="s">
        <v>1311</v>
      </c>
      <c r="F269" s="6" t="s">
        <v>24</v>
      </c>
      <c r="G269" s="6">
        <v>52086502</v>
      </c>
      <c r="H269" t="str">
        <f t="shared" si="9"/>
        <v>INSERT INTO `parqueadero`.`vehiculo` (`Oid`, `Placa`, `Medio`, `Tipo`, `Marca`, `Color`, `IdConductor`) VALUES ('262','IKU268','AUTOMÓVIL','COMBUSTIBLE','NISSAN MARCH','NEGRO','52086502');</v>
      </c>
    </row>
    <row r="270" spans="1:8" ht="14.4" x14ac:dyDescent="0.3">
      <c r="A270" s="5">
        <f t="shared" si="8"/>
        <v>263</v>
      </c>
      <c r="B270" s="6" t="s">
        <v>1317</v>
      </c>
      <c r="C270" s="6" t="s">
        <v>143</v>
      </c>
      <c r="D270" s="6" t="s">
        <v>253</v>
      </c>
      <c r="E270" s="6" t="s">
        <v>1316</v>
      </c>
      <c r="F270" s="6" t="s">
        <v>60</v>
      </c>
      <c r="G270" s="6">
        <v>1022399279</v>
      </c>
      <c r="H270" t="str">
        <f t="shared" si="9"/>
        <v>INSERT INTO `parqueadero`.`vehiculo` (`Oid`, `Placa`, `Medio`, `Tipo`, `Marca`, `Color`, `IdConductor`) VALUES ('263','PGR386','CAMIONETA','HÍBRIDO','SUSUKI SCROSS','GRIS','1022399279');</v>
      </c>
    </row>
    <row r="271" spans="1:8" ht="14.4" x14ac:dyDescent="0.3">
      <c r="A271" s="5">
        <f t="shared" si="8"/>
        <v>264</v>
      </c>
      <c r="B271" s="6" t="s">
        <v>1325</v>
      </c>
      <c r="C271" s="6" t="s">
        <v>115</v>
      </c>
      <c r="D271" s="6" t="s">
        <v>17</v>
      </c>
      <c r="E271" s="6" t="s">
        <v>132</v>
      </c>
      <c r="F271" s="6" t="s">
        <v>177</v>
      </c>
      <c r="G271" s="6">
        <v>1083000460</v>
      </c>
      <c r="H271" t="str">
        <f t="shared" si="9"/>
        <v>INSERT INTO `parqueadero`.`vehiculo` (`Oid`, `Placa`, `Medio`, `Tipo`, `Marca`, `Color`, `IdConductor`) VALUES ('264','UUQ628','AUTOMÓVIL','COMBUSTIBLE','BMW','NEGRO ','1083000460');</v>
      </c>
    </row>
    <row r="272" spans="1:8" ht="14.4" x14ac:dyDescent="0.3">
      <c r="A272" s="5">
        <f t="shared" si="8"/>
        <v>265</v>
      </c>
      <c r="B272" s="6" t="s">
        <v>1329</v>
      </c>
      <c r="C272" s="6" t="s">
        <v>143</v>
      </c>
      <c r="D272" s="6" t="s">
        <v>129</v>
      </c>
      <c r="E272" s="6" t="s">
        <v>22</v>
      </c>
      <c r="F272" s="6" t="s">
        <v>60</v>
      </c>
      <c r="G272" s="6">
        <v>1010169744</v>
      </c>
      <c r="H272" t="str">
        <f t="shared" si="9"/>
        <v>INSERT INTO `parqueadero`.`vehiculo` (`Oid`, `Placa`, `Medio`, `Tipo`, `Marca`, `Color`, `IdConductor`) VALUES ('265','KXV319','CAMIONETA','ELÉCTRICO','BYD','GRIS','1010169744');</v>
      </c>
    </row>
    <row r="273" spans="1:8" ht="14.4" x14ac:dyDescent="0.3">
      <c r="A273" s="5">
        <f t="shared" si="8"/>
        <v>266</v>
      </c>
      <c r="B273" s="6" t="s">
        <v>1334</v>
      </c>
      <c r="C273" s="6" t="s">
        <v>143</v>
      </c>
      <c r="D273" s="6" t="s">
        <v>17</v>
      </c>
      <c r="E273" s="6" t="s">
        <v>1333</v>
      </c>
      <c r="F273" s="6" t="s">
        <v>60</v>
      </c>
      <c r="G273" s="6">
        <v>52243622</v>
      </c>
      <c r="H273" t="str">
        <f t="shared" si="9"/>
        <v>INSERT INTO `parqueadero`.`vehiculo` (`Oid`, `Placa`, `Medio`, `Tipo`, `Marca`, `Color`, `IdConductor`) VALUES ('266','JRL402','CAMIONETA','COMBUSTIBLE','PEUGEOT','GRIS','52243622');</v>
      </c>
    </row>
    <row r="274" spans="1:8" ht="14.4" x14ac:dyDescent="0.3">
      <c r="A274" s="5">
        <f t="shared" si="8"/>
        <v>267</v>
      </c>
      <c r="B274" s="6" t="s">
        <v>1340</v>
      </c>
      <c r="C274" s="6" t="s">
        <v>115</v>
      </c>
      <c r="D274" s="6" t="s">
        <v>17</v>
      </c>
      <c r="E274" s="6" t="s">
        <v>1339</v>
      </c>
      <c r="F274" s="6" t="s">
        <v>44</v>
      </c>
      <c r="G274" s="6">
        <v>1018491200</v>
      </c>
      <c r="H274" t="str">
        <f t="shared" si="9"/>
        <v>INSERT INTO `parqueadero`.`vehiculo` (`Oid`, `Placa`, `Medio`, `Tipo`, `Marca`, `Color`, `IdConductor`) VALUES ('267','MCV622','AUTOMÓVIL','COMBUSTIBLE','FORD FIESTA','ROJO','1018491200');</v>
      </c>
    </row>
    <row r="275" spans="1:8" ht="14.4" x14ac:dyDescent="0.3">
      <c r="A275" s="5">
        <f t="shared" si="8"/>
        <v>268</v>
      </c>
      <c r="B275" s="6" t="s">
        <v>1344</v>
      </c>
      <c r="C275" s="6" t="s">
        <v>115</v>
      </c>
      <c r="D275" s="6" t="s">
        <v>17</v>
      </c>
      <c r="E275" s="6" t="s">
        <v>501</v>
      </c>
      <c r="F275" s="6" t="s">
        <v>24</v>
      </c>
      <c r="G275" s="6">
        <v>1024568532</v>
      </c>
      <c r="H275" t="str">
        <f t="shared" si="9"/>
        <v>INSERT INTO `parqueadero`.`vehiculo` (`Oid`, `Placa`, `Medio`, `Tipo`, `Marca`, `Color`, `IdConductor`) VALUES ('268','GPQ549','AUTOMÓVIL','COMBUSTIBLE','NISSAN','NEGRO','1024568532');</v>
      </c>
    </row>
    <row r="276" spans="1:8" ht="14.4" x14ac:dyDescent="0.3">
      <c r="A276" s="5">
        <f t="shared" si="8"/>
        <v>269</v>
      </c>
      <c r="B276" s="6" t="s">
        <v>1349</v>
      </c>
      <c r="C276" s="6" t="s">
        <v>143</v>
      </c>
      <c r="D276" s="6" t="s">
        <v>17</v>
      </c>
      <c r="E276" s="6" t="s">
        <v>1348</v>
      </c>
      <c r="F276" s="6" t="s">
        <v>134</v>
      </c>
      <c r="G276" s="6">
        <v>1013579971</v>
      </c>
      <c r="H276" t="str">
        <f t="shared" si="9"/>
        <v>INSERT INTO `parqueadero`.`vehiculo` (`Oid`, `Placa`, `Medio`, `Tipo`, `Marca`, `Color`, `IdConductor`) VALUES ('269','EBO249','CAMIONETA','COMBUSTIBLE','CITROEN','GRIS ','1013579971');</v>
      </c>
    </row>
    <row r="277" spans="1:8" ht="14.4" x14ac:dyDescent="0.3">
      <c r="A277" s="5">
        <f t="shared" si="8"/>
        <v>270</v>
      </c>
      <c r="B277" s="6" t="s">
        <v>1354</v>
      </c>
      <c r="C277" s="6" t="s">
        <v>115</v>
      </c>
      <c r="D277" s="6" t="s">
        <v>17</v>
      </c>
      <c r="E277" s="6" t="s">
        <v>304</v>
      </c>
      <c r="F277" s="6" t="s">
        <v>60</v>
      </c>
      <c r="G277" s="6">
        <v>1015402271</v>
      </c>
      <c r="H277" t="str">
        <f t="shared" si="9"/>
        <v>INSERT INTO `parqueadero`.`vehiculo` (`Oid`, `Placa`, `Medio`, `Tipo`, `Marca`, `Color`, `IdConductor`) VALUES ('270','FOS164','AUTOMÓVIL','COMBUSTIBLE','RENAULT','GRIS','1015402271');</v>
      </c>
    </row>
    <row r="278" spans="1:8" ht="14.4" x14ac:dyDescent="0.3">
      <c r="A278" s="5">
        <f t="shared" si="8"/>
        <v>271</v>
      </c>
      <c r="B278" s="6" t="s">
        <v>1358</v>
      </c>
      <c r="C278" s="6" t="s">
        <v>143</v>
      </c>
      <c r="D278" s="6" t="s">
        <v>17</v>
      </c>
      <c r="E278" s="6" t="s">
        <v>524</v>
      </c>
      <c r="F278" s="6" t="s">
        <v>1359</v>
      </c>
      <c r="G278" s="6">
        <v>1014261209</v>
      </c>
      <c r="H278" t="str">
        <f t="shared" si="9"/>
        <v>INSERT INTO `parqueadero`.`vehiculo` (`Oid`, `Placa`, `Medio`, `Tipo`, `Marca`, `Color`, `IdConductor`) VALUES ('271','FNR778','CAMIONETA','COMBUSTIBLE','MAZDA ','ROJO DIAMANTE','1014261209');</v>
      </c>
    </row>
    <row r="279" spans="1:8" ht="14.4" x14ac:dyDescent="0.3">
      <c r="A279" s="5">
        <f t="shared" si="8"/>
        <v>272</v>
      </c>
      <c r="B279" s="6" t="s">
        <v>1363</v>
      </c>
      <c r="C279" s="6" t="s">
        <v>2195</v>
      </c>
      <c r="D279" s="6" t="s">
        <v>17</v>
      </c>
      <c r="E279" s="6" t="s">
        <v>56</v>
      </c>
      <c r="F279" s="6" t="s">
        <v>570</v>
      </c>
      <c r="G279" s="6">
        <v>1016019711</v>
      </c>
      <c r="H279" t="str">
        <f t="shared" si="9"/>
        <v>INSERT INTO `parqueadero`.`vehiculo` (`Oid`, `Placa`, `Medio`, `Tipo`, `Marca`, `Color`, `IdConductor`) VALUES ('272','DHC86H','MOTOCICLETA','COMBUSTIBLE','HONDA','AZUL ','1016019711');</v>
      </c>
    </row>
    <row r="280" spans="1:8" ht="14.4" x14ac:dyDescent="0.3">
      <c r="A280" s="5">
        <f t="shared" si="8"/>
        <v>273</v>
      </c>
      <c r="B280" s="6" t="s">
        <v>1370</v>
      </c>
      <c r="C280" s="6" t="s">
        <v>115</v>
      </c>
      <c r="D280" s="6" t="s">
        <v>17</v>
      </c>
      <c r="E280" s="6" t="s">
        <v>294</v>
      </c>
      <c r="F280" s="6" t="s">
        <v>134</v>
      </c>
      <c r="G280" s="6">
        <v>19494499</v>
      </c>
      <c r="H280" t="str">
        <f t="shared" si="9"/>
        <v>INSERT INTO `parqueadero`.`vehiculo` (`Oid`, `Placa`, `Medio`, `Tipo`, `Marca`, `Color`, `IdConductor`) VALUES ('273','RHN498','AUTOMÓVIL','COMBUSTIBLE','FORD','GRIS ','19494499');</v>
      </c>
    </row>
    <row r="281" spans="1:8" ht="14.4" x14ac:dyDescent="0.3">
      <c r="A281" s="5">
        <f t="shared" si="8"/>
        <v>274</v>
      </c>
      <c r="B281" s="6" t="s">
        <v>1375</v>
      </c>
      <c r="C281" s="6" t="s">
        <v>115</v>
      </c>
      <c r="D281" s="6" t="s">
        <v>129</v>
      </c>
      <c r="E281" s="6" t="s">
        <v>1374</v>
      </c>
      <c r="F281" s="6" t="s">
        <v>66</v>
      </c>
      <c r="G281" s="6">
        <v>1030579761</v>
      </c>
      <c r="H281" t="str">
        <f t="shared" si="9"/>
        <v>INSERT INTO `parqueadero`.`vehiculo` (`Oid`, `Placa`, `Medio`, `Tipo`, `Marca`, `Color`, `IdConductor`) VALUES ('274','PCM354','AUTOMÓVIL','ELÉCTRICO','BYD SEAGULL','BLANCO','1030579761');</v>
      </c>
    </row>
    <row r="282" spans="1:8" ht="14.4" x14ac:dyDescent="0.3">
      <c r="A282" s="5">
        <f t="shared" si="8"/>
        <v>275</v>
      </c>
      <c r="B282" s="6" t="s">
        <v>1379</v>
      </c>
      <c r="C282" s="6" t="s">
        <v>115</v>
      </c>
      <c r="D282" s="6" t="s">
        <v>17</v>
      </c>
      <c r="E282" s="6" t="s">
        <v>58</v>
      </c>
      <c r="F282" s="6" t="s">
        <v>248</v>
      </c>
      <c r="G282" s="6">
        <v>53167119</v>
      </c>
      <c r="H282" t="str">
        <f t="shared" si="9"/>
        <v>INSERT INTO `parqueadero`.`vehiculo` (`Oid`, `Placa`, `Medio`, `Tipo`, `Marca`, `Color`, `IdConductor`) VALUES ('275','NDR248','AUTOMÓVIL','COMBUSTIBLE','CHEVROLET','GRIS PLATA','53167119');</v>
      </c>
    </row>
    <row r="283" spans="1:8" ht="14.4" x14ac:dyDescent="0.3">
      <c r="A283" s="5">
        <f t="shared" si="8"/>
        <v>276</v>
      </c>
      <c r="B283" s="17" t="s">
        <v>1382</v>
      </c>
      <c r="C283" s="6" t="s">
        <v>115</v>
      </c>
      <c r="D283" s="17" t="s">
        <v>17</v>
      </c>
      <c r="E283" s="17" t="s">
        <v>294</v>
      </c>
      <c r="F283" s="17" t="s">
        <v>24</v>
      </c>
      <c r="G283" s="17">
        <v>79290465</v>
      </c>
      <c r="H283" t="str">
        <f t="shared" si="9"/>
        <v>INSERT INTO `parqueadero`.`vehiculo` (`Oid`, `Placa`, `Medio`, `Tipo`, `Marca`, `Color`, `IdConductor`) VALUES ('276','DBN175','AUTOMÓVIL','COMBUSTIBLE','FORD','NEGRO','79290465');</v>
      </c>
    </row>
    <row r="284" spans="1:8" ht="14.4" x14ac:dyDescent="0.3">
      <c r="A284" s="5">
        <f t="shared" si="8"/>
        <v>277</v>
      </c>
      <c r="B284" s="6" t="s">
        <v>1391</v>
      </c>
      <c r="C284" s="6" t="s">
        <v>2195</v>
      </c>
      <c r="D284" s="6" t="s">
        <v>17</v>
      </c>
      <c r="E284" s="6" t="s">
        <v>516</v>
      </c>
      <c r="F284" s="6" t="s">
        <v>66</v>
      </c>
      <c r="G284" s="6">
        <v>80147258</v>
      </c>
      <c r="H284" t="str">
        <f t="shared" si="9"/>
        <v>INSERT INTO `parqueadero`.`vehiculo` (`Oid`, `Placa`, `Medio`, `Tipo`, `Marca`, `Color`, `IdConductor`) VALUES ('277','GZJ15G','MOTOCICLETA','COMBUSTIBLE','YAMAHA ','BLANCO','80147258');</v>
      </c>
    </row>
    <row r="285" spans="1:8" ht="14.4" x14ac:dyDescent="0.3">
      <c r="A285" s="5">
        <f t="shared" si="8"/>
        <v>278</v>
      </c>
      <c r="B285" s="6" t="s">
        <v>1396</v>
      </c>
      <c r="C285" s="6" t="s">
        <v>115</v>
      </c>
      <c r="D285" s="6" t="s">
        <v>17</v>
      </c>
      <c r="E285" s="6" t="s">
        <v>1339</v>
      </c>
      <c r="F285" s="6" t="s">
        <v>725</v>
      </c>
      <c r="G285" s="6">
        <v>1022421202</v>
      </c>
      <c r="H285" t="str">
        <f t="shared" si="9"/>
        <v>INSERT INTO `parqueadero`.`vehiculo` (`Oid`, `Placa`, `Medio`, `Tipo`, `Marca`, `Color`, `IdConductor`) VALUES ('278','HVV023','AUTOMÓVIL','COMBUSTIBLE','FORD FIESTA','ROJO ','1022421202');</v>
      </c>
    </row>
    <row r="286" spans="1:8" ht="14.4" x14ac:dyDescent="0.3">
      <c r="A286" s="5">
        <f t="shared" si="8"/>
        <v>279</v>
      </c>
      <c r="B286" s="6" t="s">
        <v>1400</v>
      </c>
      <c r="C286" s="6" t="s">
        <v>143</v>
      </c>
      <c r="D286" s="6" t="s">
        <v>253</v>
      </c>
      <c r="E286" s="6" t="s">
        <v>1036</v>
      </c>
      <c r="F286" s="6" t="s">
        <v>60</v>
      </c>
      <c r="G286" s="6">
        <v>79945548</v>
      </c>
      <c r="H286" t="str">
        <f t="shared" si="9"/>
        <v>INSERT INTO `parqueadero`.`vehiculo` (`Oid`, `Placa`, `Medio`, `Tipo`, `Marca`, `Color`, `IdConductor`) VALUES ('279','PGR369','CAMIONETA','HÍBRIDO','SUBARU','GRIS','79945548');</v>
      </c>
    </row>
    <row r="287" spans="1:8" ht="14.4" x14ac:dyDescent="0.3">
      <c r="A287" s="5">
        <f t="shared" si="8"/>
        <v>280</v>
      </c>
      <c r="B287" s="6" t="s">
        <v>1404</v>
      </c>
      <c r="C287" s="6" t="s">
        <v>143</v>
      </c>
      <c r="D287" s="6" t="s">
        <v>17</v>
      </c>
      <c r="E287" s="6" t="s">
        <v>501</v>
      </c>
      <c r="F287" s="6" t="s">
        <v>134</v>
      </c>
      <c r="G287" s="6">
        <v>1069078793</v>
      </c>
      <c r="H287" t="str">
        <f t="shared" si="9"/>
        <v>INSERT INTO `parqueadero`.`vehiculo` (`Oid`, `Placa`, `Medio`, `Tipo`, `Marca`, `Color`, `IdConductor`) VALUES ('280','UCW304','CAMIONETA','COMBUSTIBLE','NISSAN','GRIS ','1069078793');</v>
      </c>
    </row>
    <row r="288" spans="1:8" ht="14.4" x14ac:dyDescent="0.3">
      <c r="A288" s="5">
        <f t="shared" si="8"/>
        <v>281</v>
      </c>
      <c r="B288" s="6" t="s">
        <v>1409</v>
      </c>
      <c r="C288" s="6" t="s">
        <v>115</v>
      </c>
      <c r="D288" s="6" t="s">
        <v>17</v>
      </c>
      <c r="E288" s="6" t="s">
        <v>1408</v>
      </c>
      <c r="F288" s="6" t="s">
        <v>1410</v>
      </c>
      <c r="G288" s="6">
        <v>1053838523</v>
      </c>
      <c r="H288" t="str">
        <f t="shared" si="9"/>
        <v>INSERT INTO `parqueadero`.`vehiculo` (`Oid`, `Placa`, `Medio`, `Tipo`, `Marca`, `Color`, `IdConductor`) VALUES ('281','NNU114','AUTOMÓVIL','COMBUSTIBLE','CITROËN','BLANCO TECHO NEGRO','1053838523');</v>
      </c>
    </row>
    <row r="289" spans="1:8" ht="14.4" x14ac:dyDescent="0.3">
      <c r="A289" s="5">
        <f t="shared" si="8"/>
        <v>282</v>
      </c>
      <c r="B289" s="6" t="s">
        <v>1414</v>
      </c>
      <c r="C289" s="6" t="s">
        <v>115</v>
      </c>
      <c r="D289" s="6" t="s">
        <v>17</v>
      </c>
      <c r="E289" s="6" t="s">
        <v>398</v>
      </c>
      <c r="F289" s="6" t="s">
        <v>725</v>
      </c>
      <c r="G289" s="6">
        <v>1032475428</v>
      </c>
      <c r="H289" t="str">
        <f t="shared" si="9"/>
        <v>INSERT INTO `parqueadero`.`vehiculo` (`Oid`, `Placa`, `Medio`, `Tipo`, `Marca`, `Color`, `IdConductor`) VALUES ('282','KOV728','AUTOMÓVIL','COMBUSTIBLE','RENAULT ','ROJO ','1032475428');</v>
      </c>
    </row>
    <row r="290" spans="1:8" ht="14.4" x14ac:dyDescent="0.3">
      <c r="A290" s="5">
        <f t="shared" si="8"/>
        <v>283</v>
      </c>
      <c r="B290" s="6" t="s">
        <v>1418</v>
      </c>
      <c r="C290" s="6" t="s">
        <v>143</v>
      </c>
      <c r="D290" s="6" t="s">
        <v>17</v>
      </c>
      <c r="E290" s="6" t="s">
        <v>294</v>
      </c>
      <c r="F290" s="6" t="s">
        <v>44</v>
      </c>
      <c r="G290" s="6">
        <v>80197126</v>
      </c>
      <c r="H290" t="str">
        <f t="shared" si="9"/>
        <v>INSERT INTO `parqueadero`.`vehiculo` (`Oid`, `Placa`, `Medio`, `Tipo`, `Marca`, `Color`, `IdConductor`) VALUES ('283','IXN649','CAMIONETA','COMBUSTIBLE','FORD','ROJO','80197126');</v>
      </c>
    </row>
    <row r="291" spans="1:8" ht="14.4" x14ac:dyDescent="0.3">
      <c r="A291" s="5">
        <f t="shared" si="8"/>
        <v>284</v>
      </c>
      <c r="B291" s="6" t="s">
        <v>1423</v>
      </c>
      <c r="C291" s="6" t="s">
        <v>2195</v>
      </c>
      <c r="D291" s="6" t="s">
        <v>17</v>
      </c>
      <c r="E291" s="6" t="s">
        <v>1422</v>
      </c>
      <c r="F291" s="6" t="s">
        <v>1424</v>
      </c>
      <c r="G291" s="6">
        <v>1019111258</v>
      </c>
      <c r="H291" t="str">
        <f t="shared" si="9"/>
        <v>INSERT INTO `parqueadero`.`vehiculo` (`Oid`, `Placa`, `Medio`, `Tipo`, `Marca`, `Color`, `IdConductor`) VALUES ('284','BFW48H','MOTOCICLETA','COMBUSTIBLE','BAJAJ','AZUL AZALEA','1019111258');</v>
      </c>
    </row>
    <row r="292" spans="1:8" ht="14.4" x14ac:dyDescent="0.3">
      <c r="A292" s="5">
        <f t="shared" si="8"/>
        <v>285</v>
      </c>
      <c r="B292" s="6" t="s">
        <v>1428</v>
      </c>
      <c r="C292" s="6" t="s">
        <v>115</v>
      </c>
      <c r="D292" s="6" t="s">
        <v>17</v>
      </c>
      <c r="E292" s="6" t="s">
        <v>202</v>
      </c>
      <c r="F292" s="6" t="s">
        <v>60</v>
      </c>
      <c r="G292" s="6">
        <v>1026275767</v>
      </c>
      <c r="H292" t="str">
        <f t="shared" si="9"/>
        <v>INSERT INTO `parqueadero`.`vehiculo` (`Oid`, `Placa`, `Medio`, `Tipo`, `Marca`, `Color`, `IdConductor`) VALUES ('285','HJZ984','AUTOMÓVIL','COMBUSTIBLE','VOLKSWAGEN','GRIS','1026275767');</v>
      </c>
    </row>
    <row r="293" spans="1:8" ht="14.4" x14ac:dyDescent="0.3">
      <c r="A293" s="5">
        <f t="shared" si="8"/>
        <v>286</v>
      </c>
      <c r="B293" s="17" t="s">
        <v>1432</v>
      </c>
      <c r="C293" s="6" t="s">
        <v>143</v>
      </c>
      <c r="D293" s="17" t="s">
        <v>17</v>
      </c>
      <c r="E293" s="17" t="s">
        <v>501</v>
      </c>
      <c r="F293" s="17" t="s">
        <v>259</v>
      </c>
      <c r="G293" s="17">
        <v>37863986</v>
      </c>
      <c r="H293" t="str">
        <f t="shared" si="9"/>
        <v>INSERT INTO `parqueadero`.`vehiculo` (`Oid`, `Placa`, `Medio`, `Tipo`, `Marca`, `Color`, `IdConductor`) VALUES ('286','IRP136','CAMIONETA','COMBUSTIBLE','NISSAN','PLATEADO','37863986');</v>
      </c>
    </row>
    <row r="294" spans="1:8" ht="14.4" x14ac:dyDescent="0.3">
      <c r="A294" s="5">
        <f t="shared" si="8"/>
        <v>287</v>
      </c>
      <c r="B294" s="6" t="s">
        <v>1437</v>
      </c>
      <c r="C294" s="6" t="s">
        <v>115</v>
      </c>
      <c r="D294" s="6" t="s">
        <v>17</v>
      </c>
      <c r="E294" s="6" t="s">
        <v>1436</v>
      </c>
      <c r="F294" s="6" t="s">
        <v>60</v>
      </c>
      <c r="G294" s="6">
        <v>79595346</v>
      </c>
      <c r="H294" t="str">
        <f t="shared" si="9"/>
        <v>INSERT INTO `parqueadero`.`vehiculo` (`Oid`, `Placa`, `Medio`, `Tipo`, `Marca`, `Color`, `IdConductor`) VALUES ('287','EBR912','AUTOMÓVIL','COMBUSTIBLE','MERCEDES ','GRIS','79595346');</v>
      </c>
    </row>
    <row r="295" spans="1:8" ht="14.4" x14ac:dyDescent="0.3">
      <c r="A295" s="5">
        <f t="shared" si="8"/>
        <v>288</v>
      </c>
      <c r="B295" s="6" t="s">
        <v>1442</v>
      </c>
      <c r="C295" s="6" t="s">
        <v>115</v>
      </c>
      <c r="D295" s="6" t="s">
        <v>17</v>
      </c>
      <c r="E295" s="6" t="s">
        <v>1441</v>
      </c>
      <c r="F295" s="6" t="s">
        <v>259</v>
      </c>
      <c r="G295" s="6">
        <v>46672265</v>
      </c>
      <c r="H295" t="str">
        <f t="shared" si="9"/>
        <v>INSERT INTO `parqueadero`.`vehiculo` (`Oid`, `Placa`, `Medio`, `Tipo`, `Marca`, `Color`, `IdConductor`) VALUES ('288','JUR582','AUTOMÓVIL','COMBUSTIBLE','PEGOUT 2008','PLATEADO','46672265');</v>
      </c>
    </row>
    <row r="296" spans="1:8" ht="14.4" x14ac:dyDescent="0.3">
      <c r="A296" s="5">
        <f t="shared" si="8"/>
        <v>289</v>
      </c>
      <c r="B296" s="6" t="s">
        <v>1446</v>
      </c>
      <c r="C296" s="6" t="s">
        <v>115</v>
      </c>
      <c r="D296" s="6" t="s">
        <v>17</v>
      </c>
      <c r="E296" s="6" t="s">
        <v>1445</v>
      </c>
      <c r="F296" s="6" t="s">
        <v>1447</v>
      </c>
      <c r="G296" s="6">
        <v>2996355</v>
      </c>
      <c r="H296" t="str">
        <f t="shared" si="9"/>
        <v>INSERT INTO `parqueadero`.`vehiculo` (`Oid`, `Placa`, `Medio`, `Tipo`, `Marca`, `Color`, `IdConductor`) VALUES ('289','BJN042','AUTOMÓVIL','COMBUSTIBLE','HYUNDAI ','ORO AZÚCAR ','2996355');</v>
      </c>
    </row>
    <row r="297" spans="1:8" ht="14.4" x14ac:dyDescent="0.3">
      <c r="A297" s="5">
        <f t="shared" si="8"/>
        <v>290</v>
      </c>
      <c r="B297" s="6" t="s">
        <v>1450</v>
      </c>
      <c r="C297" s="6" t="s">
        <v>115</v>
      </c>
      <c r="D297" s="6" t="s">
        <v>17</v>
      </c>
      <c r="E297" s="6" t="s">
        <v>164</v>
      </c>
      <c r="F297" s="6" t="s">
        <v>60</v>
      </c>
      <c r="G297" s="6">
        <v>79385393</v>
      </c>
      <c r="H297" t="str">
        <f t="shared" si="9"/>
        <v>INSERT INTO `parqueadero`.`vehiculo` (`Oid`, `Placa`, `Medio`, `Tipo`, `Marca`, `Color`, `IdConductor`) VALUES ('290','REO339','AUTOMÓVIL','COMBUSTIBLE','KIA','GRIS','79385393');</v>
      </c>
    </row>
    <row r="298" spans="1:8" ht="14.4" x14ac:dyDescent="0.3">
      <c r="A298" s="5">
        <f t="shared" si="8"/>
        <v>291</v>
      </c>
      <c r="B298" s="6" t="s">
        <v>1454</v>
      </c>
      <c r="C298" s="6" t="s">
        <v>2195</v>
      </c>
      <c r="D298" s="6" t="s">
        <v>17</v>
      </c>
      <c r="E298" s="6" t="s">
        <v>1453</v>
      </c>
      <c r="F298" s="6" t="s">
        <v>1455</v>
      </c>
      <c r="G298" s="6">
        <v>1010162896</v>
      </c>
      <c r="H298" t="str">
        <f t="shared" si="9"/>
        <v>INSERT INTO `parqueadero`.`vehiculo` (`Oid`, `Placa`, `Medio`, `Tipo`, `Marca`, `Color`, `IdConductor`) VALUES ('291','GCD58H','MOTOCICLETA','COMBUSTIBLE','ROYAL ENFIELD','AMARILLO','1010162896');</v>
      </c>
    </row>
    <row r="299" spans="1:8" ht="14.4" x14ac:dyDescent="0.3">
      <c r="A299" s="5">
        <f t="shared" si="8"/>
        <v>292</v>
      </c>
      <c r="B299" s="6" t="s">
        <v>1457</v>
      </c>
      <c r="C299" s="6" t="s">
        <v>115</v>
      </c>
      <c r="D299" s="6" t="s">
        <v>17</v>
      </c>
      <c r="E299" s="6" t="s">
        <v>501</v>
      </c>
      <c r="F299" s="6" t="s">
        <v>60</v>
      </c>
      <c r="G299" s="6">
        <v>1010162896</v>
      </c>
      <c r="H299" t="str">
        <f t="shared" si="9"/>
        <v>INSERT INTO `parqueadero`.`vehiculo` (`Oid`, `Placa`, `Medio`, `Tipo`, `Marca`, `Color`, `IdConductor`) VALUES ('292','EFN811','AUTOMÓVIL','COMBUSTIBLE','NISSAN','GRIS','1010162896');</v>
      </c>
    </row>
    <row r="300" spans="1:8" ht="14.4" x14ac:dyDescent="0.3">
      <c r="A300" s="5">
        <f t="shared" si="8"/>
        <v>293</v>
      </c>
      <c r="B300" s="6" t="s">
        <v>1466</v>
      </c>
      <c r="C300" s="6" t="s">
        <v>115</v>
      </c>
      <c r="D300" s="6" t="s">
        <v>17</v>
      </c>
      <c r="E300" s="6" t="s">
        <v>1465</v>
      </c>
      <c r="F300" s="6" t="s">
        <v>339</v>
      </c>
      <c r="G300" s="6">
        <v>1022984445</v>
      </c>
      <c r="H300" t="str">
        <f t="shared" si="9"/>
        <v>INSERT INTO `parqueadero`.`vehiculo` (`Oid`, `Placa`, `Medio`, `Tipo`, `Marca`, `Color`, `IdConductor`) VALUES ('293','BTX400','AUTOMÓVIL','COMBUSTIBLE','VOLKSWAGEN JETTA','GRIS PLATA ','1022984445');</v>
      </c>
    </row>
    <row r="301" spans="1:8" ht="14.4" x14ac:dyDescent="0.3">
      <c r="A301" s="5">
        <f t="shared" si="8"/>
        <v>294</v>
      </c>
      <c r="B301" s="6" t="s">
        <v>1470</v>
      </c>
      <c r="C301" s="6" t="s">
        <v>143</v>
      </c>
      <c r="D301" s="6" t="s">
        <v>129</v>
      </c>
      <c r="E301" s="6" t="s">
        <v>22</v>
      </c>
      <c r="F301" s="6" t="s">
        <v>1471</v>
      </c>
      <c r="G301" s="6">
        <v>1015442158</v>
      </c>
      <c r="H301" t="str">
        <f t="shared" si="9"/>
        <v>INSERT INTO `parqueadero`.`vehiculo` (`Oid`, `Placa`, `Medio`, `Tipo`, `Marca`, `Color`, `IdConductor`) VALUES ('294','PXT458','CAMIONETA','ELÉCTRICO','BYD','CIAN OSCURO MALAQUITA ','1015442158');</v>
      </c>
    </row>
    <row r="302" spans="1:8" ht="14.4" x14ac:dyDescent="0.3">
      <c r="A302" s="5">
        <f t="shared" si="8"/>
        <v>295</v>
      </c>
      <c r="B302" s="6" t="s">
        <v>1477</v>
      </c>
      <c r="C302" s="6" t="s">
        <v>115</v>
      </c>
      <c r="D302" s="6" t="s">
        <v>17</v>
      </c>
      <c r="E302" s="6" t="s">
        <v>1476</v>
      </c>
      <c r="F302" s="6" t="s">
        <v>66</v>
      </c>
      <c r="G302" s="6">
        <v>1030623154</v>
      </c>
      <c r="H302" t="str">
        <f t="shared" si="9"/>
        <v>INSERT INTO `parqueadero`.`vehiculo` (`Oid`, `Placa`, `Medio`, `Tipo`, `Marca`, `Color`, `IdConductor`) VALUES ('295','JYL341','AUTOMÓVIL','COMBUSTIBLE','OPEL','BLANCO','1030623154');</v>
      </c>
    </row>
    <row r="303" spans="1:8" ht="14.4" x14ac:dyDescent="0.3">
      <c r="A303" s="5">
        <f t="shared" si="8"/>
        <v>296</v>
      </c>
      <c r="B303" s="6" t="s">
        <v>1480</v>
      </c>
      <c r="C303" s="6" t="s">
        <v>2195</v>
      </c>
      <c r="D303" s="6" t="s">
        <v>17</v>
      </c>
      <c r="E303" s="6" t="s">
        <v>175</v>
      </c>
      <c r="F303" s="6" t="s">
        <v>66</v>
      </c>
      <c r="G303" s="6">
        <v>32711441</v>
      </c>
      <c r="H303" t="str">
        <f t="shared" si="9"/>
        <v>INSERT INTO `parqueadero`.`vehiculo` (`Oid`, `Placa`, `Medio`, `Tipo`, `Marca`, `Color`, `IdConductor`) VALUES ('296','UWK57D','MOTOCICLETA','COMBUSTIBLE','AKT','BLANCO','32711441');</v>
      </c>
    </row>
    <row r="304" spans="1:8" ht="14.4" x14ac:dyDescent="0.3">
      <c r="A304" s="5">
        <f t="shared" si="8"/>
        <v>297</v>
      </c>
      <c r="B304" s="17" t="s">
        <v>1485</v>
      </c>
      <c r="C304" s="6" t="s">
        <v>115</v>
      </c>
      <c r="D304" s="17" t="s">
        <v>17</v>
      </c>
      <c r="E304" s="17" t="s">
        <v>1465</v>
      </c>
      <c r="F304" s="17" t="s">
        <v>60</v>
      </c>
      <c r="G304" s="17">
        <v>52883834</v>
      </c>
      <c r="H304" t="str">
        <f t="shared" si="9"/>
        <v>INSERT INTO `parqueadero`.`vehiculo` (`Oid`, `Placa`, `Medio`, `Tipo`, `Marca`, `Color`, `IdConductor`) VALUES ('297','HKM570','AUTOMÓVIL','COMBUSTIBLE','VOLKSWAGEN JETTA','GRIS','52883834');</v>
      </c>
    </row>
    <row r="305" spans="1:8" ht="14.4" x14ac:dyDescent="0.3">
      <c r="A305" s="5">
        <f t="shared" si="8"/>
        <v>298</v>
      </c>
      <c r="B305" s="6" t="s">
        <v>1489</v>
      </c>
      <c r="C305" s="6" t="s">
        <v>115</v>
      </c>
      <c r="D305" s="6" t="s">
        <v>253</v>
      </c>
      <c r="E305" s="6" t="s">
        <v>75</v>
      </c>
      <c r="F305" s="6" t="s">
        <v>66</v>
      </c>
      <c r="G305" s="6">
        <v>80206130</v>
      </c>
      <c r="H305" t="str">
        <f t="shared" si="9"/>
        <v>INSERT INTO `parqueadero`.`vehiculo` (`Oid`, `Placa`, `Medio`, `Tipo`, `Marca`, `Color`, `IdConductor`) VALUES ('298','NIW853','AUTOMÓVIL','HÍBRIDO','MAZDA','BLANCO','80206130');</v>
      </c>
    </row>
    <row r="306" spans="1:8" ht="14.4" x14ac:dyDescent="0.3">
      <c r="A306" s="5">
        <f t="shared" si="8"/>
        <v>299</v>
      </c>
      <c r="B306" s="6" t="s">
        <v>1493</v>
      </c>
      <c r="C306" s="6" t="s">
        <v>143</v>
      </c>
      <c r="D306" s="6" t="s">
        <v>253</v>
      </c>
      <c r="E306" s="6" t="s">
        <v>294</v>
      </c>
      <c r="F306" s="6" t="s">
        <v>66</v>
      </c>
      <c r="G306" s="6">
        <v>1016021569</v>
      </c>
      <c r="H306" t="str">
        <f t="shared" si="9"/>
        <v>INSERT INTO `parqueadero`.`vehiculo` (`Oid`, `Placa`, `Medio`, `Tipo`, `Marca`, `Color`, `IdConductor`) VALUES ('299','JWT919','CAMIONETA','HÍBRIDO','FORD','BLANCO','1016021569');</v>
      </c>
    </row>
    <row r="307" spans="1:8" ht="14.4" x14ac:dyDescent="0.3">
      <c r="A307" s="5">
        <f t="shared" si="8"/>
        <v>300</v>
      </c>
      <c r="B307" s="6" t="s">
        <v>1494</v>
      </c>
      <c r="C307" s="6" t="s">
        <v>2195</v>
      </c>
      <c r="D307" s="6" t="s">
        <v>17</v>
      </c>
      <c r="E307" s="6" t="s">
        <v>701</v>
      </c>
      <c r="F307" s="6" t="s">
        <v>24</v>
      </c>
      <c r="G307" s="6">
        <v>1016021569</v>
      </c>
      <c r="H307" t="str">
        <f t="shared" si="9"/>
        <v>INSERT INTO `parqueadero`.`vehiculo` (`Oid`, `Placa`, `Medio`, `Tipo`, `Marca`, `Color`, `IdConductor`) VALUES ('300','CIA56F','MOTOCICLETA','COMBUSTIBLE','YAMAHA','NEGRO','1016021569');</v>
      </c>
    </row>
    <row r="308" spans="1:8" ht="14.4" x14ac:dyDescent="0.3">
      <c r="A308" s="5">
        <f t="shared" si="8"/>
        <v>301</v>
      </c>
      <c r="B308" s="17" t="s">
        <v>1500</v>
      </c>
      <c r="C308" s="6" t="s">
        <v>115</v>
      </c>
      <c r="D308" s="17" t="s">
        <v>17</v>
      </c>
      <c r="E308" s="17" t="s">
        <v>202</v>
      </c>
      <c r="F308" s="17" t="s">
        <v>24</v>
      </c>
      <c r="G308" s="17">
        <v>80019944</v>
      </c>
      <c r="H308" t="str">
        <f t="shared" si="9"/>
        <v>INSERT INTO `parqueadero`.`vehiculo` (`Oid`, `Placa`, `Medio`, `Tipo`, `Marca`, `Color`, `IdConductor`) VALUES ('301','GLX335','AUTOMÓVIL','COMBUSTIBLE','VOLKSWAGEN','NEGRO','80019944');</v>
      </c>
    </row>
    <row r="309" spans="1:8" ht="14.4" x14ac:dyDescent="0.3">
      <c r="A309" s="5">
        <f t="shared" si="8"/>
        <v>302</v>
      </c>
      <c r="B309" s="6" t="s">
        <v>1501</v>
      </c>
      <c r="C309" s="6" t="s">
        <v>2195</v>
      </c>
      <c r="D309" s="6" t="s">
        <v>17</v>
      </c>
      <c r="E309" s="6" t="s">
        <v>701</v>
      </c>
      <c r="F309" s="6" t="s">
        <v>60</v>
      </c>
      <c r="G309" s="6">
        <v>80019944</v>
      </c>
      <c r="H309" t="str">
        <f t="shared" si="9"/>
        <v>INSERT INTO `parqueadero`.`vehiculo` (`Oid`, `Placa`, `Medio`, `Tipo`, `Marca`, `Color`, `IdConductor`) VALUES ('302','XCG92G','MOTOCICLETA','COMBUSTIBLE','YAMAHA','GRIS','80019944');</v>
      </c>
    </row>
    <row r="310" spans="1:8" ht="14.4" x14ac:dyDescent="0.3">
      <c r="A310" s="5">
        <f t="shared" si="8"/>
        <v>303</v>
      </c>
      <c r="B310" s="6" t="s">
        <v>1510</v>
      </c>
      <c r="C310" s="6" t="s">
        <v>115</v>
      </c>
      <c r="D310" s="6" t="s">
        <v>17</v>
      </c>
      <c r="E310" s="6" t="s">
        <v>1509</v>
      </c>
      <c r="F310" s="6" t="s">
        <v>24</v>
      </c>
      <c r="G310" s="6">
        <v>91492909</v>
      </c>
      <c r="H310" t="str">
        <f t="shared" si="9"/>
        <v>INSERT INTO `parqueadero`.`vehiculo` (`Oid`, `Placa`, `Medio`, `Tipo`, `Marca`, `Color`, `IdConductor`) VALUES ('303','REP460','AUTOMÓVIL','COMBUSTIBLE','STEPWAY','NEGRO','91492909');</v>
      </c>
    </row>
    <row r="311" spans="1:8" ht="14.4" x14ac:dyDescent="0.3">
      <c r="A311" s="5">
        <f t="shared" si="8"/>
        <v>304</v>
      </c>
      <c r="B311" s="6" t="s">
        <v>1516</v>
      </c>
      <c r="C311" s="6" t="s">
        <v>143</v>
      </c>
      <c r="D311" s="6" t="s">
        <v>129</v>
      </c>
      <c r="E311" s="6" t="s">
        <v>22</v>
      </c>
      <c r="F311" s="6" t="s">
        <v>18</v>
      </c>
      <c r="G311" s="6">
        <v>79244560</v>
      </c>
      <c r="H311" t="str">
        <f t="shared" si="9"/>
        <v>INSERT INTO `parqueadero`.`vehiculo` (`Oid`, `Placa`, `Medio`, `Tipo`, `Marca`, `Color`, `IdConductor`) VALUES ('304','LNQ833','CAMIONETA','ELÉCTRICO','BYD','AZUL','79244560');</v>
      </c>
    </row>
    <row r="312" spans="1:8" ht="14.4" x14ac:dyDescent="0.3">
      <c r="A312" s="5">
        <f t="shared" si="8"/>
        <v>305</v>
      </c>
      <c r="B312" s="17" t="s">
        <v>1520</v>
      </c>
      <c r="C312" s="6" t="s">
        <v>143</v>
      </c>
      <c r="D312" s="17" t="s">
        <v>17</v>
      </c>
      <c r="E312" s="17" t="s">
        <v>294</v>
      </c>
      <c r="F312" s="17" t="s">
        <v>60</v>
      </c>
      <c r="G312" s="17">
        <v>80061648</v>
      </c>
      <c r="H312" t="str">
        <f t="shared" si="9"/>
        <v>INSERT INTO `parqueadero`.`vehiculo` (`Oid`, `Placa`, `Medio`, `Tipo`, `Marca`, `Color`, `IdConductor`) VALUES ('305','GJW626','CAMIONETA','COMBUSTIBLE','FORD','GRIS','80061648');</v>
      </c>
    </row>
    <row r="313" spans="1:8" ht="14.4" x14ac:dyDescent="0.3">
      <c r="A313" s="5">
        <f t="shared" si="8"/>
        <v>306</v>
      </c>
      <c r="B313" s="6" t="s">
        <v>1524</v>
      </c>
      <c r="C313" s="6" t="s">
        <v>115</v>
      </c>
      <c r="D313" s="6" t="s">
        <v>17</v>
      </c>
      <c r="E313" s="6" t="s">
        <v>1523</v>
      </c>
      <c r="F313" s="6" t="s">
        <v>1525</v>
      </c>
      <c r="G313" s="6">
        <v>32798171</v>
      </c>
      <c r="H313" t="str">
        <f t="shared" si="9"/>
        <v>INSERT INTO `parqueadero`.`vehiculo` (`Oid`, `Placa`, `Medio`, `Tipo`, `Marca`, `Color`, `IdConductor`) VALUES ('306','EFL417','AUTOMÓVIL','COMBUSTIBLE','MINI COOPER','GRIS RATÓN','32798171');</v>
      </c>
    </row>
    <row r="314" spans="1:8" ht="14.4" x14ac:dyDescent="0.3">
      <c r="A314" s="5">
        <f t="shared" si="8"/>
        <v>307</v>
      </c>
      <c r="B314" s="17" t="s">
        <v>1528</v>
      </c>
      <c r="C314" s="6" t="s">
        <v>143</v>
      </c>
      <c r="D314" s="17" t="s">
        <v>17</v>
      </c>
      <c r="E314" s="17" t="s">
        <v>348</v>
      </c>
      <c r="F314" s="17" t="s">
        <v>24</v>
      </c>
      <c r="G314" s="17">
        <v>4228842</v>
      </c>
      <c r="H314" t="str">
        <f t="shared" si="9"/>
        <v>INSERT INTO `parqueadero`.`vehiculo` (`Oid`, `Placa`, `Medio`, `Tipo`, `Marca`, `Color`, `IdConductor`) VALUES ('307','FPP374','CAMIONETA','COMBUSTIBLE','TOYOTA ','NEGRO','4228842');</v>
      </c>
    </row>
    <row r="315" spans="1:8" ht="14.4" x14ac:dyDescent="0.3">
      <c r="A315" s="5">
        <f t="shared" si="8"/>
        <v>308</v>
      </c>
      <c r="B315" s="6" t="s">
        <v>1531</v>
      </c>
      <c r="C315" s="6" t="s">
        <v>2195</v>
      </c>
      <c r="D315" s="6" t="s">
        <v>17</v>
      </c>
      <c r="E315" s="6" t="s">
        <v>56</v>
      </c>
      <c r="F315" s="6" t="s">
        <v>38</v>
      </c>
      <c r="G315" s="6">
        <v>52707802</v>
      </c>
      <c r="H315" t="str">
        <f t="shared" si="9"/>
        <v>INSERT INTO `parqueadero`.`vehiculo` (`Oid`, `Placa`, `Medio`, `Tipo`, `Marca`, `Color`, `IdConductor`) VALUES ('308','MVR40E','MOTOCICLETA','COMBUSTIBLE','HONDA','VERDE','52707802');</v>
      </c>
    </row>
    <row r="316" spans="1:8" ht="14.4" x14ac:dyDescent="0.3">
      <c r="A316" s="5">
        <f t="shared" si="8"/>
        <v>309</v>
      </c>
      <c r="B316" s="6" t="s">
        <v>1532</v>
      </c>
      <c r="C316" s="6" t="s">
        <v>115</v>
      </c>
      <c r="D316" s="6" t="s">
        <v>17</v>
      </c>
      <c r="E316" s="6" t="s">
        <v>363</v>
      </c>
      <c r="F316" s="6" t="s">
        <v>60</v>
      </c>
      <c r="G316" s="6">
        <v>52707802</v>
      </c>
      <c r="H316" t="str">
        <f t="shared" si="9"/>
        <v>INSERT INTO `parqueadero`.`vehiculo` (`Oid`, `Placa`, `Medio`, `Tipo`, `Marca`, `Color`, `IdConductor`) VALUES ('309','LLS761','AUTOMÓVIL','COMBUSTIBLE','SUSUKI','GRIS','52707802');</v>
      </c>
    </row>
    <row r="317" spans="1:8" ht="14.4" x14ac:dyDescent="0.3">
      <c r="A317" s="5">
        <f t="shared" si="8"/>
        <v>310</v>
      </c>
      <c r="B317" s="6" t="s">
        <v>1535</v>
      </c>
      <c r="C317" s="6" t="s">
        <v>115</v>
      </c>
      <c r="D317" s="6" t="s">
        <v>17</v>
      </c>
      <c r="E317" s="6" t="s">
        <v>116</v>
      </c>
      <c r="F317" s="6" t="s">
        <v>1536</v>
      </c>
      <c r="G317" s="6">
        <v>15958519</v>
      </c>
      <c r="H317" t="str">
        <f t="shared" si="9"/>
        <v>INSERT INTO `parqueadero`.`vehiculo` (`Oid`, `Placa`, `Medio`, `Tipo`, `Marca`, `Color`, `IdConductor`) VALUES ('310','DCC898','AUTOMÓVIL','COMBUSTIBLE','HYUNDAI','VINO TINTO','15958519');</v>
      </c>
    </row>
    <row r="318" spans="1:8" ht="14.4" x14ac:dyDescent="0.3">
      <c r="A318" s="5">
        <f t="shared" si="8"/>
        <v>311</v>
      </c>
      <c r="B318" s="6" t="s">
        <v>1537</v>
      </c>
      <c r="C318" s="6" t="s">
        <v>2195</v>
      </c>
      <c r="D318" s="6" t="s">
        <v>17</v>
      </c>
      <c r="E318" s="6" t="s">
        <v>805</v>
      </c>
      <c r="F318" s="6" t="s">
        <v>44</v>
      </c>
      <c r="G318" s="6">
        <v>15958519</v>
      </c>
      <c r="H318" t="str">
        <f t="shared" si="9"/>
        <v>INSERT INTO `parqueadero`.`vehiculo` (`Oid`, `Placa`, `Medio`, `Tipo`, `Marca`, `Color`, `IdConductor`) VALUES ('311','LQD87C','MOTOCICLETA','COMBUSTIBLE','KYMCO','ROJO','15958519');</v>
      </c>
    </row>
    <row r="319" spans="1:8" ht="14.4" x14ac:dyDescent="0.3">
      <c r="A319" s="5">
        <f t="shared" si="8"/>
        <v>312</v>
      </c>
      <c r="B319" s="6" t="s">
        <v>1541</v>
      </c>
      <c r="C319" s="6" t="s">
        <v>2195</v>
      </c>
      <c r="D319" s="6" t="s">
        <v>17</v>
      </c>
      <c r="E319" s="6" t="s">
        <v>132</v>
      </c>
      <c r="F319" s="6" t="s">
        <v>1542</v>
      </c>
      <c r="G319" s="6">
        <v>1072656830</v>
      </c>
      <c r="H319" t="str">
        <f t="shared" si="9"/>
        <v>INSERT INTO `parqueadero`.`vehiculo` (`Oid`, `Placa`, `Medio`, `Tipo`, `Marca`, `Color`, `IdConductor`) VALUES ('312','LCK17F','MOTOCICLETA','COMBUSTIBLE','BMW','AZUL METALIZADO','1072656830');</v>
      </c>
    </row>
    <row r="320" spans="1:8" ht="14.4" x14ac:dyDescent="0.3">
      <c r="A320" s="5">
        <f t="shared" si="8"/>
        <v>313</v>
      </c>
      <c r="B320" s="6" t="s">
        <v>1544</v>
      </c>
      <c r="C320" s="6" t="s">
        <v>115</v>
      </c>
      <c r="D320" s="6" t="s">
        <v>17</v>
      </c>
      <c r="E320" s="6" t="s">
        <v>1543</v>
      </c>
      <c r="F320" s="6" t="s">
        <v>44</v>
      </c>
      <c r="G320" s="6">
        <v>1072656830</v>
      </c>
      <c r="H320" t="str">
        <f t="shared" si="9"/>
        <v>INSERT INTO `parqueadero`.`vehiculo` (`Oid`, `Placa`, `Medio`, `Tipo`, `Marca`, `Color`, `IdConductor`) VALUES ('313','HFO454','AUTOMÓVIL','COMBUSTIBLE','RENAULT LOGAN','ROJO','1072656830');</v>
      </c>
    </row>
    <row r="321" spans="1:8" ht="14.4" x14ac:dyDescent="0.3">
      <c r="A321" s="5">
        <f t="shared" si="8"/>
        <v>314</v>
      </c>
      <c r="B321" s="6" t="s">
        <v>1548</v>
      </c>
      <c r="C321" s="6" t="s">
        <v>2195</v>
      </c>
      <c r="D321" s="6" t="s">
        <v>17</v>
      </c>
      <c r="E321" s="6" t="s">
        <v>276</v>
      </c>
      <c r="F321" s="6" t="s">
        <v>157</v>
      </c>
      <c r="G321" s="6">
        <v>79926309</v>
      </c>
      <c r="H321" t="str">
        <f t="shared" si="9"/>
        <v>INSERT INTO `parqueadero`.`vehiculo` (`Oid`, `Placa`, `Medio`, `Tipo`, `Marca`, `Color`, `IdConductor`) VALUES ('314','PET56F','MOTOCICLETA','COMBUSTIBLE','SUZUKI','NEGRA','79926309');</v>
      </c>
    </row>
    <row r="322" spans="1:8" ht="14.4" x14ac:dyDescent="0.3">
      <c r="A322" s="5">
        <f t="shared" si="8"/>
        <v>315</v>
      </c>
      <c r="B322" s="6" t="s">
        <v>1552</v>
      </c>
      <c r="C322" s="6" t="s">
        <v>115</v>
      </c>
      <c r="D322" s="6" t="s">
        <v>17</v>
      </c>
      <c r="E322" s="6" t="s">
        <v>123</v>
      </c>
      <c r="F322" s="6" t="s">
        <v>1553</v>
      </c>
      <c r="G322" s="6">
        <v>79652526</v>
      </c>
      <c r="H322" t="str">
        <f t="shared" si="9"/>
        <v>INSERT INTO `parqueadero`.`vehiculo` (`Oid`, `Placa`, `Medio`, `Tipo`, `Marca`, `Color`, `IdConductor`) VALUES ('315','BTI086','AUTOMÓVIL','COMBUSTIBLE','CHEVROLET ','GRIS BRETAÑA','79652526');</v>
      </c>
    </row>
    <row r="323" spans="1:8" ht="14.4" x14ac:dyDescent="0.3">
      <c r="A323" s="5">
        <f t="shared" ref="A323:A386" si="10">ROW()-7</f>
        <v>316</v>
      </c>
      <c r="B323" s="6" t="s">
        <v>1558</v>
      </c>
      <c r="C323" s="6" t="s">
        <v>143</v>
      </c>
      <c r="D323" s="6" t="s">
        <v>17</v>
      </c>
      <c r="E323" s="6" t="s">
        <v>1557</v>
      </c>
      <c r="F323" s="6" t="s">
        <v>238</v>
      </c>
      <c r="G323" s="6">
        <v>63560810</v>
      </c>
      <c r="H323" t="str">
        <f t="shared" si="9"/>
        <v>INSERT INTO `parqueadero`.`vehiculo` (`Oid`, `Placa`, `Medio`, `Tipo`, `Marca`, `Color`, `IdConductor`) VALUES ('316','JOU639','CAMIONETA','COMBUSTIBLE','DUSTER','BLANCA','63560810');</v>
      </c>
    </row>
    <row r="324" spans="1:8" ht="14.4" x14ac:dyDescent="0.3">
      <c r="A324" s="5">
        <f t="shared" si="10"/>
        <v>317</v>
      </c>
      <c r="B324" s="17" t="s">
        <v>1564</v>
      </c>
      <c r="C324" s="6" t="s">
        <v>115</v>
      </c>
      <c r="D324" s="17" t="s">
        <v>17</v>
      </c>
      <c r="E324" s="17" t="s">
        <v>1563</v>
      </c>
      <c r="F324" s="17" t="s">
        <v>1565</v>
      </c>
      <c r="G324" s="17">
        <v>1018466744</v>
      </c>
      <c r="H324" t="str">
        <f t="shared" si="9"/>
        <v>INSERT INTO `parqueadero`.`vehiculo` (`Oid`, `Placa`, `Medio`, `Tipo`, `Marca`, `Color`, `IdConductor`) VALUES ('317','EMM895','AUTOMÓVIL','COMBUSTIBLE','NISSAN QASHQAI','ROJO PERLADO','1018466744');</v>
      </c>
    </row>
    <row r="325" spans="1:8" ht="14.4" x14ac:dyDescent="0.3">
      <c r="A325" s="5">
        <f t="shared" si="10"/>
        <v>318</v>
      </c>
      <c r="B325" s="17" t="s">
        <v>1568</v>
      </c>
      <c r="C325" s="6" t="s">
        <v>2195</v>
      </c>
      <c r="D325" s="17" t="s">
        <v>17</v>
      </c>
      <c r="E325" s="17" t="s">
        <v>1567</v>
      </c>
      <c r="F325" s="17" t="s">
        <v>24</v>
      </c>
      <c r="G325" s="17">
        <v>1018466744</v>
      </c>
      <c r="H325" t="str">
        <f t="shared" si="9"/>
        <v>INSERT INTO `parqueadero`.`vehiculo` (`Oid`, `Placa`, `Medio`, `Tipo`, `Marca`, `Color`, `IdConductor`) VALUES ('318','YGT93F','MOTOCICLETA','COMBUSTIBLE','BENELLI TNT 150I','NEGRO','1018466744');</v>
      </c>
    </row>
    <row r="326" spans="1:8" ht="14.4" x14ac:dyDescent="0.3">
      <c r="A326" s="5">
        <f t="shared" si="10"/>
        <v>319</v>
      </c>
      <c r="B326" s="6" t="s">
        <v>1572</v>
      </c>
      <c r="C326" s="6" t="s">
        <v>115</v>
      </c>
      <c r="D326" s="6" t="s">
        <v>17</v>
      </c>
      <c r="E326" s="6" t="s">
        <v>294</v>
      </c>
      <c r="F326" s="6" t="s">
        <v>1258</v>
      </c>
      <c r="G326" s="6">
        <v>80075631</v>
      </c>
      <c r="H326" t="str">
        <f t="shared" si="9"/>
        <v>INSERT INTO `parqueadero`.`vehiculo` (`Oid`, `Placa`, `Medio`, `Tipo`, `Marca`, `Color`, `IdConductor`) VALUES ('319','LTW027','AUTOMÓVIL','COMBUSTIBLE','FORD','PLATA ','80075631');</v>
      </c>
    </row>
    <row r="327" spans="1:8" ht="14.4" x14ac:dyDescent="0.3">
      <c r="A327" s="5">
        <f t="shared" si="10"/>
        <v>320</v>
      </c>
      <c r="B327" s="6" t="s">
        <v>1576</v>
      </c>
      <c r="C327" s="6" t="s">
        <v>2195</v>
      </c>
      <c r="D327" s="6" t="s">
        <v>17</v>
      </c>
      <c r="E327" s="6" t="s">
        <v>1575</v>
      </c>
      <c r="F327" s="6" t="s">
        <v>24</v>
      </c>
      <c r="G327" s="6">
        <v>74282260</v>
      </c>
      <c r="H327" t="str">
        <f t="shared" si="9"/>
        <v>INSERT INTO `parqueadero`.`vehiculo` (`Oid`, `Placa`, `Medio`, `Tipo`, `Marca`, `Color`, `IdConductor`) VALUES ('320','UZY09D','MOTOCICLETA','COMBUSTIBLE','DISCOVERY ','NEGRO','74282260');</v>
      </c>
    </row>
    <row r="328" spans="1:8" ht="14.4" x14ac:dyDescent="0.3">
      <c r="A328" s="5">
        <f t="shared" si="10"/>
        <v>321</v>
      </c>
      <c r="B328" s="6" t="s">
        <v>1578</v>
      </c>
      <c r="C328" s="6" t="s">
        <v>143</v>
      </c>
      <c r="D328" s="6" t="s">
        <v>17</v>
      </c>
      <c r="E328" s="6" t="s">
        <v>1577</v>
      </c>
      <c r="F328" s="6" t="s">
        <v>60</v>
      </c>
      <c r="G328" s="6">
        <v>74282260</v>
      </c>
      <c r="H328" t="str">
        <f t="shared" si="9"/>
        <v>INSERT INTO `parqueadero`.`vehiculo` (`Oid`, `Placa`, `Medio`, `Tipo`, `Marca`, `Color`, `IdConductor`) VALUES ('321','LWM604','CAMIONETA','COMBUSTIBLE','SUBARU FORESTER','GRIS','74282260');</v>
      </c>
    </row>
    <row r="329" spans="1:8" ht="14.4" x14ac:dyDescent="0.3">
      <c r="A329" s="5">
        <f t="shared" si="10"/>
        <v>322</v>
      </c>
      <c r="B329" s="6" t="s">
        <v>1582</v>
      </c>
      <c r="C329" s="6" t="s">
        <v>2195</v>
      </c>
      <c r="D329" s="6" t="s">
        <v>17</v>
      </c>
      <c r="E329" s="6" t="s">
        <v>1422</v>
      </c>
      <c r="F329" s="6" t="s">
        <v>38</v>
      </c>
      <c r="G329" s="6">
        <v>80047722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('322','HKH77E','MOTOCICLETA','COMBUSTIBLE','BAJAJ','VERDE','80047722');</v>
      </c>
    </row>
    <row r="330" spans="1:8" ht="14.4" x14ac:dyDescent="0.3">
      <c r="A330" s="5">
        <f t="shared" si="10"/>
        <v>323</v>
      </c>
      <c r="B330" s="6" t="s">
        <v>1583</v>
      </c>
      <c r="C330" s="6" t="s">
        <v>115</v>
      </c>
      <c r="D330" s="6" t="s">
        <v>17</v>
      </c>
      <c r="E330" s="6" t="s">
        <v>56</v>
      </c>
      <c r="F330" s="6" t="s">
        <v>44</v>
      </c>
      <c r="G330" s="6">
        <v>80047722</v>
      </c>
      <c r="H330" t="str">
        <f t="shared" si="11"/>
        <v>INSERT INTO `parqueadero`.`vehiculo` (`Oid`, `Placa`, `Medio`, `Tipo`, `Marca`, `Color`, `IdConductor`) VALUES ('323','BUE779','AUTOMÓVIL','COMBUSTIBLE','HONDA','ROJO','80047722');</v>
      </c>
    </row>
    <row r="331" spans="1:8" ht="14.4" x14ac:dyDescent="0.3">
      <c r="A331" s="5">
        <f t="shared" si="10"/>
        <v>324</v>
      </c>
      <c r="B331" s="6" t="s">
        <v>1584</v>
      </c>
      <c r="C331" s="6" t="s">
        <v>2195</v>
      </c>
      <c r="D331" s="6" t="s">
        <v>17</v>
      </c>
      <c r="E331" s="6" t="s">
        <v>701</v>
      </c>
      <c r="F331" s="6" t="s">
        <v>24</v>
      </c>
      <c r="G331" s="6">
        <v>80075631</v>
      </c>
      <c r="H331" t="str">
        <f t="shared" si="11"/>
        <v>INSERT INTO `parqueadero`.`vehiculo` (`Oid`, `Placa`, `Medio`, `Tipo`, `Marca`, `Color`, `IdConductor`) VALUES ('324','HVE88C','MOTOCICLETA','COMBUSTIBLE','YAMAHA','NEGRO','80075631');</v>
      </c>
    </row>
    <row r="332" spans="1:8" ht="14.4" x14ac:dyDescent="0.3">
      <c r="A332" s="5">
        <f t="shared" si="10"/>
        <v>325</v>
      </c>
      <c r="B332" s="6" t="s">
        <v>1587</v>
      </c>
      <c r="C332" s="6" t="s">
        <v>2195</v>
      </c>
      <c r="D332" s="6" t="s">
        <v>17</v>
      </c>
      <c r="E332" s="6" t="s">
        <v>670</v>
      </c>
      <c r="F332" s="6" t="s">
        <v>1588</v>
      </c>
      <c r="G332" s="6">
        <v>1018431754</v>
      </c>
      <c r="H332" t="str">
        <f t="shared" si="11"/>
        <v>INSERT INTO `parqueadero`.`vehiculo` (`Oid`, `Placa`, `Medio`, `Tipo`, `Marca`, `Color`, `IdConductor`) VALUES ('325','PGQ89H','MOTOCICLETA','COMBUSTIBLE','TRIUMPH','ROJO/NEGRO','1018431754');</v>
      </c>
    </row>
    <row r="333" spans="1:8" ht="14.4" x14ac:dyDescent="0.3">
      <c r="A333" s="5">
        <f t="shared" si="10"/>
        <v>326</v>
      </c>
      <c r="B333" s="6" t="s">
        <v>1589</v>
      </c>
      <c r="C333" s="6" t="s">
        <v>115</v>
      </c>
      <c r="D333" s="6" t="s">
        <v>129</v>
      </c>
      <c r="E333" s="6" t="s">
        <v>22</v>
      </c>
      <c r="F333" s="6" t="s">
        <v>44</v>
      </c>
      <c r="G333" s="6">
        <v>1018431754</v>
      </c>
      <c r="H333" t="str">
        <f t="shared" si="11"/>
        <v>INSERT INTO `parqueadero`.`vehiculo` (`Oid`, `Placa`, `Medio`, `Tipo`, `Marca`, `Color`, `IdConductor`) VALUES ('326','LOU019','AUTOMÓVIL','ELÉCTRICO','BYD','ROJO','1018431754');</v>
      </c>
    </row>
    <row r="334" spans="1:8" ht="14.4" x14ac:dyDescent="0.3">
      <c r="A334" s="5">
        <f t="shared" si="10"/>
        <v>327</v>
      </c>
      <c r="B334" s="6" t="s">
        <v>1592</v>
      </c>
      <c r="C334" s="6" t="s">
        <v>2195</v>
      </c>
      <c r="D334" s="6" t="s">
        <v>17</v>
      </c>
      <c r="E334" s="6" t="s">
        <v>1591</v>
      </c>
      <c r="F334" s="6" t="s">
        <v>177</v>
      </c>
      <c r="G334" s="6">
        <v>1015466109</v>
      </c>
      <c r="H334" t="str">
        <f t="shared" si="11"/>
        <v>INSERT INTO `parqueadero`.`vehiculo` (`Oid`, `Placa`, `Medio`, `Tipo`, `Marca`, `Color`, `IdConductor`) VALUES ('327','HIE19G','MOTOCICLETA','COMBUSTIBLE','BAJAJ DOMINAR','NEGRO ','1015466109');</v>
      </c>
    </row>
    <row r="335" spans="1:8" ht="14.4" x14ac:dyDescent="0.3">
      <c r="A335" s="5">
        <f t="shared" si="10"/>
        <v>328</v>
      </c>
      <c r="B335" s="6" t="s">
        <v>1596</v>
      </c>
      <c r="C335" s="6" t="s">
        <v>115</v>
      </c>
      <c r="D335" s="6" t="s">
        <v>17</v>
      </c>
      <c r="E335" s="6" t="s">
        <v>1595</v>
      </c>
      <c r="F335" s="6" t="s">
        <v>24</v>
      </c>
      <c r="G335" s="6">
        <v>51975445</v>
      </c>
      <c r="H335" t="str">
        <f t="shared" si="11"/>
        <v>INSERT INTO `parqueadero`.`vehiculo` (`Oid`, `Placa`, `Medio`, `Tipo`, `Marca`, `Color`, `IdConductor`) VALUES ('328','DBH553','AUTOMÓVIL','COMBUSTIBLE','KIA ','NEGRO','51975445');</v>
      </c>
    </row>
    <row r="336" spans="1:8" ht="14.4" x14ac:dyDescent="0.3">
      <c r="A336" s="5">
        <f t="shared" si="10"/>
        <v>329</v>
      </c>
      <c r="B336" s="6" t="s">
        <v>1601</v>
      </c>
      <c r="C336" s="6" t="s">
        <v>2195</v>
      </c>
      <c r="D336" s="6" t="s">
        <v>17</v>
      </c>
      <c r="E336" s="6" t="s">
        <v>1600</v>
      </c>
      <c r="F336" s="6" t="s">
        <v>1602</v>
      </c>
      <c r="G336" s="6">
        <v>1075624493</v>
      </c>
      <c r="H336" t="str">
        <f t="shared" si="11"/>
        <v>INSERT INTO `parqueadero`.`vehiculo` (`Oid`, `Placa`, `Medio`, `Tipo`, `Marca`, `Color`, `IdConductor`) VALUES ('329','IWW58H','MOTOCICLETA','COMBUSTIBLE','KTM DUKE 390','AZUL/GRIS','1075624493');</v>
      </c>
    </row>
    <row r="337" spans="1:8" ht="14.4" x14ac:dyDescent="0.3">
      <c r="A337" s="5">
        <f t="shared" si="10"/>
        <v>330</v>
      </c>
      <c r="B337" s="6" t="s">
        <v>1604</v>
      </c>
      <c r="C337" s="6" t="s">
        <v>143</v>
      </c>
      <c r="D337" s="6" t="s">
        <v>17</v>
      </c>
      <c r="E337" s="6" t="s">
        <v>1603</v>
      </c>
      <c r="F337" s="6" t="s">
        <v>1605</v>
      </c>
      <c r="G337" s="6">
        <v>1075624493</v>
      </c>
      <c r="H337" t="str">
        <f t="shared" si="11"/>
        <v>INSERT INTO `parqueadero`.`vehiculo` (`Oid`, `Placa`, `Medio`, `Tipo`, `Marca`, `Color`, `IdConductor`) VALUES ('330','PUL897','CAMIONETA','COMBUSTIBLE','KIA K3','GRIS/PLATA','1075624493');</v>
      </c>
    </row>
    <row r="338" spans="1:8" ht="14.4" x14ac:dyDescent="0.3">
      <c r="A338" s="5">
        <f t="shared" si="10"/>
        <v>331</v>
      </c>
      <c r="B338" s="6" t="s">
        <v>1610</v>
      </c>
      <c r="C338" s="6" t="s">
        <v>2195</v>
      </c>
      <c r="D338" s="6" t="s">
        <v>17</v>
      </c>
      <c r="E338" s="6" t="s">
        <v>1609</v>
      </c>
      <c r="F338" s="6" t="s">
        <v>24</v>
      </c>
      <c r="G338" s="6">
        <v>1013577285</v>
      </c>
      <c r="H338" t="str">
        <f t="shared" si="11"/>
        <v>INSERT INTO `parqueadero`.`vehiculo` (`Oid`, `Placa`, `Medio`, `Tipo`, `Marca`, `Color`, `IdConductor`) VALUES ('331','GMG67E','MOTOCICLETA','COMBUSTIBLE','TVS APACHE','NEGRO','1013577285');</v>
      </c>
    </row>
    <row r="339" spans="1:8" ht="14.4" x14ac:dyDescent="0.3">
      <c r="A339" s="5">
        <f t="shared" si="10"/>
        <v>332</v>
      </c>
      <c r="B339" s="6" t="s">
        <v>1611</v>
      </c>
      <c r="C339" s="6" t="s">
        <v>143</v>
      </c>
      <c r="D339" s="6" t="s">
        <v>17</v>
      </c>
      <c r="E339" s="6" t="s">
        <v>1200</v>
      </c>
      <c r="F339" s="6" t="s">
        <v>248</v>
      </c>
      <c r="G339" s="6">
        <v>1013577285</v>
      </c>
      <c r="H339" t="str">
        <f t="shared" si="11"/>
        <v>INSERT INTO `parqueadero`.`vehiculo` (`Oid`, `Placa`, `Medio`, `Tipo`, `Marca`, `Color`, `IdConductor`) VALUES ('332','RHZ663','CAMIONETA','COMBUSTIBLE','CHEVROLET CAPTIVA','GRIS PLATA','1013577285');</v>
      </c>
    </row>
    <row r="340" spans="1:8" ht="14.4" x14ac:dyDescent="0.3">
      <c r="A340" s="5">
        <f t="shared" si="10"/>
        <v>333</v>
      </c>
      <c r="B340" s="6" t="s">
        <v>1615</v>
      </c>
      <c r="C340" s="6" t="s">
        <v>143</v>
      </c>
      <c r="D340" s="6" t="s">
        <v>253</v>
      </c>
      <c r="E340" s="6" t="s">
        <v>294</v>
      </c>
      <c r="F340" s="6" t="s">
        <v>60</v>
      </c>
      <c r="G340" s="6">
        <v>1018437843</v>
      </c>
      <c r="H340" t="str">
        <f t="shared" si="11"/>
        <v>INSERT INTO `parqueadero`.`vehiculo` (`Oid`, `Placa`, `Medio`, `Tipo`, `Marca`, `Color`, `IdConductor`) VALUES ('333','DQN051','CAMIONETA','HÍBRIDO','FORD','GRIS','1018437843');</v>
      </c>
    </row>
    <row r="341" spans="1:8" ht="14.4" x14ac:dyDescent="0.3">
      <c r="A341" s="5">
        <f t="shared" si="10"/>
        <v>334</v>
      </c>
      <c r="B341" s="6" t="s">
        <v>1620</v>
      </c>
      <c r="C341" s="6" t="s">
        <v>115</v>
      </c>
      <c r="D341" s="6" t="s">
        <v>17</v>
      </c>
      <c r="E341" s="6" t="s">
        <v>56</v>
      </c>
      <c r="F341" s="6" t="s">
        <v>44</v>
      </c>
      <c r="G341" s="6">
        <v>1010196411</v>
      </c>
      <c r="H341" t="str">
        <f t="shared" si="11"/>
        <v>INSERT INTO `parqueadero`.`vehiculo` (`Oid`, `Placa`, `Medio`, `Tipo`, `Marca`, `Color`, `IdConductor`) VALUES ('334','BCG853','AUTOMÓVIL','COMBUSTIBLE','HONDA','ROJO','1010196411');</v>
      </c>
    </row>
    <row r="342" spans="1:8" ht="14.4" x14ac:dyDescent="0.3">
      <c r="A342" s="5">
        <f t="shared" si="10"/>
        <v>335</v>
      </c>
      <c r="B342" s="6" t="s">
        <v>1625</v>
      </c>
      <c r="C342" s="6" t="s">
        <v>115</v>
      </c>
      <c r="D342" s="6" t="s">
        <v>17</v>
      </c>
      <c r="E342" s="6" t="s">
        <v>1624</v>
      </c>
      <c r="F342" s="6" t="s">
        <v>725</v>
      </c>
      <c r="G342" s="6">
        <v>1015466109</v>
      </c>
      <c r="H342" t="str">
        <f t="shared" si="11"/>
        <v>INSERT INTO `parqueadero`.`vehiculo` (`Oid`, `Placa`, `Medio`, `Tipo`, `Marca`, `Color`, `IdConductor`) VALUES ('335','DNT647','AUTOMÓVIL','COMBUSTIBLE','CHEVROLET SAIL ','ROJO ','1015466109');</v>
      </c>
    </row>
    <row r="343" spans="1:8" ht="14.4" x14ac:dyDescent="0.3">
      <c r="A343" s="5">
        <f t="shared" si="10"/>
        <v>336</v>
      </c>
      <c r="B343" s="6" t="s">
        <v>1630</v>
      </c>
      <c r="C343" s="6" t="s">
        <v>115</v>
      </c>
      <c r="D343" s="6" t="s">
        <v>253</v>
      </c>
      <c r="E343" s="6" t="s">
        <v>1629</v>
      </c>
      <c r="F343" s="6" t="s">
        <v>1171</v>
      </c>
      <c r="G343" s="6">
        <v>1085296515</v>
      </c>
      <c r="H343" t="str">
        <f t="shared" si="11"/>
        <v>INSERT INTO `parqueadero`.`vehiculo` (`Oid`, `Placa`, `Medio`, `Tipo`, `Marca`, `Color`, `IdConductor`) VALUES ('336','NFX124','AUTOMÓVIL','HÍBRIDO','SUZUKI SWIFT HIBRIDO','GRIS PERLA','1085296515');</v>
      </c>
    </row>
    <row r="344" spans="1:8" ht="14.4" x14ac:dyDescent="0.3">
      <c r="A344" s="5">
        <f t="shared" si="10"/>
        <v>337</v>
      </c>
      <c r="B344" s="6" t="s">
        <v>1635</v>
      </c>
      <c r="C344" s="6" t="s">
        <v>143</v>
      </c>
      <c r="D344" s="6" t="s">
        <v>129</v>
      </c>
      <c r="E344" s="6" t="s">
        <v>22</v>
      </c>
      <c r="F344" s="6" t="s">
        <v>66</v>
      </c>
      <c r="G344" s="6">
        <v>52916779</v>
      </c>
      <c r="H344" t="str">
        <f t="shared" si="11"/>
        <v>INSERT INTO `parqueadero`.`vehiculo` (`Oid`, `Placa`, `Medio`, `Tipo`, `Marca`, `Color`, `IdConductor`) VALUES ('337','PZX788','CAMIONETA','ELÉCTRICO','BYD','BLANCO','52916779');</v>
      </c>
    </row>
    <row r="345" spans="1:8" ht="14.4" x14ac:dyDescent="0.3">
      <c r="A345" s="5">
        <f t="shared" si="10"/>
        <v>338</v>
      </c>
      <c r="B345" s="6" t="s">
        <v>1640</v>
      </c>
      <c r="C345" s="6" t="s">
        <v>143</v>
      </c>
      <c r="D345" s="6" t="s">
        <v>17</v>
      </c>
      <c r="E345" s="6" t="s">
        <v>1639</v>
      </c>
      <c r="F345" s="6" t="s">
        <v>166</v>
      </c>
      <c r="G345" s="6">
        <v>79507738</v>
      </c>
      <c r="H345" t="str">
        <f t="shared" si="11"/>
        <v>INSERT INTO `parqueadero`.`vehiculo` (`Oid`, `Placa`, `Medio`, `Tipo`, `Marca`, `Color`, `IdConductor`) VALUES ('338','EJT705','CAMIONETA','COMBUSTIBLE','HONDA CRV','GRIS OSCURO','79507738');</v>
      </c>
    </row>
    <row r="346" spans="1:8" ht="14.4" x14ac:dyDescent="0.3">
      <c r="A346" s="5">
        <f t="shared" si="10"/>
        <v>339</v>
      </c>
      <c r="B346" s="6" t="s">
        <v>1644</v>
      </c>
      <c r="C346" s="6" t="s">
        <v>143</v>
      </c>
      <c r="D346" s="6" t="s">
        <v>17</v>
      </c>
      <c r="E346" s="6" t="s">
        <v>164</v>
      </c>
      <c r="F346" s="6" t="s">
        <v>52</v>
      </c>
      <c r="G346" s="6">
        <v>79645809</v>
      </c>
      <c r="H346" t="str">
        <f t="shared" si="11"/>
        <v>INSERT INTO `parqueadero`.`vehiculo` (`Oid`, `Placa`, `Medio`, `Tipo`, `Marca`, `Color`, `IdConductor`) VALUES ('339','MCP475','CAMIONETA','COMBUSTIBLE','KIA','PLATA','79645809');</v>
      </c>
    </row>
    <row r="347" spans="1:8" ht="14.4" x14ac:dyDescent="0.3">
      <c r="A347" s="5">
        <f t="shared" si="10"/>
        <v>340</v>
      </c>
      <c r="B347" s="6" t="s">
        <v>1645</v>
      </c>
      <c r="C347" s="6" t="s">
        <v>2195</v>
      </c>
      <c r="D347" s="6" t="s">
        <v>17</v>
      </c>
      <c r="E347" s="6" t="s">
        <v>276</v>
      </c>
      <c r="F347" s="6" t="s">
        <v>1646</v>
      </c>
      <c r="G347" s="6">
        <v>79645809</v>
      </c>
      <c r="H347" t="str">
        <f t="shared" si="11"/>
        <v>INSERT INTO `parqueadero`.`vehiculo` (`Oid`, `Placa`, `Medio`, `Tipo`, `Marca`, `Color`, `IdConductor`) VALUES ('340','RBH01C','MOTOCICLETA','COMBUSTIBLE','SUZUKI','NARANJA','79645809');</v>
      </c>
    </row>
    <row r="348" spans="1:8" ht="14.4" x14ac:dyDescent="0.3">
      <c r="A348" s="5">
        <f t="shared" si="10"/>
        <v>341</v>
      </c>
      <c r="B348" s="6" t="s">
        <v>1648</v>
      </c>
      <c r="C348" s="6" t="s">
        <v>2195</v>
      </c>
      <c r="D348" s="6" t="s">
        <v>17</v>
      </c>
      <c r="E348" s="6" t="s">
        <v>805</v>
      </c>
      <c r="F348" s="6" t="s">
        <v>24</v>
      </c>
      <c r="G348" s="6">
        <v>79652526</v>
      </c>
      <c r="H348" t="str">
        <f t="shared" si="11"/>
        <v>INSERT INTO `parqueadero`.`vehiculo` (`Oid`, `Placa`, `Medio`, `Tipo`, `Marca`, `Color`, `IdConductor`) VALUES ('341','LOW27C','MOTOCICLETA','COMBUSTIBLE','KYMCO','NEGRO','79652526');</v>
      </c>
    </row>
    <row r="349" spans="1:8" ht="14.4" x14ac:dyDescent="0.3">
      <c r="A349" s="5">
        <f t="shared" si="10"/>
        <v>342</v>
      </c>
      <c r="B349" s="6" t="s">
        <v>1654</v>
      </c>
      <c r="C349" s="6" t="s">
        <v>115</v>
      </c>
      <c r="D349" s="6" t="s">
        <v>17</v>
      </c>
      <c r="E349" s="6" t="s">
        <v>1333</v>
      </c>
      <c r="F349" s="6" t="s">
        <v>44</v>
      </c>
      <c r="G349" s="6">
        <v>1014307682</v>
      </c>
      <c r="H349" t="str">
        <f t="shared" si="11"/>
        <v>INSERT INTO `parqueadero`.`vehiculo` (`Oid`, `Placa`, `Medio`, `Tipo`, `Marca`, `Color`, `IdConductor`) VALUES ('342','BYC674','AUTOMÓVIL','COMBUSTIBLE','PEUGEOT','ROJO','1014307682');</v>
      </c>
    </row>
    <row r="350" spans="1:8" ht="14.4" x14ac:dyDescent="0.3">
      <c r="A350" s="5">
        <f t="shared" si="10"/>
        <v>343</v>
      </c>
      <c r="B350" s="6" t="s">
        <v>1658</v>
      </c>
      <c r="C350" s="6" t="s">
        <v>143</v>
      </c>
      <c r="D350" s="6" t="s">
        <v>17</v>
      </c>
      <c r="E350" s="6" t="s">
        <v>214</v>
      </c>
      <c r="F350" s="6" t="s">
        <v>1083</v>
      </c>
      <c r="G350" s="6">
        <v>1023010822</v>
      </c>
      <c r="H350" t="str">
        <f t="shared" si="11"/>
        <v>INSERT INTO `parqueadero`.`vehiculo` (`Oid`, `Placa`, `Medio`, `Tipo`, `Marca`, `Color`, `IdConductor`) VALUES ('343','ABR967','CAMIONETA','COMBUSTIBLE','CHEVROLET TRACKER','GRIS TECHNO','1023010822');</v>
      </c>
    </row>
    <row r="351" spans="1:8" ht="14.4" x14ac:dyDescent="0.3">
      <c r="A351" s="5">
        <f t="shared" si="10"/>
        <v>344</v>
      </c>
      <c r="B351" s="6" t="s">
        <v>1659</v>
      </c>
      <c r="C351" s="6" t="s">
        <v>143</v>
      </c>
      <c r="D351" s="6" t="s">
        <v>17</v>
      </c>
      <c r="E351" s="6" t="s">
        <v>132</v>
      </c>
      <c r="F351" s="6" t="s">
        <v>30</v>
      </c>
      <c r="G351" s="6">
        <v>79751974</v>
      </c>
      <c r="H351" t="str">
        <f t="shared" si="11"/>
        <v>INSERT INTO `parqueadero`.`vehiculo` (`Oid`, `Placa`, `Medio`, `Tipo`, `Marca`, `Color`, `IdConductor`) VALUES ('344','NXQ369','CAMIONETA','COMBUSTIBLE','BMW','PENDIENTE','79751974');</v>
      </c>
    </row>
    <row r="352" spans="1:8" ht="14.4" x14ac:dyDescent="0.3">
      <c r="A352" s="5">
        <f t="shared" si="10"/>
        <v>345</v>
      </c>
      <c r="B352" s="6" t="s">
        <v>1663</v>
      </c>
      <c r="C352" s="6" t="s">
        <v>115</v>
      </c>
      <c r="D352" s="6" t="s">
        <v>17</v>
      </c>
      <c r="E352" s="6" t="s">
        <v>1662</v>
      </c>
      <c r="F352" s="6" t="s">
        <v>18</v>
      </c>
      <c r="G352" s="6">
        <v>79334791</v>
      </c>
      <c r="H352" t="str">
        <f t="shared" si="11"/>
        <v>INSERT INTO `parqueadero`.`vehiculo` (`Oid`, `Placa`, `Medio`, `Tipo`, `Marca`, `Color`, `IdConductor`) VALUES ('345','CUP251','AUTOMÓVIL','COMBUSTIBLE','BMW 525i','AZUL','79334791');</v>
      </c>
    </row>
    <row r="353" spans="1:8" ht="14.4" x14ac:dyDescent="0.3">
      <c r="A353" s="5">
        <f t="shared" si="10"/>
        <v>346</v>
      </c>
      <c r="B353" s="6" t="s">
        <v>1669</v>
      </c>
      <c r="C353" s="6" t="s">
        <v>115</v>
      </c>
      <c r="D353" s="6" t="s">
        <v>129</v>
      </c>
      <c r="E353" s="6" t="s">
        <v>1668</v>
      </c>
      <c r="F353" s="6" t="s">
        <v>38</v>
      </c>
      <c r="G353" s="6">
        <v>79553690</v>
      </c>
      <c r="H353" t="str">
        <f t="shared" si="11"/>
        <v>INSERT INTO `parqueadero`.`vehiculo` (`Oid`, `Placa`, `Medio`, `Tipo`, `Marca`, `Color`, `IdConductor`) VALUES ('346','PZP227','AUTOMÓVIL','ELÉCTRICO','JAC E30X','VERDE','79553690');</v>
      </c>
    </row>
    <row r="354" spans="1:8" ht="14.4" x14ac:dyDescent="0.3">
      <c r="A354" s="5">
        <f t="shared" si="10"/>
        <v>347</v>
      </c>
      <c r="B354" s="6" t="s">
        <v>1670</v>
      </c>
      <c r="C354" s="6" t="s">
        <v>115</v>
      </c>
      <c r="D354" s="6" t="s">
        <v>129</v>
      </c>
      <c r="E354" s="6" t="s">
        <v>1374</v>
      </c>
      <c r="F354" s="6" t="s">
        <v>66</v>
      </c>
      <c r="G354" s="6">
        <v>79553690</v>
      </c>
      <c r="H354" t="str">
        <f t="shared" si="11"/>
        <v>INSERT INTO `parqueadero`.`vehiculo` (`Oid`, `Placa`, `Medio`, `Tipo`, `Marca`, `Color`, `IdConductor`) VALUES ('347','PBM692','AUTOMÓVIL','ELÉCTRICO','BYD SEAGULL','BLANCO','79553690');</v>
      </c>
    </row>
    <row r="355" spans="1:8" ht="14.4" x14ac:dyDescent="0.3">
      <c r="A355" s="5">
        <f t="shared" si="10"/>
        <v>348</v>
      </c>
      <c r="B355" s="6" t="s">
        <v>1671</v>
      </c>
      <c r="C355" s="6" t="s">
        <v>115</v>
      </c>
      <c r="D355" s="6" t="s">
        <v>17</v>
      </c>
      <c r="E355" s="6" t="s">
        <v>123</v>
      </c>
      <c r="F355" s="6" t="s">
        <v>24</v>
      </c>
      <c r="G355" s="6">
        <v>79941715</v>
      </c>
      <c r="H355" t="str">
        <f t="shared" si="11"/>
        <v>INSERT INTO `parqueadero`.`vehiculo` (`Oid`, `Placa`, `Medio`, `Tipo`, `Marca`, `Color`, `IdConductor`) VALUES ('348','RDU359','AUTOMÓVIL','COMBUSTIBLE','CHEVROLET ','NEGRO','79941715');</v>
      </c>
    </row>
    <row r="356" spans="1:8" ht="14.4" x14ac:dyDescent="0.3">
      <c r="A356" s="5">
        <f t="shared" si="10"/>
        <v>349</v>
      </c>
      <c r="B356" s="6" t="s">
        <v>1674</v>
      </c>
      <c r="C356" s="6" t="s">
        <v>143</v>
      </c>
      <c r="D356" s="6" t="s">
        <v>17</v>
      </c>
      <c r="E356" s="6" t="s">
        <v>58</v>
      </c>
      <c r="F356" s="6" t="s">
        <v>60</v>
      </c>
      <c r="G356" s="6">
        <v>79756400</v>
      </c>
      <c r="H356" t="str">
        <f t="shared" si="11"/>
        <v>INSERT INTO `parqueadero`.`vehiculo` (`Oid`, `Placa`, `Medio`, `Tipo`, `Marca`, `Color`, `IdConductor`) VALUES ('349','MHW775','CAMIONETA','COMBUSTIBLE','CHEVROLET','GRIS','79756400');</v>
      </c>
    </row>
    <row r="357" spans="1:8" ht="14.4" x14ac:dyDescent="0.3">
      <c r="A357" s="5">
        <f t="shared" si="10"/>
        <v>350</v>
      </c>
      <c r="B357" s="6" t="s">
        <v>1679</v>
      </c>
      <c r="C357" s="6" t="s">
        <v>143</v>
      </c>
      <c r="D357" s="6" t="s">
        <v>129</v>
      </c>
      <c r="E357" s="6" t="s">
        <v>1678</v>
      </c>
      <c r="F357" s="6" t="s">
        <v>1680</v>
      </c>
      <c r="G357" s="6">
        <v>80135858</v>
      </c>
      <c r="H357" t="str">
        <f t="shared" si="11"/>
        <v>INSERT INTO `parqueadero`.`vehiculo` (`Oid`, `Placa`, `Medio`, `Tipo`, `Marca`, `Color`, `IdConductor`) VALUES ('350','PHQ308','CAMIONETA','ELÉCTRICO','BMW IX1','GRIS METALIZADO','80135858');</v>
      </c>
    </row>
    <row r="358" spans="1:8" ht="14.4" x14ac:dyDescent="0.3">
      <c r="A358" s="5">
        <f t="shared" si="10"/>
        <v>351</v>
      </c>
      <c r="B358" s="6" t="s">
        <v>1684</v>
      </c>
      <c r="C358" s="6" t="s">
        <v>115</v>
      </c>
      <c r="D358" s="6" t="s">
        <v>17</v>
      </c>
      <c r="E358" s="6" t="s">
        <v>304</v>
      </c>
      <c r="F358" s="6" t="s">
        <v>34</v>
      </c>
      <c r="G358" s="6">
        <v>79841486</v>
      </c>
      <c r="H358" t="str">
        <f t="shared" si="11"/>
        <v>INSERT INTO `parqueadero`.`vehiculo` (`Oid`, `Placa`, `Medio`, `Tipo`, `Marca`, `Color`, `IdConductor`) VALUES ('351','FNS114','AUTOMÓVIL','COMBUSTIBLE','RENAULT','BEIGE','79841486');</v>
      </c>
    </row>
    <row r="359" spans="1:8" ht="14.4" x14ac:dyDescent="0.3">
      <c r="A359" s="5">
        <f t="shared" si="10"/>
        <v>352</v>
      </c>
      <c r="B359" s="6" t="s">
        <v>1687</v>
      </c>
      <c r="C359" s="6" t="s">
        <v>115</v>
      </c>
      <c r="D359" s="6" t="s">
        <v>17</v>
      </c>
      <c r="E359" s="6" t="s">
        <v>1465</v>
      </c>
      <c r="F359" s="6" t="s">
        <v>60</v>
      </c>
      <c r="G359" s="6">
        <v>79316881</v>
      </c>
      <c r="H359" t="str">
        <f t="shared" si="11"/>
        <v>INSERT INTO `parqueadero`.`vehiculo` (`Oid`, `Placa`, `Medio`, `Tipo`, `Marca`, `Color`, `IdConductor`) VALUES ('352','PYN474','AUTOMÓVIL','COMBUSTIBLE','VOLKSWAGEN JETTA','GRIS','79316881');</v>
      </c>
    </row>
    <row r="360" spans="1:8" ht="14.4" x14ac:dyDescent="0.3">
      <c r="A360" s="5">
        <f t="shared" si="10"/>
        <v>353</v>
      </c>
      <c r="B360" s="6" t="s">
        <v>1691</v>
      </c>
      <c r="C360" s="6" t="s">
        <v>143</v>
      </c>
      <c r="D360" s="6" t="s">
        <v>17</v>
      </c>
      <c r="E360" s="6" t="s">
        <v>75</v>
      </c>
      <c r="F360" s="6" t="s">
        <v>60</v>
      </c>
      <c r="G360" s="6">
        <v>80202549</v>
      </c>
      <c r="H360" t="str">
        <f t="shared" si="11"/>
        <v>INSERT INTO `parqueadero`.`vehiculo` (`Oid`, `Placa`, `Medio`, `Tipo`, `Marca`, `Color`, `IdConductor`) VALUES ('353','IMT897','CAMIONETA','COMBUSTIBLE','MAZDA','GRIS','80202549');</v>
      </c>
    </row>
    <row r="361" spans="1:8" ht="14.4" x14ac:dyDescent="0.3">
      <c r="A361" s="5">
        <f t="shared" si="10"/>
        <v>354</v>
      </c>
      <c r="B361" s="6" t="s">
        <v>1695</v>
      </c>
      <c r="C361" s="6" t="s">
        <v>143</v>
      </c>
      <c r="D361" s="6" t="s">
        <v>253</v>
      </c>
      <c r="E361" s="6" t="s">
        <v>64</v>
      </c>
      <c r="F361" s="6" t="s">
        <v>66</v>
      </c>
      <c r="G361" s="6">
        <v>1110466592</v>
      </c>
      <c r="H361" t="str">
        <f t="shared" si="11"/>
        <v>INSERT INTO `parqueadero`.`vehiculo` (`Oid`, `Placa`, `Medio`, `Tipo`, `Marca`, `Color`, `IdConductor`) VALUES ('354','PDV885','CAMIONETA','HÍBRIDO','TOYOTA','BLANCO','1110466592');</v>
      </c>
    </row>
    <row r="362" spans="1:8" ht="14.4" x14ac:dyDescent="0.3">
      <c r="A362" s="5">
        <f t="shared" si="10"/>
        <v>355</v>
      </c>
      <c r="B362" s="6" t="s">
        <v>1699</v>
      </c>
      <c r="C362" s="6" t="s">
        <v>143</v>
      </c>
      <c r="D362" s="6" t="s">
        <v>17</v>
      </c>
      <c r="E362" s="6" t="s">
        <v>491</v>
      </c>
      <c r="F362" s="6" t="s">
        <v>66</v>
      </c>
      <c r="G362" s="6">
        <v>19272805</v>
      </c>
      <c r="H362" t="str">
        <f t="shared" si="11"/>
        <v>INSERT INTO `parqueadero`.`vehiculo` (`Oid`, `Placa`, `Medio`, `Tipo`, `Marca`, `Color`, `IdConductor`) VALUES ('355','WOX644','CAMIONETA','COMBUSTIBLE','RENAULT DUSTER','BLANCO','19272805');</v>
      </c>
    </row>
    <row r="363" spans="1:8" ht="14.4" x14ac:dyDescent="0.3">
      <c r="A363" s="5">
        <f t="shared" si="10"/>
        <v>356</v>
      </c>
      <c r="B363" s="6" t="s">
        <v>1704</v>
      </c>
      <c r="C363" s="6" t="s">
        <v>2195</v>
      </c>
      <c r="D363" s="6" t="s">
        <v>17</v>
      </c>
      <c r="E363" s="6" t="s">
        <v>1703</v>
      </c>
      <c r="F363" s="6" t="s">
        <v>18</v>
      </c>
      <c r="G363" s="6">
        <v>52308946</v>
      </c>
      <c r="H363" t="str">
        <f t="shared" si="11"/>
        <v>INSERT INTO `parqueadero`.`vehiculo` (`Oid`, `Placa`, `Medio`, `Tipo`, `Marca`, `Color`, `IdConductor`) VALUES ('356','XHI05H','MOTOCICLETA','COMBUSTIBLE','TVS RAIDER','AZUL','52308946');</v>
      </c>
    </row>
    <row r="364" spans="1:8" ht="14.4" x14ac:dyDescent="0.3">
      <c r="A364" s="5">
        <f t="shared" si="10"/>
        <v>357</v>
      </c>
      <c r="B364" s="6" t="s">
        <v>1708</v>
      </c>
      <c r="C364" s="6" t="s">
        <v>2195</v>
      </c>
      <c r="D364" s="6" t="s">
        <v>17</v>
      </c>
      <c r="E364" s="6" t="s">
        <v>1707</v>
      </c>
      <c r="F364" s="6" t="s">
        <v>18</v>
      </c>
      <c r="G364" s="6">
        <v>1031166153</v>
      </c>
      <c r="H364" t="str">
        <f t="shared" si="11"/>
        <v>INSERT INTO `parqueadero`.`vehiculo` (`Oid`, `Placa`, `Medio`, `Tipo`, `Marca`, `Color`, `IdConductor`) VALUES ('357','PEM28F','MOTOCICLETA','COMBUSTIBLE','SUSUKI GIXXER','AZUL','1031166153');</v>
      </c>
    </row>
    <row r="365" spans="1:8" ht="14.4" x14ac:dyDescent="0.3">
      <c r="A365" s="5">
        <f t="shared" si="10"/>
        <v>358</v>
      </c>
      <c r="B365" s="6" t="s">
        <v>1711</v>
      </c>
      <c r="C365" s="6" t="s">
        <v>143</v>
      </c>
      <c r="D365" s="6" t="s">
        <v>17</v>
      </c>
      <c r="E365" s="6" t="s">
        <v>64</v>
      </c>
      <c r="F365" s="6" t="s">
        <v>60</v>
      </c>
      <c r="G365" s="6">
        <v>91523898</v>
      </c>
      <c r="H365" t="str">
        <f t="shared" si="11"/>
        <v>INSERT INTO `parqueadero`.`vehiculo` (`Oid`, `Placa`, `Medio`, `Tipo`, `Marca`, `Color`, `IdConductor`) VALUES ('358','KMY141','CAMIONETA','COMBUSTIBLE','TOYOTA','GRIS','91523898');</v>
      </c>
    </row>
    <row r="366" spans="1:8" ht="14.4" x14ac:dyDescent="0.3">
      <c r="A366" s="5">
        <f t="shared" si="10"/>
        <v>359</v>
      </c>
      <c r="B366" s="6" t="s">
        <v>1712</v>
      </c>
      <c r="C366" s="6" t="s">
        <v>115</v>
      </c>
      <c r="D366" s="6" t="s">
        <v>129</v>
      </c>
      <c r="E366" s="6" t="s">
        <v>22</v>
      </c>
      <c r="F366" s="6" t="s">
        <v>66</v>
      </c>
      <c r="G366" s="6">
        <v>32798171</v>
      </c>
      <c r="H366" t="str">
        <f t="shared" si="11"/>
        <v>INSERT INTO `parqueadero`.`vehiculo` (`Oid`, `Placa`, `Medio`, `Tipo`, `Marca`, `Color`, `IdConductor`) VALUES ('359','NJU676','AUTOMÓVIL','ELÉCTRICO','BYD','BLANCO','32798171');</v>
      </c>
    </row>
    <row r="367" spans="1:8" ht="14.4" x14ac:dyDescent="0.3">
      <c r="A367" s="5">
        <f t="shared" si="10"/>
        <v>360</v>
      </c>
      <c r="B367" s="6" t="s">
        <v>1718</v>
      </c>
      <c r="C367" s="6" t="s">
        <v>143</v>
      </c>
      <c r="D367" s="6" t="s">
        <v>17</v>
      </c>
      <c r="E367" s="6" t="s">
        <v>1717</v>
      </c>
      <c r="F367" s="6" t="s">
        <v>1021</v>
      </c>
      <c r="G367" s="6">
        <v>52963778</v>
      </c>
      <c r="H367" t="str">
        <f t="shared" si="11"/>
        <v>INSERT INTO `parqueadero`.`vehiculo` (`Oid`, `Placa`, `Medio`, `Tipo`, `Marca`, `Color`, `IdConductor`) VALUES ('360','DOY442','CAMIONETA','COMBUSTIBLE','NISSAN XTRAIL','BLANCO PERLADO','52963778');</v>
      </c>
    </row>
    <row r="368" spans="1:8" ht="14.4" x14ac:dyDescent="0.3">
      <c r="A368" s="5">
        <f t="shared" si="10"/>
        <v>361</v>
      </c>
      <c r="B368" s="6" t="s">
        <v>1722</v>
      </c>
      <c r="C368" s="6" t="s">
        <v>115</v>
      </c>
      <c r="D368" s="6" t="s">
        <v>17</v>
      </c>
      <c r="E368" s="6" t="s">
        <v>1019</v>
      </c>
      <c r="F368" s="6" t="s">
        <v>66</v>
      </c>
      <c r="G368" s="6">
        <v>79690499</v>
      </c>
      <c r="H368" t="str">
        <f t="shared" si="11"/>
        <v>INSERT INTO `parqueadero`.`vehiculo` (`Oid`, `Placa`, `Medio`, `Tipo`, `Marca`, `Color`, `IdConductor`) VALUES ('361','GLM667','AUTOMÓVIL','COMBUSTIBLE','MAZDA 3','BLANCO','79690499');</v>
      </c>
    </row>
    <row r="369" spans="1:8" ht="14.4" x14ac:dyDescent="0.3">
      <c r="A369" s="5">
        <f t="shared" si="10"/>
        <v>362</v>
      </c>
      <c r="B369" s="6" t="s">
        <v>1726</v>
      </c>
      <c r="C369" s="6" t="s">
        <v>2195</v>
      </c>
      <c r="D369" s="6" t="s">
        <v>17</v>
      </c>
      <c r="E369" s="6" t="s">
        <v>1422</v>
      </c>
      <c r="F369" s="6" t="s">
        <v>1727</v>
      </c>
      <c r="G369" s="6">
        <v>1026277669</v>
      </c>
      <c r="H369" t="str">
        <f t="shared" si="11"/>
        <v>INSERT INTO `parqueadero`.`vehiculo` (`Oid`, `Placa`, `Medio`, `Tipo`, `Marca`, `Color`, `IdConductor`) VALUES ('362','GMO67E','MOTOCICLETA','COMBUSTIBLE','BAJAJ','VERDE GRIS','1026277669');</v>
      </c>
    </row>
    <row r="370" spans="1:8" ht="14.4" x14ac:dyDescent="0.3">
      <c r="A370" s="5">
        <f t="shared" si="10"/>
        <v>363</v>
      </c>
      <c r="B370" s="17" t="s">
        <v>1731</v>
      </c>
      <c r="C370" s="6" t="s">
        <v>115</v>
      </c>
      <c r="D370" s="17" t="s">
        <v>17</v>
      </c>
      <c r="E370" s="17" t="s">
        <v>354</v>
      </c>
      <c r="F370" s="17" t="s">
        <v>60</v>
      </c>
      <c r="G370" s="17">
        <v>1026261037</v>
      </c>
      <c r="H370" t="str">
        <f t="shared" si="11"/>
        <v>INSERT INTO `parqueadero`.`vehiculo` (`Oid`, `Placa`, `Medio`, `Tipo`, `Marca`, `Color`, `IdConductor`) VALUES ('363','HFR301','AUTOMÓVIL','COMBUSTIBLE','NISSAN ','GRIS','1026261037');</v>
      </c>
    </row>
    <row r="371" spans="1:8" ht="14.4" x14ac:dyDescent="0.3">
      <c r="A371" s="5">
        <f t="shared" si="10"/>
        <v>364</v>
      </c>
      <c r="B371" s="6" t="s">
        <v>1735</v>
      </c>
      <c r="C371" s="6" t="s">
        <v>115</v>
      </c>
      <c r="D371" s="6" t="s">
        <v>17</v>
      </c>
      <c r="E371" s="6" t="s">
        <v>681</v>
      </c>
      <c r="F371" s="6" t="s">
        <v>44</v>
      </c>
      <c r="G371" s="6">
        <v>1018455944</v>
      </c>
      <c r="H371" t="str">
        <f t="shared" si="11"/>
        <v>INSERT INTO `parqueadero`.`vehiculo` (`Oid`, `Placa`, `Medio`, `Tipo`, `Marca`, `Color`, `IdConductor`) VALUES ('364','GLT039','AUTOMÓVIL','COMBUSTIBLE','MAZDA 2','ROJO','1018455944');</v>
      </c>
    </row>
    <row r="372" spans="1:8" ht="14.4" x14ac:dyDescent="0.3">
      <c r="A372" s="5">
        <f t="shared" si="10"/>
        <v>365</v>
      </c>
      <c r="B372" s="6" t="s">
        <v>1739</v>
      </c>
      <c r="C372" s="6" t="s">
        <v>115</v>
      </c>
      <c r="D372" s="6" t="s">
        <v>17</v>
      </c>
      <c r="E372" s="6" t="s">
        <v>138</v>
      </c>
      <c r="F372" s="6" t="s">
        <v>60</v>
      </c>
      <c r="G372" s="6">
        <v>79923325</v>
      </c>
      <c r="H372" t="str">
        <f t="shared" si="11"/>
        <v>INSERT INTO `parqueadero`.`vehiculo` (`Oid`, `Placa`, `Medio`, `Tipo`, `Marca`, `Color`, `IdConductor`) VALUES ('365','HAS358','AUTOMÓVIL','COMBUSTIBLE','RENAULT SANDERO','GRIS','79923325');</v>
      </c>
    </row>
    <row r="373" spans="1:8" ht="14.4" x14ac:dyDescent="0.3">
      <c r="A373" s="5">
        <f t="shared" si="10"/>
        <v>366</v>
      </c>
      <c r="B373" s="6" t="s">
        <v>1740</v>
      </c>
      <c r="C373" s="6" t="s">
        <v>2195</v>
      </c>
      <c r="D373" s="6" t="s">
        <v>17</v>
      </c>
      <c r="E373" s="6" t="s">
        <v>363</v>
      </c>
      <c r="F373" s="6" t="s">
        <v>1741</v>
      </c>
      <c r="G373" s="6">
        <v>79923325</v>
      </c>
      <c r="H373" t="str">
        <f t="shared" si="11"/>
        <v>INSERT INTO `parqueadero`.`vehiculo` (`Oid`, `Placa`, `Medio`, `Tipo`, `Marca`, `Color`, `IdConductor`) VALUES ('366','BUG80C','MOTOCICLETA','COMBUSTIBLE','SUSUKI','ROJA','79923325');</v>
      </c>
    </row>
    <row r="374" spans="1:8" ht="14.4" x14ac:dyDescent="0.3">
      <c r="A374" s="5">
        <f t="shared" si="10"/>
        <v>367</v>
      </c>
      <c r="B374" s="6" t="s">
        <v>1746</v>
      </c>
      <c r="C374" s="6" t="s">
        <v>2195</v>
      </c>
      <c r="D374" s="6" t="s">
        <v>17</v>
      </c>
      <c r="E374" s="6" t="s">
        <v>1745</v>
      </c>
      <c r="F374" s="6" t="s">
        <v>1747</v>
      </c>
      <c r="G374" s="6">
        <v>79792606</v>
      </c>
      <c r="H374" t="str">
        <f t="shared" si="11"/>
        <v>INSERT INTO `parqueadero`.`vehiculo` (`Oid`, `Placa`, `Medio`, `Tipo`, `Marca`, `Color`, `IdConductor`) VALUES ('367','YQN70G','MOTOCICLETA','COMBUSTIBLE','VOG DS300','ROJO-NEGRO','79792606');</v>
      </c>
    </row>
    <row r="375" spans="1:8" ht="14.4" x14ac:dyDescent="0.3">
      <c r="A375" s="5">
        <f t="shared" si="10"/>
        <v>368</v>
      </c>
      <c r="B375" s="17" t="s">
        <v>1751</v>
      </c>
      <c r="C375" s="6" t="s">
        <v>2195</v>
      </c>
      <c r="D375" s="17" t="s">
        <v>17</v>
      </c>
      <c r="E375" s="17" t="s">
        <v>363</v>
      </c>
      <c r="F375" s="17" t="s">
        <v>1752</v>
      </c>
      <c r="G375" s="17">
        <v>1000284442</v>
      </c>
      <c r="H375" t="str">
        <f t="shared" si="11"/>
        <v>INSERT INTO `parqueadero`.`vehiculo` (`Oid`, `Placa`, `Medio`, `Tipo`, `Marca`, `Color`, `IdConductor`) VALUES ('368','ULR42H','MOTOCICLETA','COMBUSTIBLE','SUSUKI','AZUL-BLANCO-NEGRO','1000284442');</v>
      </c>
    </row>
    <row r="376" spans="1:8" ht="14.4" x14ac:dyDescent="0.3">
      <c r="A376" s="5">
        <f t="shared" si="10"/>
        <v>369</v>
      </c>
      <c r="B376" s="6" t="s">
        <v>1762</v>
      </c>
      <c r="C376" s="6" t="s">
        <v>2195</v>
      </c>
      <c r="D376" s="6" t="s">
        <v>17</v>
      </c>
      <c r="E376" s="6" t="s">
        <v>1761</v>
      </c>
      <c r="F376" s="6" t="s">
        <v>38</v>
      </c>
      <c r="G376" s="6">
        <v>94486941</v>
      </c>
      <c r="H376" t="str">
        <f t="shared" si="11"/>
        <v>INSERT INTO `parqueadero`.`vehiculo` (`Oid`, `Placa`, `Medio`, `Tipo`, `Marca`, `Color`, `IdConductor`) VALUES ('369','LCO60F','MOTOCICLETA','COMBUSTIBLE','APRILIA SR GT 200','VERDE','94486941');</v>
      </c>
    </row>
    <row r="377" spans="1:8" ht="14.4" x14ac:dyDescent="0.3">
      <c r="A377" s="5">
        <f t="shared" si="10"/>
        <v>370</v>
      </c>
      <c r="B377" s="17" t="s">
        <v>1766</v>
      </c>
      <c r="C377" s="6" t="s">
        <v>2195</v>
      </c>
      <c r="D377" s="17" t="s">
        <v>17</v>
      </c>
      <c r="E377" s="17" t="s">
        <v>701</v>
      </c>
      <c r="F377" s="17" t="s">
        <v>1767</v>
      </c>
      <c r="G377" s="17">
        <v>1022437241</v>
      </c>
      <c r="H377" t="str">
        <f t="shared" si="11"/>
        <v>INSERT INTO `parqueadero`.`vehiculo` (`Oid`, `Placa`, `Medio`, `Tipo`, `Marca`, `Color`, `IdConductor`) VALUES ('370','RBL47G','MOTOCICLETA','COMBUSTIBLE','YAMAHA','VERDE - NEGRO','1022437241');</v>
      </c>
    </row>
    <row r="378" spans="1:8" ht="14.4" x14ac:dyDescent="0.3">
      <c r="A378" s="5">
        <f t="shared" si="10"/>
        <v>371</v>
      </c>
      <c r="B378" s="6" t="s">
        <v>1772</v>
      </c>
      <c r="C378" s="6" t="s">
        <v>143</v>
      </c>
      <c r="D378" s="6" t="s">
        <v>253</v>
      </c>
      <c r="E378" s="6" t="s">
        <v>1771</v>
      </c>
      <c r="F378" s="6" t="s">
        <v>66</v>
      </c>
      <c r="G378" s="6">
        <v>79956337</v>
      </c>
      <c r="H378" t="str">
        <f t="shared" si="11"/>
        <v>INSERT INTO `parqueadero`.`vehiculo` (`Oid`, `Placa`, `Medio`, `Tipo`, `Marca`, `Color`, `IdConductor`) VALUES ('371','SRO755','CAMIONETA','HÍBRIDO','TOYOTA HILUX','BLANCO','79956337');</v>
      </c>
    </row>
    <row r="379" spans="1:8" ht="14.4" x14ac:dyDescent="0.3">
      <c r="A379" s="5">
        <f t="shared" si="10"/>
        <v>372</v>
      </c>
      <c r="B379" s="6" t="s">
        <v>1777</v>
      </c>
      <c r="C379" s="6" t="s">
        <v>115</v>
      </c>
      <c r="D379" s="6" t="s">
        <v>17</v>
      </c>
      <c r="E379" s="6" t="s">
        <v>1776</v>
      </c>
      <c r="F379" s="6" t="s">
        <v>60</v>
      </c>
      <c r="G379" s="6">
        <v>1094272550</v>
      </c>
      <c r="H379" t="str">
        <f t="shared" si="11"/>
        <v>INSERT INTO `parqueadero`.`vehiculo` (`Oid`, `Placa`, `Medio`, `Tipo`, `Marca`, `Color`, `IdConductor`) VALUES ('372','GLX737','AUTOMÓVIL','COMBUSTIBLE','RENAULT STEPWAY','GRIS','1094272550');</v>
      </c>
    </row>
    <row r="380" spans="1:8" ht="14.4" x14ac:dyDescent="0.3">
      <c r="A380" s="5">
        <f t="shared" si="10"/>
        <v>373</v>
      </c>
      <c r="B380" s="6" t="s">
        <v>1786</v>
      </c>
      <c r="C380" s="6" t="s">
        <v>115</v>
      </c>
      <c r="D380" s="6" t="s">
        <v>17</v>
      </c>
      <c r="E380" s="6" t="s">
        <v>1785</v>
      </c>
      <c r="F380" s="6" t="s">
        <v>266</v>
      </c>
      <c r="G380" s="6">
        <v>1010213543</v>
      </c>
      <c r="H380" t="str">
        <f t="shared" si="11"/>
        <v>INSERT INTO `parqueadero`.`vehiculo` (`Oid`, `Placa`, `Medio`, `Tipo`, `Marca`, `Color`, `IdConductor`) VALUES ('373','FYX046','AUTOMÓVIL','COMBUSTIBLE','CREVROLET CRUZE TURBO','AZUL OSCURO','1010213543');</v>
      </c>
    </row>
    <row r="381" spans="1:8" ht="14.4" x14ac:dyDescent="0.3">
      <c r="A381" s="5">
        <f t="shared" si="10"/>
        <v>374</v>
      </c>
      <c r="B381" s="17" t="s">
        <v>1791</v>
      </c>
      <c r="C381" s="6" t="s">
        <v>2195</v>
      </c>
      <c r="D381" s="17" t="s">
        <v>17</v>
      </c>
      <c r="E381" s="17" t="s">
        <v>1790</v>
      </c>
      <c r="F381" s="17" t="s">
        <v>1792</v>
      </c>
      <c r="G381" s="17">
        <v>1015407149</v>
      </c>
      <c r="H381" t="str">
        <f t="shared" si="11"/>
        <v>INSERT INTO `parqueadero`.`vehiculo` (`Oid`, `Placa`, `Medio`, `Tipo`, `Marca`, `Color`, `IdConductor`) VALUES ('374','DJI56G','MOTOCICLETA','COMBUSTIBLE','HERO','DORADA','1015407149');</v>
      </c>
    </row>
    <row r="382" spans="1:8" ht="14.4" x14ac:dyDescent="0.3">
      <c r="A382" s="5">
        <f t="shared" si="10"/>
        <v>375</v>
      </c>
      <c r="B382" s="6" t="s">
        <v>1796</v>
      </c>
      <c r="C382" s="6" t="s">
        <v>115</v>
      </c>
      <c r="D382" s="6" t="s">
        <v>17</v>
      </c>
      <c r="E382" s="6" t="s">
        <v>32</v>
      </c>
      <c r="F382" s="6" t="s">
        <v>44</v>
      </c>
      <c r="G382" s="13">
        <v>1015447384</v>
      </c>
      <c r="H382" t="str">
        <f t="shared" si="11"/>
        <v>INSERT INTO `parqueadero`.`vehiculo` (`Oid`, `Placa`, `Medio`, `Tipo`, `Marca`, `Color`, `IdConductor`) VALUES ('375','EDK255','AUTOMÓVIL','COMBUSTIBLE','RENAULT KWID','ROJO','1015447384');</v>
      </c>
    </row>
    <row r="383" spans="1:8" ht="14.4" x14ac:dyDescent="0.3">
      <c r="A383" s="5">
        <f t="shared" si="10"/>
        <v>376</v>
      </c>
      <c r="B383" s="6" t="s">
        <v>1798</v>
      </c>
      <c r="C383" s="6" t="s">
        <v>2195</v>
      </c>
      <c r="D383" s="6" t="s">
        <v>17</v>
      </c>
      <c r="E383" s="6" t="s">
        <v>1797</v>
      </c>
      <c r="F383" s="6" t="s">
        <v>44</v>
      </c>
      <c r="G383" s="13">
        <v>1015447384</v>
      </c>
      <c r="H383" t="str">
        <f t="shared" si="11"/>
        <v>INSERT INTO `parqueadero`.`vehiculo` (`Oid`, `Placa`, `Medio`, `Tipo`, `Marca`, `Color`, `IdConductor`) VALUES ('376','APS34G','MOTOCICLETA','COMBUSTIBLE','HONDA CB 125F','ROJO','1015447384');</v>
      </c>
    </row>
    <row r="384" spans="1:8" ht="14.4" x14ac:dyDescent="0.3">
      <c r="A384" s="5">
        <f t="shared" si="10"/>
        <v>377</v>
      </c>
      <c r="B384" s="6" t="s">
        <v>1803</v>
      </c>
      <c r="C384" s="6" t="s">
        <v>2195</v>
      </c>
      <c r="D384" s="6" t="s">
        <v>17</v>
      </c>
      <c r="E384" s="6" t="s">
        <v>1802</v>
      </c>
      <c r="F384" s="6" t="s">
        <v>24</v>
      </c>
      <c r="G384" s="13">
        <v>1026292170</v>
      </c>
      <c r="H384" t="str">
        <f t="shared" si="11"/>
        <v>INSERT INTO `parqueadero`.`vehiculo` (`Oid`, `Placa`, `Medio`, `Tipo`, `Marca`, `Color`, `IdConductor`) VALUES ('377','DFO36I','MOTOCICLETA','COMBUSTIBLE','AUTECO NKD','NEGRO','1026292170');</v>
      </c>
    </row>
    <row r="385" spans="1:8" ht="14.4" x14ac:dyDescent="0.3">
      <c r="A385" s="5">
        <f t="shared" si="10"/>
        <v>378</v>
      </c>
      <c r="B385" s="6" t="s">
        <v>1808</v>
      </c>
      <c r="C385" s="6" t="s">
        <v>143</v>
      </c>
      <c r="D385" s="6" t="s">
        <v>17</v>
      </c>
      <c r="E385" s="6" t="s">
        <v>1807</v>
      </c>
      <c r="F385" s="6" t="s">
        <v>166</v>
      </c>
      <c r="G385" s="13">
        <v>52181754</v>
      </c>
      <c r="H385" t="str">
        <f t="shared" si="11"/>
        <v>INSERT INTO `parqueadero`.`vehiculo` (`Oid`, `Placa`, `Medio`, `Tipo`, `Marca`, `Color`, `IdConductor`) VALUES ('378','PBP346','CAMIONETA','COMBUSTIBLE','MAZDA CX30','GRIS OSCURO','52181754');</v>
      </c>
    </row>
    <row r="386" spans="1:8" ht="14.4" x14ac:dyDescent="0.3">
      <c r="A386" s="5">
        <f t="shared" si="10"/>
        <v>379</v>
      </c>
      <c r="B386" s="6" t="s">
        <v>1813</v>
      </c>
      <c r="C386" s="6" t="s">
        <v>115</v>
      </c>
      <c r="D386" s="6" t="s">
        <v>17</v>
      </c>
      <c r="E386" s="6" t="s">
        <v>1812</v>
      </c>
      <c r="F386" s="6" t="s">
        <v>1814</v>
      </c>
      <c r="G386" s="13">
        <v>1000000381</v>
      </c>
      <c r="H386" t="str">
        <f t="shared" si="11"/>
        <v>INSERT INTO `parqueadero`.`vehiculo` (`Oid`, `Placa`, `Medio`, `Tipo`, `Marca`, `Color`, `IdConductor`) VALUES ('379','BEF748','AUTOMÓVIL','COMBUSTIBLE','MAZDA MATZURI','ROJO CEREZA','1000000381');</v>
      </c>
    </row>
    <row r="387" spans="1:8" ht="14.4" x14ac:dyDescent="0.3">
      <c r="A387" s="5">
        <f t="shared" ref="A387:A448" si="12">ROW()-7</f>
        <v>380</v>
      </c>
      <c r="B387" s="6" t="s">
        <v>1816</v>
      </c>
      <c r="C387" s="6" t="s">
        <v>2195</v>
      </c>
      <c r="D387" s="6" t="s">
        <v>17</v>
      </c>
      <c r="E387" s="6" t="s">
        <v>1815</v>
      </c>
      <c r="F387" s="6" t="s">
        <v>24</v>
      </c>
      <c r="G387" s="13">
        <v>1000000381</v>
      </c>
      <c r="H387" t="str">
        <f t="shared" si="11"/>
        <v>INSERT INTO `parqueadero`.`vehiculo` (`Oid`, `Placa`, `Medio`, `Tipo`, `Marca`, `Color`, `IdConductor`) VALUES ('380','UQR65F','MOTOCICLETA','COMBUSTIBLE','PULSAR','NEGRO','1000000381');</v>
      </c>
    </row>
    <row r="388" spans="1:8" ht="14.4" x14ac:dyDescent="0.3">
      <c r="A388" s="5">
        <f t="shared" si="12"/>
        <v>381</v>
      </c>
      <c r="B388" s="6" t="s">
        <v>1821</v>
      </c>
      <c r="C388" s="6" t="s">
        <v>143</v>
      </c>
      <c r="D388" s="6" t="s">
        <v>17</v>
      </c>
      <c r="E388" s="6" t="s">
        <v>1820</v>
      </c>
      <c r="F388" s="6" t="s">
        <v>66</v>
      </c>
      <c r="G388" s="13">
        <v>7225361</v>
      </c>
      <c r="H388" t="str">
        <f t="shared" si="11"/>
        <v>INSERT INTO `parqueadero`.`vehiculo` (`Oid`, `Placa`, `Medio`, `Tipo`, `Marca`, `Color`, `IdConductor`) VALUES ('381','WGO530','CAMIONETA','COMBUSTIBLE','DUSTER 4x4','BLANCO','7225361');</v>
      </c>
    </row>
    <row r="389" spans="1:8" ht="14.4" x14ac:dyDescent="0.3">
      <c r="A389" s="5">
        <f t="shared" si="12"/>
        <v>382</v>
      </c>
      <c r="B389" s="6" t="s">
        <v>1827</v>
      </c>
      <c r="C389" s="6" t="s">
        <v>2195</v>
      </c>
      <c r="D389" s="6" t="s">
        <v>17</v>
      </c>
      <c r="E389" s="6" t="s">
        <v>1826</v>
      </c>
      <c r="F389" s="6" t="s">
        <v>316</v>
      </c>
      <c r="G389" s="13">
        <v>1012453976</v>
      </c>
      <c r="H389" t="str">
        <f t="shared" si="11"/>
        <v>INSERT INTO `parqueadero`.`vehiculo` (`Oid`, `Placa`, `Medio`, `Tipo`, `Marca`, `Color`, `IdConductor`) VALUES ('382','OMG23A','MOTOCICLETA','COMBUSTIBLE','BAJAJ PULSAR 180 UG GT','NEGRO MATE','1012453976');</v>
      </c>
    </row>
    <row r="390" spans="1:8" ht="14.4" x14ac:dyDescent="0.3">
      <c r="A390" s="5">
        <f t="shared" si="12"/>
        <v>383</v>
      </c>
      <c r="B390" s="6" t="s">
        <v>1832</v>
      </c>
      <c r="C390" s="6" t="s">
        <v>115</v>
      </c>
      <c r="D390" s="6" t="s">
        <v>17</v>
      </c>
      <c r="E390" s="6" t="s">
        <v>1831</v>
      </c>
      <c r="F390" s="6" t="s">
        <v>66</v>
      </c>
      <c r="G390" s="13">
        <v>1049794506</v>
      </c>
      <c r="H390" t="str">
        <f t="shared" si="11"/>
        <v>INSERT INTO `parqueadero`.`vehiculo` (`Oid`, `Placa`, `Medio`, `Tipo`, `Marca`, `Color`, `IdConductor`) VALUES ('383','JWV618','AUTOMÓVIL','COMBUSTIBLE','HYUNDAI i10','BLANCO','1049794506');</v>
      </c>
    </row>
    <row r="391" spans="1:8" ht="14.4" x14ac:dyDescent="0.3">
      <c r="A391" s="5">
        <f t="shared" si="12"/>
        <v>384</v>
      </c>
      <c r="B391" s="6" t="s">
        <v>1837</v>
      </c>
      <c r="C391" s="6" t="s">
        <v>115</v>
      </c>
      <c r="D391" s="6" t="s">
        <v>129</v>
      </c>
      <c r="E391" s="6" t="s">
        <v>1836</v>
      </c>
      <c r="F391" s="6" t="s">
        <v>60</v>
      </c>
      <c r="G391" s="13">
        <v>80791247</v>
      </c>
      <c r="H391" t="str">
        <f t="shared" si="11"/>
        <v>INSERT INTO `parqueadero`.`vehiculo` (`Oid`, `Placa`, `Medio`, `Tipo`, `Marca`, `Color`, `IdConductor`) VALUES ('384','PHL713','AUTOMÓVIL','ELÉCTRICO','CHERY ICAR 03','GRIS','80791247');</v>
      </c>
    </row>
    <row r="392" spans="1:8" ht="14.4" x14ac:dyDescent="0.3">
      <c r="A392" s="5">
        <f t="shared" si="12"/>
        <v>385</v>
      </c>
      <c r="B392" s="6" t="s">
        <v>1839</v>
      </c>
      <c r="C392" s="6" t="s">
        <v>143</v>
      </c>
      <c r="D392" s="6" t="s">
        <v>17</v>
      </c>
      <c r="E392" s="6" t="s">
        <v>1838</v>
      </c>
      <c r="F392" s="6" t="s">
        <v>60</v>
      </c>
      <c r="G392" s="6">
        <v>19272805</v>
      </c>
      <c r="H392" t="str">
        <f t="shared" si="11"/>
        <v>INSERT INTO `parqueadero`.`vehiculo` (`Oid`, `Placa`, `Medio`, `Tipo`, `Marca`, `Color`, `IdConductor`) VALUES ('385','MPX503','CAMIONETA','COMBUSTIBLE','NISSAN FRONTIER','GRIS','19272805');</v>
      </c>
    </row>
    <row r="393" spans="1:8" ht="14.4" x14ac:dyDescent="0.3">
      <c r="A393" s="5">
        <f t="shared" si="12"/>
        <v>386</v>
      </c>
      <c r="B393" s="6" t="s">
        <v>1845</v>
      </c>
      <c r="C393" s="6" t="s">
        <v>143</v>
      </c>
      <c r="D393" s="6" t="s">
        <v>17</v>
      </c>
      <c r="E393" s="6" t="s">
        <v>1844</v>
      </c>
      <c r="F393" s="6" t="s">
        <v>1846</v>
      </c>
      <c r="G393" s="13">
        <v>1032396574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('386','PBS642','CAMIONETA','COMBUSTIBLE','MAZDA CX50','ZIRCÓN ARENA','1032396574');</v>
      </c>
    </row>
    <row r="394" spans="1:8" ht="14.4" x14ac:dyDescent="0.3">
      <c r="A394" s="5">
        <f t="shared" si="12"/>
        <v>387</v>
      </c>
      <c r="B394" s="17" t="s">
        <v>1851</v>
      </c>
      <c r="C394" s="6" t="s">
        <v>115</v>
      </c>
      <c r="D394" s="6" t="s">
        <v>253</v>
      </c>
      <c r="E394" s="17" t="s">
        <v>1850</v>
      </c>
      <c r="F394" s="17" t="s">
        <v>18</v>
      </c>
      <c r="G394" s="24">
        <v>45361037</v>
      </c>
      <c r="H394" t="str">
        <f t="shared" si="13"/>
        <v>INSERT INTO `parqueadero`.`vehiculo` (`Oid`, `Placa`, `Medio`, `Tipo`, `Marca`, `Color`, `IdConductor`) VALUES ('387','LQT109','AUTOMÓVIL','HÍBRIDO','TOYOTA COROLA','AZUL','45361037');</v>
      </c>
    </row>
    <row r="395" spans="1:8" ht="14.4" x14ac:dyDescent="0.3">
      <c r="A395" s="5">
        <f t="shared" si="12"/>
        <v>388</v>
      </c>
      <c r="B395" s="6" t="s">
        <v>1855</v>
      </c>
      <c r="C395" s="6" t="s">
        <v>2195</v>
      </c>
      <c r="D395" s="6" t="s">
        <v>17</v>
      </c>
      <c r="E395" s="6" t="s">
        <v>56</v>
      </c>
      <c r="F395" s="6" t="s">
        <v>1856</v>
      </c>
      <c r="G395" s="13">
        <v>80258283</v>
      </c>
      <c r="H395" t="str">
        <f t="shared" si="13"/>
        <v>INSERT INTO `parqueadero`.`vehiculo` (`Oid`, `Placa`, `Medio`, `Tipo`, `Marca`, `Color`, `IdConductor`) VALUES ('388','DFQ65I','MOTOCICLETA','COMBUSTIBLE','HONDA','NEGRO - GRIS','80258283');</v>
      </c>
    </row>
    <row r="396" spans="1:8" ht="14.4" x14ac:dyDescent="0.3">
      <c r="A396" s="5">
        <f t="shared" si="12"/>
        <v>389</v>
      </c>
      <c r="B396" s="17" t="s">
        <v>1860</v>
      </c>
      <c r="C396" s="6" t="s">
        <v>115</v>
      </c>
      <c r="D396" s="17" t="s">
        <v>17</v>
      </c>
      <c r="E396" s="17" t="s">
        <v>58</v>
      </c>
      <c r="F396" s="17" t="s">
        <v>60</v>
      </c>
      <c r="G396" s="24">
        <v>1019038226</v>
      </c>
      <c r="H396" t="str">
        <f t="shared" si="13"/>
        <v>INSERT INTO `parqueadero`.`vehiculo` (`Oid`, `Placa`, `Medio`, `Tipo`, `Marca`, `Color`, `IdConductor`) VALUES ('389','CTV652','AUTOMÓVIL','COMBUSTIBLE','CHEVROLET','GRIS','1019038226');</v>
      </c>
    </row>
    <row r="397" spans="1:8" ht="14.4" x14ac:dyDescent="0.3">
      <c r="A397" s="5">
        <f t="shared" si="12"/>
        <v>390</v>
      </c>
      <c r="B397" s="6" t="s">
        <v>1866</v>
      </c>
      <c r="C397" s="6" t="s">
        <v>115</v>
      </c>
      <c r="D397" s="6" t="s">
        <v>17</v>
      </c>
      <c r="E397" s="6" t="s">
        <v>1019</v>
      </c>
      <c r="F397" s="6" t="s">
        <v>683</v>
      </c>
      <c r="G397" s="13">
        <v>1032443029</v>
      </c>
      <c r="H397" t="str">
        <f t="shared" si="13"/>
        <v>INSERT INTO `parqueadero`.`vehiculo` (`Oid`, `Placa`, `Medio`, `Tipo`, `Marca`, `Color`, `IdConductor`) VALUES ('390','DZW847','AUTOMÓVIL','COMBUSTIBLE','MAZDA 3','GRIS MACHINE','1032443029');</v>
      </c>
    </row>
    <row r="398" spans="1:8" ht="14.4" x14ac:dyDescent="0.3">
      <c r="A398" s="5">
        <f t="shared" si="12"/>
        <v>391</v>
      </c>
      <c r="B398" s="6" t="s">
        <v>1871</v>
      </c>
      <c r="C398" s="6" t="s">
        <v>115</v>
      </c>
      <c r="D398" s="6" t="s">
        <v>17</v>
      </c>
      <c r="E398" s="6" t="s">
        <v>1870</v>
      </c>
      <c r="F398" s="6" t="s">
        <v>60</v>
      </c>
      <c r="G398" s="13">
        <v>1070977964</v>
      </c>
      <c r="H398" t="str">
        <f t="shared" si="13"/>
        <v>INSERT INTO `parqueadero`.`vehiculo` (`Oid`, `Placa`, `Medio`, `Tipo`, `Marca`, `Color`, `IdConductor`) VALUES ('391','GLY670','AUTOMÓVIL','COMBUSTIBLE','SEAT ATECA','GRIS','1070977964');</v>
      </c>
    </row>
    <row r="399" spans="1:8" ht="14.4" x14ac:dyDescent="0.3">
      <c r="A399" s="5">
        <f t="shared" si="12"/>
        <v>392</v>
      </c>
      <c r="B399" s="6" t="s">
        <v>1873</v>
      </c>
      <c r="C399" s="6" t="s">
        <v>2195</v>
      </c>
      <c r="D399" s="6" t="s">
        <v>17</v>
      </c>
      <c r="E399" s="6" t="s">
        <v>1872</v>
      </c>
      <c r="F399" s="6" t="s">
        <v>60</v>
      </c>
      <c r="G399" s="6">
        <v>1072072690</v>
      </c>
      <c r="H399" t="str">
        <f t="shared" si="13"/>
        <v>INSERT INTO `parqueadero`.`vehiculo` (`Oid`, `Placa`, `Medio`, `Tipo`, `Marca`, `Color`, `IdConductor`) VALUES ('392','BWQ90I','MOTOCICLETA','COMBUSTIBLE','SYM ADX 150','GRIS','1072072690');</v>
      </c>
    </row>
    <row r="400" spans="1:8" ht="14.4" x14ac:dyDescent="0.3">
      <c r="A400" s="5">
        <f t="shared" si="12"/>
        <v>393</v>
      </c>
      <c r="B400" s="6" t="s">
        <v>1876</v>
      </c>
      <c r="C400" s="6" t="s">
        <v>115</v>
      </c>
      <c r="D400" s="6" t="s">
        <v>17</v>
      </c>
      <c r="E400" s="6" t="s">
        <v>58</v>
      </c>
      <c r="F400" s="6" t="s">
        <v>60</v>
      </c>
      <c r="G400" s="13">
        <v>79795088</v>
      </c>
      <c r="H400" t="str">
        <f t="shared" si="13"/>
        <v>INSERT INTO `parqueadero`.`vehiculo` (`Oid`, `Placa`, `Medio`, `Tipo`, `Marca`, `Color`, `IdConductor`) VALUES ('393','BPC285','AUTOMÓVIL','COMBUSTIBLE','CHEVROLET','GRIS','79795088');</v>
      </c>
    </row>
    <row r="401" spans="1:8" ht="14.4" x14ac:dyDescent="0.3">
      <c r="A401" s="5">
        <f t="shared" si="12"/>
        <v>394</v>
      </c>
      <c r="B401" s="6" t="s">
        <v>1880</v>
      </c>
      <c r="C401" s="6" t="s">
        <v>115</v>
      </c>
      <c r="D401" s="6" t="s">
        <v>17</v>
      </c>
      <c r="E401" s="6" t="s">
        <v>1339</v>
      </c>
      <c r="F401" s="6" t="s">
        <v>60</v>
      </c>
      <c r="G401" s="13">
        <v>79737327</v>
      </c>
      <c r="H401" t="str">
        <f t="shared" si="13"/>
        <v>INSERT INTO `parqueadero`.`vehiculo` (`Oid`, `Placa`, `Medio`, `Tipo`, `Marca`, `Color`, `IdConductor`) VALUES ('394','HJL465','AUTOMÓVIL','COMBUSTIBLE','FORD FIESTA','GRIS','79737327');</v>
      </c>
    </row>
    <row r="402" spans="1:8" ht="14.4" x14ac:dyDescent="0.3">
      <c r="A402" s="5">
        <f t="shared" si="12"/>
        <v>395</v>
      </c>
      <c r="B402" s="6" t="s">
        <v>1884</v>
      </c>
      <c r="C402" s="6" t="s">
        <v>115</v>
      </c>
      <c r="D402" s="6" t="s">
        <v>253</v>
      </c>
      <c r="E402" s="6" t="s">
        <v>363</v>
      </c>
      <c r="F402" s="6" t="s">
        <v>60</v>
      </c>
      <c r="G402" s="13">
        <v>1020750683</v>
      </c>
      <c r="H402" t="str">
        <f t="shared" si="13"/>
        <v>INSERT INTO `parqueadero`.`vehiculo` (`Oid`, `Placa`, `Medio`, `Tipo`, `Marca`, `Color`, `IdConductor`) VALUES ('395','KWY194','AUTOMÓVIL','HÍBRIDO','SUSUKI','GRIS','1020750683');</v>
      </c>
    </row>
    <row r="403" spans="1:8" ht="14.4" x14ac:dyDescent="0.3">
      <c r="A403" s="5">
        <f t="shared" si="12"/>
        <v>396</v>
      </c>
      <c r="B403" s="6" t="s">
        <v>1892</v>
      </c>
      <c r="C403" s="6" t="s">
        <v>2195</v>
      </c>
      <c r="D403" s="6" t="s">
        <v>17</v>
      </c>
      <c r="E403" s="6" t="s">
        <v>701</v>
      </c>
      <c r="F403" s="6" t="s">
        <v>1893</v>
      </c>
      <c r="G403" s="13">
        <v>1023890368</v>
      </c>
      <c r="H403" t="str">
        <f t="shared" si="13"/>
        <v>INSERT INTO `parqueadero`.`vehiculo` (`Oid`, `Placa`, `Medio`, `Tipo`, `Marca`, `Color`, `IdConductor`) VALUES ('396','CSC07F','MOTOCICLETA','COMBUSTIBLE','YAMAHA','NEGRO - VERDE','1023890368');</v>
      </c>
    </row>
    <row r="404" spans="1:8" ht="14.4" x14ac:dyDescent="0.3">
      <c r="A404" s="5">
        <f t="shared" si="12"/>
        <v>397</v>
      </c>
      <c r="B404" s="6" t="s">
        <v>1901</v>
      </c>
      <c r="C404" s="6" t="s">
        <v>143</v>
      </c>
      <c r="D404" s="6" t="s">
        <v>17</v>
      </c>
      <c r="E404" s="6" t="s">
        <v>1200</v>
      </c>
      <c r="F404" s="6" t="s">
        <v>52</v>
      </c>
      <c r="G404" s="13">
        <v>52961559</v>
      </c>
      <c r="H404" t="str">
        <f t="shared" si="13"/>
        <v>INSERT INTO `parqueadero`.`vehiculo` (`Oid`, `Placa`, `Medio`, `Tipo`, `Marca`, `Color`, `IdConductor`) VALUES ('397','JMN893','CAMIONETA','COMBUSTIBLE','CHEVROLET CAPTIVA','PLATA','52961559');</v>
      </c>
    </row>
    <row r="405" spans="1:8" ht="14.4" x14ac:dyDescent="0.3">
      <c r="A405" s="5">
        <f t="shared" si="12"/>
        <v>398</v>
      </c>
      <c r="B405" s="6" t="s">
        <v>1906</v>
      </c>
      <c r="C405" s="6" t="s">
        <v>143</v>
      </c>
      <c r="D405" s="6" t="s">
        <v>17</v>
      </c>
      <c r="E405" s="6" t="s">
        <v>75</v>
      </c>
      <c r="F405" s="6" t="s">
        <v>52</v>
      </c>
      <c r="G405" s="13">
        <v>1000522089</v>
      </c>
      <c r="H405" t="str">
        <f t="shared" si="13"/>
        <v>INSERT INTO `parqueadero`.`vehiculo` (`Oid`, `Placa`, `Medio`, `Tipo`, `Marca`, `Color`, `IdConductor`) VALUES ('398','IVZ727','CAMIONETA','COMBUSTIBLE','MAZDA','PLATA','1000522089');</v>
      </c>
    </row>
    <row r="406" spans="1:8" ht="14.4" x14ac:dyDescent="0.3">
      <c r="A406" s="5">
        <f t="shared" si="12"/>
        <v>399</v>
      </c>
      <c r="B406" s="6" t="s">
        <v>1907</v>
      </c>
      <c r="C406" s="6" t="s">
        <v>143</v>
      </c>
      <c r="D406" s="6" t="s">
        <v>17</v>
      </c>
      <c r="E406" s="6" t="s">
        <v>1127</v>
      </c>
      <c r="F406" s="6" t="s">
        <v>60</v>
      </c>
      <c r="G406" s="6">
        <v>1030579980</v>
      </c>
      <c r="H406" t="str">
        <f t="shared" si="13"/>
        <v>INSERT INTO `parqueadero`.`vehiculo` (`Oid`, `Placa`, `Medio`, `Tipo`, `Marca`, `Color`, `IdConductor`) VALUES ('399','DZX196','CAMIONETA','COMBUSTIBLE','AUDI Q3','GRIS','1030579980');</v>
      </c>
    </row>
    <row r="407" spans="1:8" ht="14.4" x14ac:dyDescent="0.3">
      <c r="A407" s="5">
        <f t="shared" si="12"/>
        <v>400</v>
      </c>
      <c r="B407" s="6" t="s">
        <v>1911</v>
      </c>
      <c r="C407" s="6" t="s">
        <v>143</v>
      </c>
      <c r="D407" s="6" t="s">
        <v>253</v>
      </c>
      <c r="E407" s="6" t="s">
        <v>64</v>
      </c>
      <c r="F407" s="6" t="s">
        <v>60</v>
      </c>
      <c r="G407" s="6">
        <v>1016008161</v>
      </c>
      <c r="H407" t="str">
        <f t="shared" si="13"/>
        <v>INSERT INTO `parqueadero`.`vehiculo` (`Oid`, `Placa`, `Medio`, `Tipo`, `Marca`, `Color`, `IdConductor`) VALUES ('400','KWK887','CAMIONETA','HÍBRIDO','TOYOTA','GRIS','1016008161');</v>
      </c>
    </row>
    <row r="408" spans="1:8" ht="14.4" x14ac:dyDescent="0.3">
      <c r="A408" s="5">
        <f t="shared" si="12"/>
        <v>401</v>
      </c>
      <c r="B408" s="6" t="s">
        <v>1915</v>
      </c>
      <c r="C408" s="6" t="s">
        <v>115</v>
      </c>
      <c r="D408" s="6" t="s">
        <v>17</v>
      </c>
      <c r="E408" s="6" t="s">
        <v>75</v>
      </c>
      <c r="F408" s="6" t="s">
        <v>60</v>
      </c>
      <c r="G408" s="6">
        <v>1022329322</v>
      </c>
      <c r="H408" t="str">
        <f t="shared" si="13"/>
        <v>INSERT INTO `parqueadero`.`vehiculo` (`Oid`, `Placa`, `Medio`, `Tipo`, `Marca`, `Color`, `IdConductor`) VALUES ('401','LWP569','AUTOMÓVIL','COMBUSTIBLE','MAZDA','GRIS','1022329322');</v>
      </c>
    </row>
    <row r="409" spans="1:8" ht="14.4" x14ac:dyDescent="0.3">
      <c r="A409" s="5">
        <f t="shared" si="12"/>
        <v>402</v>
      </c>
      <c r="B409" s="6" t="s">
        <v>1918</v>
      </c>
      <c r="C409" s="6" t="s">
        <v>2195</v>
      </c>
      <c r="D409" s="6" t="s">
        <v>17</v>
      </c>
      <c r="E409" s="6" t="s">
        <v>363</v>
      </c>
      <c r="F409" s="6" t="s">
        <v>316</v>
      </c>
      <c r="G409" s="6">
        <v>1233512206</v>
      </c>
      <c r="H409" t="str">
        <f t="shared" si="13"/>
        <v>INSERT INTO `parqueadero`.`vehiculo` (`Oid`, `Placa`, `Medio`, `Tipo`, `Marca`, `Color`, `IdConductor`) VALUES ('402','EQK16G','MOTOCICLETA','COMBUSTIBLE','SUSUKI','NEGRO MATE','1233512206');</v>
      </c>
    </row>
    <row r="410" spans="1:8" ht="14.4" x14ac:dyDescent="0.3">
      <c r="A410" s="5">
        <f t="shared" si="12"/>
        <v>403</v>
      </c>
      <c r="B410" s="17" t="s">
        <v>1922</v>
      </c>
      <c r="C410" s="6" t="s">
        <v>143</v>
      </c>
      <c r="D410" s="6" t="s">
        <v>253</v>
      </c>
      <c r="E410" s="17" t="s">
        <v>1921</v>
      </c>
      <c r="F410" s="17" t="s">
        <v>1923</v>
      </c>
      <c r="G410" s="17">
        <v>80061648</v>
      </c>
      <c r="H410" t="str">
        <f t="shared" si="13"/>
        <v>INSERT INTO `parqueadero`.`vehiculo` (`Oid`, `Placa`, `Medio`, `Tipo`, `Marca`, `Color`, `IdConductor`) VALUES ('403','GPZ639','CAMIONETA','HÍBRIDO','FORD TERRITORY','BLANCO PLATINO','80061648');</v>
      </c>
    </row>
    <row r="411" spans="1:8" ht="14.4" x14ac:dyDescent="0.3">
      <c r="A411" s="5">
        <f t="shared" si="12"/>
        <v>404</v>
      </c>
      <c r="B411" s="6" t="s">
        <v>1925</v>
      </c>
      <c r="C411" s="6" t="s">
        <v>143</v>
      </c>
      <c r="D411" s="6" t="s">
        <v>253</v>
      </c>
      <c r="E411" s="6" t="s">
        <v>1924</v>
      </c>
      <c r="F411" s="6" t="s">
        <v>60</v>
      </c>
      <c r="G411" s="6">
        <v>1001090013</v>
      </c>
      <c r="H411" t="str">
        <f t="shared" si="13"/>
        <v>INSERT INTO `parqueadero`.`vehiculo` (`Oid`, `Placa`, `Medio`, `Tipo`, `Marca`, `Color`, `IdConductor`) VALUES ('404','QPZ208','CAMIONETA','HÍBRIDO','GM','GRIS','1001090013');</v>
      </c>
    </row>
    <row r="412" spans="1:8" ht="14.4" x14ac:dyDescent="0.3">
      <c r="A412" s="5">
        <f t="shared" si="12"/>
        <v>405</v>
      </c>
      <c r="B412" s="6" t="s">
        <v>1929</v>
      </c>
      <c r="C412" s="6" t="s">
        <v>143</v>
      </c>
      <c r="D412" s="6" t="s">
        <v>253</v>
      </c>
      <c r="E412" s="6" t="s">
        <v>75</v>
      </c>
      <c r="F412" s="6" t="s">
        <v>60</v>
      </c>
      <c r="G412" s="6">
        <v>1121886960</v>
      </c>
      <c r="H412" t="str">
        <f t="shared" si="13"/>
        <v>INSERT INTO `parqueadero`.`vehiculo` (`Oid`, `Placa`, `Medio`, `Tipo`, `Marca`, `Color`, `IdConductor`) VALUES ('405','NYX244','CAMIONETA','HÍBRIDO','MAZDA','GRIS','1121886960');</v>
      </c>
    </row>
    <row r="413" spans="1:8" ht="14.4" x14ac:dyDescent="0.3">
      <c r="A413" s="5">
        <f t="shared" si="12"/>
        <v>406</v>
      </c>
      <c r="B413" s="6" t="s">
        <v>1933</v>
      </c>
      <c r="C413" s="6" t="s">
        <v>115</v>
      </c>
      <c r="D413" s="6" t="s">
        <v>17</v>
      </c>
      <c r="E413" s="6" t="s">
        <v>1311</v>
      </c>
      <c r="F413" s="6" t="s">
        <v>60</v>
      </c>
      <c r="G413" s="6">
        <v>1026264243</v>
      </c>
      <c r="H413" t="str">
        <f t="shared" si="13"/>
        <v>INSERT INTO `parqueadero`.`vehiculo` (`Oid`, `Placa`, `Medio`, `Tipo`, `Marca`, `Color`, `IdConductor`) VALUES ('406','IIX306','AUTOMÓVIL','COMBUSTIBLE','NISSAN MARCH','GRIS','1026264243');</v>
      </c>
    </row>
    <row r="414" spans="1:8" ht="14.4" x14ac:dyDescent="0.3">
      <c r="A414" s="5">
        <f t="shared" si="12"/>
        <v>407</v>
      </c>
      <c r="B414" s="6" t="s">
        <v>1937</v>
      </c>
      <c r="C414" s="6" t="s">
        <v>2195</v>
      </c>
      <c r="D414" s="6" t="s">
        <v>17</v>
      </c>
      <c r="E414" s="6" t="s">
        <v>701</v>
      </c>
      <c r="F414" s="6" t="s">
        <v>1938</v>
      </c>
      <c r="G414" s="6">
        <v>51836043</v>
      </c>
      <c r="H414" t="str">
        <f t="shared" si="13"/>
        <v>INSERT INTO `parqueadero`.`vehiculo` (`Oid`, `Placa`, `Medio`, `Tipo`, `Marca`, `Color`, `IdConductor`) VALUES ('407','JWP87C','MOTOCICLETA','COMBUSTIBLE','YAMAHA','NEGRO - ROJO','51836043');</v>
      </c>
    </row>
    <row r="415" spans="1:8" ht="14.4" x14ac:dyDescent="0.3">
      <c r="A415" s="5">
        <f t="shared" si="12"/>
        <v>408</v>
      </c>
      <c r="B415" s="6" t="s">
        <v>1945</v>
      </c>
      <c r="C415" s="6" t="s">
        <v>115</v>
      </c>
      <c r="D415" s="6" t="s">
        <v>129</v>
      </c>
      <c r="E415" s="6" t="s">
        <v>22</v>
      </c>
      <c r="F415" s="6" t="s">
        <v>18</v>
      </c>
      <c r="G415" s="6">
        <v>1106892760</v>
      </c>
      <c r="H415" t="str">
        <f t="shared" si="13"/>
        <v>INSERT INTO `parqueadero`.`vehiculo` (`Oid`, `Placa`, `Medio`, `Tipo`, `Marca`, `Color`, `IdConductor`) VALUES ('408','QQL095','AUTOMÓVIL','ELÉCTRICO','BYD','AZUL','1106892760');</v>
      </c>
    </row>
    <row r="416" spans="1:8" ht="14.4" x14ac:dyDescent="0.3">
      <c r="A416" s="5">
        <f t="shared" si="12"/>
        <v>409</v>
      </c>
      <c r="B416" s="6" t="s">
        <v>1949</v>
      </c>
      <c r="C416" s="6" t="s">
        <v>115</v>
      </c>
      <c r="D416" s="6" t="s">
        <v>129</v>
      </c>
      <c r="E416" s="6" t="s">
        <v>1948</v>
      </c>
      <c r="F416" s="6" t="s">
        <v>60</v>
      </c>
      <c r="G416" s="6">
        <v>1032444607</v>
      </c>
      <c r="H416" t="str">
        <f t="shared" si="13"/>
        <v>INSERT INTO `parqueadero`.`vehiculo` (`Oid`, `Placa`, `Medio`, `Tipo`, `Marca`, `Color`, `IdConductor`) VALUES ('409','QPU078','AUTOMÓVIL','ELÉCTRICO','TESLA','GRIS','1032444607');</v>
      </c>
    </row>
    <row r="417" spans="1:8" ht="14.4" x14ac:dyDescent="0.3">
      <c r="A417" s="5">
        <f t="shared" si="12"/>
        <v>410</v>
      </c>
      <c r="B417" s="6" t="s">
        <v>1968</v>
      </c>
      <c r="C417" s="6" t="s">
        <v>115</v>
      </c>
      <c r="D417" s="6" t="s">
        <v>17</v>
      </c>
      <c r="E417" s="6" t="s">
        <v>354</v>
      </c>
      <c r="F417" s="6" t="s">
        <v>60</v>
      </c>
      <c r="G417" s="6">
        <v>1026261037</v>
      </c>
      <c r="H417" t="str">
        <f t="shared" si="13"/>
        <v>INSERT INTO `parqueadero`.`vehiculo` (`Oid`, `Placa`, `Medio`, `Tipo`, `Marca`, `Color`, `IdConductor`) VALUES ('410','EDX620','AUTOMÓVIL','COMBUSTIBLE','NISSAN ','GRIS','1026261037');</v>
      </c>
    </row>
    <row r="418" spans="1:8" ht="14.4" x14ac:dyDescent="0.3">
      <c r="A418" s="5">
        <f t="shared" si="12"/>
        <v>411</v>
      </c>
      <c r="B418" s="17" t="s">
        <v>1973</v>
      </c>
      <c r="C418" s="6" t="s">
        <v>143</v>
      </c>
      <c r="D418" s="17" t="s">
        <v>17</v>
      </c>
      <c r="E418" s="17" t="s">
        <v>202</v>
      </c>
      <c r="F418" s="17" t="s">
        <v>18</v>
      </c>
      <c r="G418" s="17">
        <v>80019944</v>
      </c>
      <c r="H418" t="str">
        <f t="shared" si="13"/>
        <v>INSERT INTO `parqueadero`.`vehiculo` (`Oid`, `Placa`, `Medio`, `Tipo`, `Marca`, `Color`, `IdConductor`) VALUES ('411','KZY449','CAMIONETA','COMBUSTIBLE','VOLKSWAGEN','AZUL','80019944');</v>
      </c>
    </row>
    <row r="419" spans="1:8" ht="14.4" x14ac:dyDescent="0.3">
      <c r="A419" s="5">
        <f t="shared" si="12"/>
        <v>412</v>
      </c>
      <c r="B419" s="17" t="s">
        <v>1978</v>
      </c>
      <c r="C419" s="6" t="s">
        <v>143</v>
      </c>
      <c r="D419" s="6" t="s">
        <v>253</v>
      </c>
      <c r="E419" s="17" t="s">
        <v>1977</v>
      </c>
      <c r="F419" s="17" t="s">
        <v>18</v>
      </c>
      <c r="G419" s="17">
        <v>1032419051</v>
      </c>
      <c r="H419" t="str">
        <f t="shared" si="13"/>
        <v>INSERT INTO `parqueadero`.`vehiculo` (`Oid`, `Placa`, `Medio`, `Tipo`, `Marca`, `Color`, `IdConductor`) VALUES ('412','PFW145','CAMIONETA','HÍBRIDO','SUSUKI FRONX','AZUL','1032419051');</v>
      </c>
    </row>
    <row r="420" spans="1:8" ht="14.4" x14ac:dyDescent="0.3">
      <c r="A420" s="5">
        <f t="shared" si="12"/>
        <v>413</v>
      </c>
      <c r="B420" s="6" t="s">
        <v>1981</v>
      </c>
      <c r="C420" s="6" t="s">
        <v>143</v>
      </c>
      <c r="D420" s="6" t="s">
        <v>253</v>
      </c>
      <c r="E420" s="6" t="s">
        <v>1921</v>
      </c>
      <c r="F420" s="6" t="s">
        <v>60</v>
      </c>
      <c r="G420" s="6">
        <v>29120343</v>
      </c>
      <c r="H420" t="str">
        <f t="shared" si="13"/>
        <v>INSERT INTO `parqueadero`.`vehiculo` (`Oid`, `Placa`, `Medio`, `Tipo`, `Marca`, `Color`, `IdConductor`) VALUES ('413','QQK504','CAMIONETA','HÍBRIDO','FORD TERRITORY','GRIS','29120343');</v>
      </c>
    </row>
    <row r="421" spans="1:8" ht="14.4" x14ac:dyDescent="0.3">
      <c r="A421" s="5">
        <f t="shared" si="12"/>
        <v>414</v>
      </c>
      <c r="B421" s="6" t="s">
        <v>1985</v>
      </c>
      <c r="C421" s="6" t="s">
        <v>143</v>
      </c>
      <c r="D421" s="6" t="s">
        <v>17</v>
      </c>
      <c r="E421" s="6" t="s">
        <v>501</v>
      </c>
      <c r="F421" s="6" t="s">
        <v>259</v>
      </c>
      <c r="G421" s="6">
        <v>79786845</v>
      </c>
      <c r="H421" t="str">
        <f t="shared" si="13"/>
        <v>INSERT INTO `parqueadero`.`vehiculo` (`Oid`, `Placa`, `Medio`, `Tipo`, `Marca`, `Color`, `IdConductor`) VALUES ('414','RHO770','CAMIONETA','COMBUSTIBLE','NISSAN','PLATEADO','79786845');</v>
      </c>
    </row>
    <row r="422" spans="1:8" ht="14.4" x14ac:dyDescent="0.3">
      <c r="A422" s="5">
        <f t="shared" si="12"/>
        <v>415</v>
      </c>
      <c r="B422" s="6" t="s">
        <v>1986</v>
      </c>
      <c r="C422" s="6" t="s">
        <v>2195</v>
      </c>
      <c r="D422" s="6" t="s">
        <v>17</v>
      </c>
      <c r="E422" s="6" t="s">
        <v>132</v>
      </c>
      <c r="F422" s="6" t="s">
        <v>157</v>
      </c>
      <c r="G422" s="6">
        <v>79786845</v>
      </c>
      <c r="H422" t="str">
        <f t="shared" si="13"/>
        <v>INSERT INTO `parqueadero`.`vehiculo` (`Oid`, `Placa`, `Medio`, `Tipo`, `Marca`, `Color`, `IdConductor`) VALUES ('415','LEN12F','MOTOCICLETA','COMBUSTIBLE','BMW','NEGRA','79786845');</v>
      </c>
    </row>
    <row r="423" spans="1:8" ht="14.4" x14ac:dyDescent="0.3">
      <c r="A423" s="5">
        <f t="shared" si="12"/>
        <v>416</v>
      </c>
      <c r="B423" s="6" t="s">
        <v>1989</v>
      </c>
      <c r="C423" s="6" t="s">
        <v>115</v>
      </c>
      <c r="D423" s="6" t="s">
        <v>17</v>
      </c>
      <c r="E423" s="6" t="s">
        <v>439</v>
      </c>
      <c r="F423" s="6" t="s">
        <v>18</v>
      </c>
      <c r="G423" s="6">
        <v>52883834</v>
      </c>
      <c r="H423" t="str">
        <f t="shared" si="13"/>
        <v>INSERT INTO `parqueadero`.`vehiculo` (`Oid`, `Placa`, `Medio`, `Tipo`, `Marca`, `Color`, `IdConductor`) VALUES ('416','FZM862','AUTOMÓVIL','COMBUSTIBLE','NISSAN KICKS','AZUL','52883834');</v>
      </c>
    </row>
    <row r="424" spans="1:8" ht="14.4" x14ac:dyDescent="0.3">
      <c r="A424" s="5">
        <f t="shared" si="12"/>
        <v>417</v>
      </c>
      <c r="B424" s="6" t="s">
        <v>1993</v>
      </c>
      <c r="C424" s="6" t="s">
        <v>115</v>
      </c>
      <c r="D424" s="6" t="s">
        <v>17</v>
      </c>
      <c r="E424" s="6" t="s">
        <v>138</v>
      </c>
      <c r="F424" s="6" t="s">
        <v>60</v>
      </c>
      <c r="G424" s="6">
        <v>84102209</v>
      </c>
      <c r="H424" t="str">
        <f t="shared" si="13"/>
        <v>INSERT INTO `parqueadero`.`vehiculo` (`Oid`, `Placa`, `Medio`, `Tipo`, `Marca`, `Color`, `IdConductor`) VALUES ('417','ELU837','AUTOMÓVIL','COMBUSTIBLE','RENAULT SANDERO','GRIS','84102209');</v>
      </c>
    </row>
    <row r="425" spans="1:8" ht="14.4" x14ac:dyDescent="0.3">
      <c r="A425" s="5">
        <f t="shared" si="12"/>
        <v>418</v>
      </c>
      <c r="B425" s="6" t="s">
        <v>1996</v>
      </c>
      <c r="C425" s="6" t="s">
        <v>115</v>
      </c>
      <c r="D425" s="6" t="s">
        <v>17</v>
      </c>
      <c r="E425" s="6" t="s">
        <v>501</v>
      </c>
      <c r="F425" s="6" t="s">
        <v>60</v>
      </c>
      <c r="G425" s="6">
        <v>1103095276</v>
      </c>
      <c r="H425" t="str">
        <f t="shared" si="13"/>
        <v>INSERT INTO `parqueadero`.`vehiculo` (`Oid`, `Placa`, `Medio`, `Tipo`, `Marca`, `Color`, `IdConductor`) VALUES ('418','MTY448','AUTOMÓVIL','COMBUSTIBLE','NISSAN','GRIS','1103095276');</v>
      </c>
    </row>
    <row r="426" spans="1:8" ht="14.4" x14ac:dyDescent="0.3">
      <c r="A426" s="5">
        <f t="shared" si="12"/>
        <v>419</v>
      </c>
      <c r="B426" s="6" t="s">
        <v>1997</v>
      </c>
      <c r="C426" s="6" t="s">
        <v>2195</v>
      </c>
      <c r="D426" s="6" t="s">
        <v>17</v>
      </c>
      <c r="E426" s="6" t="s">
        <v>15</v>
      </c>
      <c r="F426" s="6" t="s">
        <v>157</v>
      </c>
      <c r="G426" s="6">
        <v>1103095276</v>
      </c>
      <c r="H426" t="str">
        <f t="shared" si="13"/>
        <v>INSERT INTO `parqueadero`.`vehiculo` (`Oid`, `Placa`, `Medio`, `Tipo`, `Marca`, `Color`, `IdConductor`) VALUES ('419','NQL91G','MOTOCICLETA','COMBUSTIBLE','HONDA NAVI','NEGRA','1103095276');</v>
      </c>
    </row>
    <row r="427" spans="1:8" ht="14.4" x14ac:dyDescent="0.3">
      <c r="A427" s="5">
        <f t="shared" si="12"/>
        <v>420</v>
      </c>
      <c r="B427" s="6" t="s">
        <v>2003</v>
      </c>
      <c r="C427" s="6" t="s">
        <v>2195</v>
      </c>
      <c r="D427" s="6" t="s">
        <v>17</v>
      </c>
      <c r="E427" s="6" t="s">
        <v>363</v>
      </c>
      <c r="F427" s="6" t="s">
        <v>2004</v>
      </c>
      <c r="G427" s="6">
        <v>80755333</v>
      </c>
      <c r="H427" t="str">
        <f t="shared" si="13"/>
        <v>INSERT INTO `parqueadero`.`vehiculo` (`Oid`, `Placa`, `Medio`, `Tipo`, `Marca`, `Color`, `IdConductor`) VALUES ('420','HIM091','MOTOCICLETA','COMBUSTIBLE','SUSUKI','VINOTINTO - BLANCO','80755333');</v>
      </c>
    </row>
    <row r="428" spans="1:8" ht="14.4" x14ac:dyDescent="0.3">
      <c r="A428" s="5">
        <f t="shared" si="12"/>
        <v>421</v>
      </c>
      <c r="B428" s="6" t="s">
        <v>2007</v>
      </c>
      <c r="C428" s="6" t="s">
        <v>115</v>
      </c>
      <c r="D428" s="6" t="s">
        <v>17</v>
      </c>
      <c r="E428" s="6" t="s">
        <v>304</v>
      </c>
      <c r="F428" s="6" t="s">
        <v>60</v>
      </c>
      <c r="G428" s="6">
        <v>80504271</v>
      </c>
      <c r="H428" t="str">
        <f t="shared" si="13"/>
        <v>INSERT INTO `parqueadero`.`vehiculo` (`Oid`, `Placa`, `Medio`, `Tipo`, `Marca`, `Color`, `IdConductor`) VALUES ('421','DWK452','AUTOMÓVIL','COMBUSTIBLE','RENAULT','GRIS','80504271');</v>
      </c>
    </row>
    <row r="429" spans="1:8" ht="14.4" x14ac:dyDescent="0.3">
      <c r="A429" s="5">
        <f t="shared" si="12"/>
        <v>422</v>
      </c>
      <c r="B429" s="17" t="s">
        <v>2012</v>
      </c>
      <c r="C429" s="6" t="s">
        <v>115</v>
      </c>
      <c r="D429" s="17" t="s">
        <v>17</v>
      </c>
      <c r="E429" s="17" t="s">
        <v>75</v>
      </c>
      <c r="F429" s="17" t="s">
        <v>2013</v>
      </c>
      <c r="G429" s="17">
        <v>91110560</v>
      </c>
      <c r="H429" t="str">
        <f t="shared" si="13"/>
        <v>INSERT INTO `parqueadero`.`vehiculo` (`Oid`, `Placa`, `Medio`, `Tipo`, `Marca`, `Color`, `IdConductor`) VALUES ('422','BOR380','AUTOMÓVIL','COMBUSTIBLE','MAZDA','BLANCO - NEGRO','91110560');</v>
      </c>
    </row>
    <row r="430" spans="1:8" ht="14.4" x14ac:dyDescent="0.3">
      <c r="A430" s="5">
        <f t="shared" si="12"/>
        <v>423</v>
      </c>
      <c r="B430" s="6" t="s">
        <v>2016</v>
      </c>
      <c r="C430" s="6" t="s">
        <v>115</v>
      </c>
      <c r="D430" s="6" t="s">
        <v>253</v>
      </c>
      <c r="E430" s="6" t="s">
        <v>2015</v>
      </c>
      <c r="F430" s="6" t="s">
        <v>60</v>
      </c>
      <c r="G430" s="6">
        <v>1023946531</v>
      </c>
      <c r="H430" t="str">
        <f t="shared" si="13"/>
        <v>INSERT INTO `parqueadero`.`vehiculo` (`Oid`, `Placa`, `Medio`, `Tipo`, `Marca`, `Color`, `IdConductor`) VALUES ('423','JVZ118','AUTOMÓVIL','HÍBRIDO','MAZDA 3 TOURING','GRIS','1023946531');</v>
      </c>
    </row>
    <row r="431" spans="1:8" ht="14.4" x14ac:dyDescent="0.3">
      <c r="A431" s="5">
        <f t="shared" si="12"/>
        <v>424</v>
      </c>
      <c r="B431" s="17" t="s">
        <v>2018</v>
      </c>
      <c r="C431" s="6" t="s">
        <v>143</v>
      </c>
      <c r="D431" s="6" t="s">
        <v>129</v>
      </c>
      <c r="E431" s="17" t="s">
        <v>2017</v>
      </c>
      <c r="F431" s="17" t="s">
        <v>52</v>
      </c>
      <c r="G431" s="17">
        <v>1020716220</v>
      </c>
      <c r="H431" t="str">
        <f t="shared" si="13"/>
        <v>INSERT INTO `parqueadero`.`vehiculo` (`Oid`, `Placa`, `Medio`, `Tipo`, `Marca`, `Color`, `IdConductor`) VALUES ('424','QQU671','CAMIONETA','ELÉCTRICO','GEELY','PLATA','1020716220');</v>
      </c>
    </row>
    <row r="432" spans="1:8" ht="14.4" x14ac:dyDescent="0.3">
      <c r="A432" s="5">
        <f t="shared" si="12"/>
        <v>425</v>
      </c>
      <c r="B432" s="6" t="s">
        <v>2021</v>
      </c>
      <c r="C432" s="6" t="s">
        <v>115</v>
      </c>
      <c r="D432" s="6" t="s">
        <v>17</v>
      </c>
      <c r="E432" s="6" t="s">
        <v>116</v>
      </c>
      <c r="F432" s="6" t="s">
        <v>60</v>
      </c>
      <c r="G432" s="6">
        <v>79756851</v>
      </c>
      <c r="H432" t="str">
        <f t="shared" si="13"/>
        <v>INSERT INTO `parqueadero`.`vehiculo` (`Oid`, `Placa`, `Medio`, `Tipo`, `Marca`, `Color`, `IdConductor`) VALUES ('425','REK534','AUTOMÓVIL','COMBUSTIBLE','HYUNDAI','GRIS','79756851');</v>
      </c>
    </row>
    <row r="433" spans="1:8" ht="14.4" x14ac:dyDescent="0.3">
      <c r="A433" s="5">
        <f t="shared" si="12"/>
        <v>426</v>
      </c>
      <c r="B433" s="6" t="s">
        <v>2023</v>
      </c>
      <c r="C433" s="6" t="s">
        <v>115</v>
      </c>
      <c r="D433" s="6" t="s">
        <v>129</v>
      </c>
      <c r="E433" s="6" t="s">
        <v>2022</v>
      </c>
      <c r="F433" s="6" t="s">
        <v>24</v>
      </c>
      <c r="G433" s="6">
        <v>1012383494</v>
      </c>
      <c r="H433" t="str">
        <f t="shared" si="13"/>
        <v>INSERT INTO `parqueadero`.`vehiculo` (`Oid`, `Placa`, `Medio`, `Tipo`, `Marca`, `Color`, `IdConductor`) VALUES ('426','QQS652','AUTOMÓVIL','ELÉCTRICO','MG S5','NEGRO','1012383494');</v>
      </c>
    </row>
    <row r="434" spans="1:8" ht="14.4" x14ac:dyDescent="0.3">
      <c r="A434" s="5">
        <f t="shared" si="12"/>
        <v>427</v>
      </c>
      <c r="B434" s="6" t="s">
        <v>2027</v>
      </c>
      <c r="C434" s="6" t="s">
        <v>115</v>
      </c>
      <c r="D434" s="6" t="s">
        <v>129</v>
      </c>
      <c r="E434" s="6" t="s">
        <v>2017</v>
      </c>
      <c r="F434" s="6" t="s">
        <v>52</v>
      </c>
      <c r="G434" s="6">
        <v>13741047</v>
      </c>
      <c r="H434" t="str">
        <f t="shared" si="13"/>
        <v>INSERT INTO `parqueadero`.`vehiculo` (`Oid`, `Placa`, `Medio`, `Tipo`, `Marca`, `Color`, `IdConductor`) VALUES ('427','QQW391','AUTOMÓVIL','ELÉCTRICO','GEELY','PLATA','13741047');</v>
      </c>
    </row>
    <row r="435" spans="1:8" ht="14.4" x14ac:dyDescent="0.3">
      <c r="A435" s="5">
        <f t="shared" si="12"/>
        <v>428</v>
      </c>
      <c r="B435" s="6" t="s">
        <v>2030</v>
      </c>
      <c r="C435" s="6" t="s">
        <v>2195</v>
      </c>
      <c r="D435" s="6" t="s">
        <v>17</v>
      </c>
      <c r="E435" s="6" t="s">
        <v>2029</v>
      </c>
      <c r="F435" s="6" t="s">
        <v>2031</v>
      </c>
      <c r="G435" s="6">
        <v>79979024</v>
      </c>
      <c r="H435" t="str">
        <f t="shared" si="13"/>
        <v>INSERT INTO `parqueadero`.`vehiculo` (`Oid`, `Placa`, `Medio`, `Tipo`, `Marca`, `Color`, `IdConductor`) VALUES ('428','RSQ67H','MOTOCICLETA','COMBUSTIBLE','HONDA XBLADE 160','NEGRO - NARANJA','79979024');</v>
      </c>
    </row>
    <row r="436" spans="1:8" ht="14.4" x14ac:dyDescent="0.3">
      <c r="A436" s="5">
        <f t="shared" si="12"/>
        <v>429</v>
      </c>
      <c r="B436" s="6" t="s">
        <v>2033</v>
      </c>
      <c r="C436" s="6" t="s">
        <v>2195</v>
      </c>
      <c r="D436" s="6" t="s">
        <v>17</v>
      </c>
      <c r="E436" s="6" t="s">
        <v>175</v>
      </c>
      <c r="F436" s="6" t="s">
        <v>66</v>
      </c>
      <c r="G436" s="6">
        <v>1030615542</v>
      </c>
      <c r="H436" t="str">
        <f t="shared" si="13"/>
        <v>INSERT INTO `parqueadero`.`vehiculo` (`Oid`, `Placa`, `Medio`, `Tipo`, `Marca`, `Color`, `IdConductor`) VALUES ('429','GXY89I','MOTOCICLETA','COMBUSTIBLE','AKT','BLANCO','1030615542');</v>
      </c>
    </row>
    <row r="437" spans="1:8" ht="14.4" x14ac:dyDescent="0.3">
      <c r="A437" s="5">
        <f t="shared" si="12"/>
        <v>430</v>
      </c>
      <c r="B437" s="17" t="s">
        <v>2034</v>
      </c>
      <c r="C437" s="6" t="s">
        <v>115</v>
      </c>
      <c r="D437" s="6" t="s">
        <v>129</v>
      </c>
      <c r="E437" s="17" t="s">
        <v>1948</v>
      </c>
      <c r="F437" s="17" t="s">
        <v>18</v>
      </c>
      <c r="G437" s="24">
        <v>45361037</v>
      </c>
      <c r="H437" t="str">
        <f t="shared" si="13"/>
        <v>INSERT INTO `parqueadero`.`vehiculo` (`Oid`, `Placa`, `Medio`, `Tipo`, `Marca`, `Color`, `IdConductor`) VALUES ('430','PRP903','AUTOMÓVIL','ELÉCTRICO','TESLA','AZUL','45361037');</v>
      </c>
    </row>
    <row r="438" spans="1:8" ht="14.4" x14ac:dyDescent="0.3">
      <c r="A438" s="5">
        <f t="shared" si="12"/>
        <v>431</v>
      </c>
      <c r="B438" s="6" t="s">
        <v>2035</v>
      </c>
      <c r="C438" s="6" t="s">
        <v>115</v>
      </c>
      <c r="D438" s="6" t="s">
        <v>17</v>
      </c>
      <c r="E438" s="6" t="s">
        <v>354</v>
      </c>
      <c r="F438" s="6" t="s">
        <v>18</v>
      </c>
      <c r="G438" s="6">
        <v>1026261037</v>
      </c>
      <c r="H438" t="str">
        <f t="shared" si="13"/>
        <v>INSERT INTO `parqueadero`.`vehiculo` (`Oid`, `Placa`, `Medio`, `Tipo`, `Marca`, `Color`, `IdConductor`) VALUES ('431','QQX340','AUTOMÓVIL','COMBUSTIBLE','NISSAN ','AZUL','1026261037');</v>
      </c>
    </row>
    <row r="439" spans="1:8" ht="14.4" x14ac:dyDescent="0.3">
      <c r="A439" s="5">
        <f t="shared" si="12"/>
        <v>432</v>
      </c>
      <c r="B439" s="6" t="s">
        <v>2039</v>
      </c>
      <c r="C439" s="6" t="s">
        <v>115</v>
      </c>
      <c r="D439" s="6" t="s">
        <v>129</v>
      </c>
      <c r="E439" s="6" t="s">
        <v>22</v>
      </c>
      <c r="F439" s="6" t="s">
        <v>66</v>
      </c>
      <c r="G439" s="6">
        <v>79737240</v>
      </c>
      <c r="H439" t="str">
        <f t="shared" si="13"/>
        <v>INSERT INTO `parqueadero`.`vehiculo` (`Oid`, `Placa`, `Medio`, `Tipo`, `Marca`, `Color`, `IdConductor`) VALUES ('432','PXW080','AUTOMÓVIL','ELÉCTRICO','BYD','BLANCO','79737240');</v>
      </c>
    </row>
    <row r="440" spans="1:8" ht="14.4" x14ac:dyDescent="0.3">
      <c r="A440" s="5">
        <f t="shared" si="12"/>
        <v>433</v>
      </c>
      <c r="B440" s="6" t="s">
        <v>2044</v>
      </c>
      <c r="C440" s="6" t="s">
        <v>2195</v>
      </c>
      <c r="D440" s="6" t="s">
        <v>17</v>
      </c>
      <c r="E440" s="6" t="s">
        <v>2043</v>
      </c>
      <c r="F440" s="6" t="s">
        <v>157</v>
      </c>
      <c r="G440" s="6">
        <v>1018493388</v>
      </c>
      <c r="H440" t="str">
        <f t="shared" si="13"/>
        <v>INSERT INTO `parqueadero`.`vehiculo` (`Oid`, `Placa`, `Medio`, `Tipo`, `Marca`, `Color`, `IdConductor`) VALUES ('433','GFY38I','MOTOCICLETA','COMBUSTIBLE','HUSQVARNA SVARTPILEN','NEGRA','1018493388');</v>
      </c>
    </row>
    <row r="441" spans="1:8" ht="14.4" x14ac:dyDescent="0.3">
      <c r="A441" s="5">
        <f t="shared" si="12"/>
        <v>434</v>
      </c>
      <c r="B441" s="17" t="s">
        <v>2049</v>
      </c>
      <c r="C441" s="6" t="s">
        <v>143</v>
      </c>
      <c r="D441" s="6" t="s">
        <v>129</v>
      </c>
      <c r="E441" s="17" t="s">
        <v>2048</v>
      </c>
      <c r="F441" s="17" t="s">
        <v>52</v>
      </c>
      <c r="G441" s="17">
        <v>1120747558</v>
      </c>
      <c r="H441" t="str">
        <f t="shared" si="13"/>
        <v>INSERT INTO `parqueadero`.`vehiculo` (`Oid`, `Placa`, `Medio`, `Tipo`, `Marca`, `Color`, `IdConductor`) VALUES ('434','QQX355','CAMIONETA','ELÉCTRICO','CHERY','PLATA','1120747558');</v>
      </c>
    </row>
    <row r="442" spans="1:8" ht="14.4" x14ac:dyDescent="0.3">
      <c r="A442" s="5">
        <f t="shared" si="12"/>
        <v>435</v>
      </c>
      <c r="B442" s="6" t="s">
        <v>2053</v>
      </c>
      <c r="C442" s="6" t="s">
        <v>143</v>
      </c>
      <c r="D442" s="6" t="s">
        <v>17</v>
      </c>
      <c r="E442" s="6" t="s">
        <v>75</v>
      </c>
      <c r="F442" s="6" t="s">
        <v>60</v>
      </c>
      <c r="G442" s="6">
        <v>4228842</v>
      </c>
      <c r="H442" t="str">
        <f t="shared" si="13"/>
        <v>INSERT INTO `parqueadero`.`vehiculo` (`Oid`, `Placa`, `Medio`, `Tipo`, `Marca`, `Color`, `IdConductor`) VALUES ('435','AVI453','CAMIONETA','COMBUSTIBLE','MAZDA','GRIS','4228842');</v>
      </c>
    </row>
    <row r="443" spans="1:8" ht="14.4" x14ac:dyDescent="0.3">
      <c r="A443" s="5">
        <f t="shared" si="12"/>
        <v>436</v>
      </c>
      <c r="B443" s="6" t="s">
        <v>2057</v>
      </c>
      <c r="C443" s="6" t="s">
        <v>143</v>
      </c>
      <c r="D443" s="6" t="s">
        <v>17</v>
      </c>
      <c r="E443" s="6" t="s">
        <v>354</v>
      </c>
      <c r="F443" s="6" t="s">
        <v>60</v>
      </c>
      <c r="G443" s="6">
        <v>1136879147</v>
      </c>
      <c r="H443" t="str">
        <f t="shared" si="13"/>
        <v>INSERT INTO `parqueadero`.`vehiculo` (`Oid`, `Placa`, `Medio`, `Tipo`, `Marca`, `Color`, `IdConductor`) VALUES ('436','JEK683','CAMIONETA','COMBUSTIBLE','NISSAN ','GRIS','1136879147');</v>
      </c>
    </row>
    <row r="444" spans="1:8" ht="14.4" x14ac:dyDescent="0.3">
      <c r="A444" s="5">
        <f t="shared" si="12"/>
        <v>437</v>
      </c>
      <c r="B444" s="6" t="s">
        <v>2060</v>
      </c>
      <c r="C444" s="6" t="s">
        <v>115</v>
      </c>
      <c r="D444" s="6" t="s">
        <v>17</v>
      </c>
      <c r="E444" s="6" t="s">
        <v>1348</v>
      </c>
      <c r="F444" s="6" t="s">
        <v>66</v>
      </c>
      <c r="G444" s="6">
        <v>13499548</v>
      </c>
      <c r="H444" t="str">
        <f t="shared" si="13"/>
        <v>INSERT INTO `parqueadero`.`vehiculo` (`Oid`, `Placa`, `Medio`, `Tipo`, `Marca`, `Color`, `IdConductor`) VALUES ('437','POR856','AUTOMÓVIL','COMBUSTIBLE','CITROEN','BLANCO','13499548');</v>
      </c>
    </row>
    <row r="445" spans="1:8" ht="14.4" x14ac:dyDescent="0.3">
      <c r="A445" s="5">
        <f t="shared" si="12"/>
        <v>438</v>
      </c>
      <c r="B445" s="6" t="s">
        <v>2063</v>
      </c>
      <c r="C445" s="6" t="s">
        <v>115</v>
      </c>
      <c r="D445" s="6" t="s">
        <v>17</v>
      </c>
      <c r="E445" s="6" t="s">
        <v>202</v>
      </c>
      <c r="F445" s="6" t="s">
        <v>248</v>
      </c>
      <c r="G445" s="6">
        <v>1118649429</v>
      </c>
      <c r="H445" t="str">
        <f t="shared" si="13"/>
        <v>INSERT INTO `parqueadero`.`vehiculo` (`Oid`, `Placa`, `Medio`, `Tipo`, `Marca`, `Color`, `IdConductor`) VALUES ('438','FYK571','AUTOMÓVIL','COMBUSTIBLE','VOLKSWAGEN','GRIS PLATA','1118649429');</v>
      </c>
    </row>
    <row r="446" spans="1:8" ht="14.4" x14ac:dyDescent="0.3">
      <c r="A446" s="5">
        <f t="shared" si="12"/>
        <v>439</v>
      </c>
      <c r="B446" s="6" t="s">
        <v>2067</v>
      </c>
      <c r="C446" s="6" t="s">
        <v>2195</v>
      </c>
      <c r="D446" s="6" t="s">
        <v>17</v>
      </c>
      <c r="E446" s="6" t="s">
        <v>175</v>
      </c>
      <c r="F446" s="6" t="s">
        <v>316</v>
      </c>
      <c r="G446" s="6">
        <v>1140882040</v>
      </c>
      <c r="H446" t="str">
        <f t="shared" si="13"/>
        <v>INSERT INTO `parqueadero`.`vehiculo` (`Oid`, `Placa`, `Medio`, `Tipo`, `Marca`, `Color`, `IdConductor`) VALUES ('439','SJP89G','MOTOCICLETA','COMBUSTIBLE','AKT','NEGRO MATE','1140882040');</v>
      </c>
    </row>
    <row r="447" spans="1:8" ht="14.4" x14ac:dyDescent="0.3">
      <c r="A447" s="5">
        <f t="shared" si="12"/>
        <v>440</v>
      </c>
      <c r="B447" s="6" t="s">
        <v>2070</v>
      </c>
      <c r="C447" s="6" t="s">
        <v>2195</v>
      </c>
      <c r="D447" s="6" t="s">
        <v>17</v>
      </c>
      <c r="E447" s="6" t="s">
        <v>363</v>
      </c>
      <c r="F447" s="6" t="s">
        <v>374</v>
      </c>
      <c r="G447" s="6">
        <v>1026578164</v>
      </c>
      <c r="H447" t="str">
        <f t="shared" si="13"/>
        <v>INSERT INTO `parqueadero`.`vehiculo` (`Oid`, `Placa`, `Medio`, `Tipo`, `Marca`, `Color`, `IdConductor`) VALUES ('440','KCE11I','MOTOCICLETA','COMBUSTIBLE','SUSUKI','AMARILLO - NEGRO','1026578164');</v>
      </c>
    </row>
    <row r="448" spans="1:8" ht="14.4" x14ac:dyDescent="0.3">
      <c r="A448" s="5">
        <f t="shared" si="12"/>
        <v>441</v>
      </c>
      <c r="B448" s="6" t="s">
        <v>2076</v>
      </c>
      <c r="C448" s="6" t="s">
        <v>2195</v>
      </c>
      <c r="D448" s="6" t="s">
        <v>17</v>
      </c>
      <c r="E448" s="6" t="s">
        <v>2075</v>
      </c>
      <c r="F448" s="6" t="s">
        <v>316</v>
      </c>
      <c r="G448" s="6">
        <v>79698622</v>
      </c>
      <c r="H448" t="str">
        <f t="shared" si="13"/>
        <v>INSERT INTO `parqueadero`.`vehiculo` (`Oid`, `Placa`, `Medio`, `Tipo`, `Marca`, `Color`, `IdConductor`) VALUES ('441','ICM27G','MOTOCICLETA','COMBUSTIBLE','YAMAHA FZ 250-A','NEGRO MATE','79698622');</v>
      </c>
    </row>
    <row r="449" spans="1:8" ht="14.4" x14ac:dyDescent="0.3">
      <c r="A449" s="5">
        <f t="shared" ref="A449:A456" si="14">ROW()-7</f>
        <v>442</v>
      </c>
      <c r="B449" s="6" t="s">
        <v>2079</v>
      </c>
      <c r="C449" s="6" t="s">
        <v>2195</v>
      </c>
      <c r="D449" s="6" t="s">
        <v>17</v>
      </c>
      <c r="E449" s="6" t="s">
        <v>2078</v>
      </c>
      <c r="F449" s="6" t="s">
        <v>2080</v>
      </c>
      <c r="G449" s="6">
        <v>79637566</v>
      </c>
      <c r="H449" t="str">
        <f t="shared" si="13"/>
        <v>INSERT INTO `parqueadero`.`vehiculo` (`Oid`, `Placa`, `Medio`, `Tipo`, `Marca`, `Color`, `IdConductor`) VALUES ('442','RAK41C','MOTOCICLETA','COMBUSTIBLE','BAJAJ PULSAR 180 UG','NEGRO - AZUL','79637566');</v>
      </c>
    </row>
    <row r="450" spans="1:8" ht="14.4" x14ac:dyDescent="0.3">
      <c r="A450" s="5">
        <f t="shared" si="14"/>
        <v>443</v>
      </c>
      <c r="B450" s="17" t="s">
        <v>2081</v>
      </c>
      <c r="C450" s="6" t="s">
        <v>115</v>
      </c>
      <c r="D450" s="17" t="s">
        <v>17</v>
      </c>
      <c r="E450" s="17" t="s">
        <v>320</v>
      </c>
      <c r="F450" s="17" t="s">
        <v>60</v>
      </c>
      <c r="G450" s="17">
        <v>1075257769</v>
      </c>
      <c r="H450" t="str">
        <f t="shared" si="13"/>
        <v>INSERT INTO `parqueadero`.`vehiculo` (`Oid`, `Placa`, `Medio`, `Tipo`, `Marca`, `Color`, `IdConductor`) VALUES ('443','HTQ061','AUTOMÓVIL','COMBUSTIBLE','AUDI','GRIS','1075257769');</v>
      </c>
    </row>
    <row r="451" spans="1:8" ht="14.4" x14ac:dyDescent="0.3">
      <c r="A451" s="5">
        <f t="shared" si="14"/>
        <v>444</v>
      </c>
      <c r="B451" s="6" t="s">
        <v>2086</v>
      </c>
      <c r="C451" s="6" t="s">
        <v>143</v>
      </c>
      <c r="D451" s="6" t="s">
        <v>17</v>
      </c>
      <c r="E451" s="6" t="s">
        <v>2085</v>
      </c>
      <c r="F451" s="6" t="s">
        <v>238</v>
      </c>
      <c r="G451" s="6">
        <v>19226003</v>
      </c>
      <c r="H451" t="str">
        <f t="shared" si="13"/>
        <v>INSERT INTO `parqueadero`.`vehiculo` (`Oid`, `Placa`, `Medio`, `Tipo`, `Marca`, `Color`, `IdConductor`) VALUES ('444','TEP001','CAMIONETA','COMBUSTIBLE','VOLKSWAGEN AMAROK','BLANCA','19226003');</v>
      </c>
    </row>
    <row r="452" spans="1:8" ht="14.4" x14ac:dyDescent="0.3">
      <c r="A452" s="5">
        <f t="shared" si="14"/>
        <v>445</v>
      </c>
      <c r="B452" s="6" t="s">
        <v>2087</v>
      </c>
      <c r="C452" s="6" t="s">
        <v>143</v>
      </c>
      <c r="D452" s="6" t="s">
        <v>129</v>
      </c>
      <c r="E452" s="6" t="s">
        <v>2048</v>
      </c>
      <c r="F452" s="6" t="s">
        <v>60</v>
      </c>
      <c r="G452" s="6">
        <v>19226003</v>
      </c>
      <c r="H452" t="str">
        <f t="shared" si="13"/>
        <v>INSERT INTO `parqueadero`.`vehiculo` (`Oid`, `Placa`, `Medio`, `Tipo`, `Marca`, `Color`, `IdConductor`) VALUES ('445','QQU531','CAMIONETA','ELÉCTRICO','CHERY','GRIS','19226003');</v>
      </c>
    </row>
    <row r="453" spans="1:8" ht="14.4" x14ac:dyDescent="0.3">
      <c r="A453" s="5">
        <f t="shared" si="14"/>
        <v>446</v>
      </c>
      <c r="B453" s="6" t="s">
        <v>2090</v>
      </c>
      <c r="C453" s="6" t="s">
        <v>115</v>
      </c>
      <c r="D453" s="6" t="s">
        <v>17</v>
      </c>
      <c r="E453" s="6" t="s">
        <v>337</v>
      </c>
      <c r="F453" s="6" t="s">
        <v>60</v>
      </c>
      <c r="G453" s="6">
        <v>1020789222</v>
      </c>
      <c r="H453" t="str">
        <f t="shared" si="13"/>
        <v>INSERT INTO `parqueadero`.`vehiculo` (`Oid`, `Placa`, `Medio`, `Tipo`, `Marca`, `Color`, `IdConductor`) VALUES ('446','BRD379','AUTOMÓVIL','COMBUSTIBLE','MERCEDES BENZ','GRIS','1020789222');</v>
      </c>
    </row>
    <row r="454" spans="1:8" ht="14.4" x14ac:dyDescent="0.3">
      <c r="A454" s="5">
        <f t="shared" si="14"/>
        <v>447</v>
      </c>
      <c r="B454" s="6" t="s">
        <v>2092</v>
      </c>
      <c r="C454" s="6" t="s">
        <v>143</v>
      </c>
      <c r="D454" s="6" t="s">
        <v>17</v>
      </c>
      <c r="E454" s="6" t="s">
        <v>2091</v>
      </c>
      <c r="F454" s="6" t="s">
        <v>66</v>
      </c>
      <c r="G454" s="6">
        <v>1020806493</v>
      </c>
      <c r="H454" t="str">
        <f t="shared" si="13"/>
        <v>INSERT INTO `parqueadero`.`vehiculo` (`Oid`, `Placa`, `Medio`, `Tipo`, `Marca`, `Color`, `IdConductor`) VALUES ('447','FNY762','CAMIONETA','COMBUSTIBLE','PEUGEOT 3008','BLANCO','1020806493');</v>
      </c>
    </row>
    <row r="455" spans="1:8" ht="14.4" x14ac:dyDescent="0.3">
      <c r="A455" s="5">
        <f t="shared" si="14"/>
        <v>448</v>
      </c>
      <c r="B455" s="6" t="s">
        <v>2096</v>
      </c>
      <c r="C455" s="6" t="s">
        <v>143</v>
      </c>
      <c r="D455" s="6" t="s">
        <v>253</v>
      </c>
      <c r="E455" s="6" t="s">
        <v>363</v>
      </c>
      <c r="F455" s="6" t="s">
        <v>18</v>
      </c>
      <c r="G455" s="6">
        <v>52454937</v>
      </c>
      <c r="H455" t="str">
        <f t="shared" si="13"/>
        <v>INSERT INTO `parqueadero`.`vehiculo` (`Oid`, `Placa`, `Medio`, `Tipo`, `Marca`, `Color`, `IdConductor`) VALUES ('448','NJR865','CAMIONETA','HÍBRIDO','SUSUKI','AZUL','52454937');</v>
      </c>
    </row>
    <row r="456" spans="1:8" ht="14.4" x14ac:dyDescent="0.3">
      <c r="A456" s="5">
        <f t="shared" si="14"/>
        <v>449</v>
      </c>
      <c r="B456" s="6" t="s">
        <v>2097</v>
      </c>
      <c r="C456" s="6" t="s">
        <v>115</v>
      </c>
      <c r="D456" s="6" t="s">
        <v>17</v>
      </c>
      <c r="E456" s="6" t="s">
        <v>681</v>
      </c>
      <c r="F456" s="6" t="s">
        <v>60</v>
      </c>
      <c r="G456" s="6">
        <v>80019944</v>
      </c>
      <c r="H456" t="str">
        <f t="shared" si="13"/>
        <v>INSERT INTO `parqueadero`.`vehiculo` (`Oid`, `Placa`, `Medio`, `Tipo`, `Marca`, `Color`, `IdConductor`) VALUES ('449','LNL878','AUTOMÓVIL','COMBUSTIBLE','MAZDA 2','GRIS','80019944');</v>
      </c>
    </row>
  </sheetData>
  <autoFilter ref="A7:H456"/>
  <mergeCells count="1">
    <mergeCell ref="A3:F4"/>
  </mergeCells>
  <conditionalFormatting sqref="G7:G456 H7">
    <cfRule type="duplicateValues" dxfId="10" priority="159"/>
  </conditionalFormatting>
  <conditionalFormatting sqref="B444:B456 B8:B442">
    <cfRule type="duplicateValues" dxfId="9" priority="160"/>
  </conditionalFormatting>
  <conditionalFormatting sqref="B1:B1048576">
    <cfRule type="duplicateValues" dxfId="8" priority="162"/>
    <cfRule type="duplicateValues" dxfId="7" priority="163"/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B8" sqref="B8"/>
    </sheetView>
  </sheetViews>
  <sheetFormatPr baseColWidth="10" defaultRowHeight="14.4" x14ac:dyDescent="0.3"/>
  <sheetData>
    <row r="1" spans="1:3" x14ac:dyDescent="0.3">
      <c r="A1" t="s">
        <v>2201</v>
      </c>
      <c r="B1" t="s">
        <v>2203</v>
      </c>
      <c r="C1" t="s">
        <v>2204</v>
      </c>
    </row>
    <row r="2" spans="1:3" x14ac:dyDescent="0.3">
      <c r="A2" t="s">
        <v>2202</v>
      </c>
      <c r="B2">
        <v>5</v>
      </c>
      <c r="C2" t="s">
        <v>2205</v>
      </c>
    </row>
    <row r="3" spans="1:3" x14ac:dyDescent="0.3">
      <c r="A3" t="s">
        <v>2202</v>
      </c>
      <c r="B3">
        <v>4</v>
      </c>
      <c r="C3" t="s">
        <v>2206</v>
      </c>
    </row>
    <row r="4" spans="1:3" x14ac:dyDescent="0.3">
      <c r="A4" t="s">
        <v>2202</v>
      </c>
      <c r="B4">
        <v>2</v>
      </c>
    </row>
    <row r="5" spans="1:3" x14ac:dyDescent="0.3">
      <c r="A5" t="s">
        <v>2207</v>
      </c>
      <c r="B5">
        <v>28</v>
      </c>
    </row>
    <row r="6" spans="1:3" x14ac:dyDescent="0.3">
      <c r="A6" t="s">
        <v>2208</v>
      </c>
      <c r="B6">
        <v>32</v>
      </c>
    </row>
    <row r="7" spans="1:3" x14ac:dyDescent="0.3">
      <c r="B7">
        <f>SUM(B2:B6)</f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</row>
    <row r="4" spans="1:18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5" priority="1"/>
  </conditionalFormatting>
  <conditionalFormatting sqref="L500:L1048576 L7:L498">
    <cfRule type="duplicateValues" dxfId="4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zoomScale="70" zoomScaleNormal="70" workbookViewId="0">
      <pane ySplit="7" topLeftCell="A8" activePane="bottomLeft" state="frozen"/>
      <selection pane="bottomLeft" activeCell="E7" sqref="E7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42" t="s">
        <v>2147</v>
      </c>
      <c r="B3" s="42"/>
      <c r="C3" s="42"/>
      <c r="D3" s="42"/>
      <c r="E3" s="42"/>
      <c r="F3" s="42"/>
      <c r="G3" s="42"/>
      <c r="H3" s="36"/>
    </row>
    <row r="4" spans="1:9" ht="17.399999999999999" x14ac:dyDescent="0.25">
      <c r="A4" s="42"/>
      <c r="B4" s="42"/>
      <c r="C4" s="42"/>
      <c r="D4" s="42"/>
      <c r="E4" s="42"/>
      <c r="F4" s="42"/>
      <c r="G4" s="42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40" t="s">
        <v>2196</v>
      </c>
      <c r="F7" s="33" t="s">
        <v>2145</v>
      </c>
      <c r="G7" s="3" t="s">
        <v>2146</v>
      </c>
      <c r="H7" s="39" t="s">
        <v>2197</v>
      </c>
      <c r="I7" s="38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2198</v>
      </c>
      <c r="F8" s="24">
        <v>3015351260</v>
      </c>
      <c r="G8" s="8" t="s">
        <v>1849</v>
      </c>
      <c r="H8" s="24" t="s">
        <v>125</v>
      </c>
      <c r="I8" s="37" t="str">
        <f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 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7" t="str">
        <f t="shared" ref="I9:I72" si="1">CONCATENATE("INSERT INTO `parqueadero`.`conductor` (`",$A$7,"`, `",$B$7,"`, `",$C$7,"`, `",$D$7,"`, `",$E$7,"`, `",$F$7,"`, `",$G$7,"`, `",$H$7,"`) VALUES ('",A9,"','",B9,"','",C9,"','",D9,"','",E9,"','",F9,"','",G9,"','",H9,"');" )</f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125</v>
      </c>
      <c r="I10" s="37" t="str">
        <f t="shared" si="1"/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 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125</v>
      </c>
      <c r="I11" s="37" t="str">
        <f t="shared" si="1"/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 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125</v>
      </c>
      <c r="I12" s="37" t="str">
        <f t="shared" si="1"/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 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7" t="str">
        <f t="shared" si="1"/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125</v>
      </c>
      <c r="I14" s="37" t="str">
        <f t="shared" si="1"/>
        <v>INSERT INTO `parqueadero`.`conductor` (`Oid`, `IdConductor`, `Nombre`, `Area`, `Piso`, `Celular`, `correo`, `Vinculacion`) VALUES ('7','1019025949','ALEJANDRA LONDOÑO REYES','Despacho','','3134801116','alondono@habitatbogota.gov.co','CONTRATISTA 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125</v>
      </c>
      <c r="I15" s="37" t="str">
        <f t="shared" si="1"/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 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125</v>
      </c>
      <c r="I16" s="37" t="str">
        <f t="shared" si="1"/>
        <v>INSERT INTO `parqueadero`.`conductor` (`Oid`, `IdConductor`, `Nombre`, `Area`, `Piso`, `Celular`, `correo`, `Vinculacion`) VALUES ('9','1017140531','ALEX CORREA','Dirección de Operaciones','','3006972526','alex.correa@habitatbogota.gov.co','CONTRATISTA 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7" t="str">
        <f t="shared" si="1"/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125</v>
      </c>
      <c r="I18" s="37" t="str">
        <f t="shared" si="1"/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 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125</v>
      </c>
      <c r="I19" s="37" t="str">
        <f t="shared" si="1"/>
        <v>INSERT INTO `parqueadero`.`conductor` (`Oid`, `IdConductor`, `Nombre`, `Area`, `Piso`, `Celular`, `correo`, `Vinculacion`) VALUES ('12','10288931','ALFREDO GOMEZ ARBOLEDA','Subsecretaría Corporativa','','3176767882','alfredo.gomez@habitatbogota.gov.co','CONTRATISTA 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7" t="str">
        <f t="shared" si="1"/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125</v>
      </c>
      <c r="I21" s="37" t="str">
        <f t="shared" si="1"/>
        <v>INSERT INTO `parqueadero`.`conductor` (`Oid`, `IdConductor`, `Nombre`, `Area`, `Piso`, `Celular`, `correo`, `Vinculacion`) VALUES ('14','80268446','ALVARO BARRETO LUGO','Subsecretaría de Vivienda','','3157902737','alvaro.barreto@habitatbogota.gov.co','CONTRATISTA ');</v>
      </c>
    </row>
    <row r="22" spans="1:9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/>
      <c r="F22" s="6">
        <v>3213712008</v>
      </c>
      <c r="G22" s="8" t="s">
        <v>347</v>
      </c>
      <c r="H22" s="24" t="s">
        <v>125</v>
      </c>
      <c r="I22" s="37" t="str">
        <f t="shared" si="1"/>
        <v>INSERT INTO `parqueadero`.`conductor` (`Oid`, `IdConductor`, `Nombre`, `Area`, `Piso`, `Celular`, `correo`, `Vinculacion`) VALUES ('15','1020767847','AMMY JULIETH MORA PARRALES ','Dirección de Operaciones','','3213712008','ammy.mora@habitatbogota.gov.co','CONTRATISTA ');</v>
      </c>
    </row>
    <row r="23" spans="1:9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6"/>
      <c r="F23" s="17">
        <v>3204174797</v>
      </c>
      <c r="G23" s="8" t="s">
        <v>1484</v>
      </c>
      <c r="H23" s="24" t="s">
        <v>125</v>
      </c>
      <c r="I23" s="37" t="str">
        <f t="shared" si="1"/>
        <v>INSERT INTO `parqueadero`.`conductor` (`Oid`, `IdConductor`, `Nombre`, `Area`, `Piso`, `Celular`, `correo`, `Vinculacion`) VALUES ('16','52883834','ANA AMELIA AVILA PALACIOS ','Oficina de Participación y Relacionamiento con la Ciudadanía','','3204174797','ana.avila@habitatbogota.gov.co','CONTRATISTA ');</v>
      </c>
    </row>
    <row r="24" spans="1:9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6"/>
      <c r="F24" s="17">
        <v>3017008600</v>
      </c>
      <c r="G24" s="8" t="s">
        <v>456</v>
      </c>
      <c r="H24" s="24" t="s">
        <v>125</v>
      </c>
      <c r="I24" s="37" t="str">
        <f t="shared" si="1"/>
        <v>INSERT INTO `parqueadero`.`conductor` (`Oid`, `IdConductor`, `Nombre`, `Area`, `Piso`, `Celular`, `correo`, `Vinculacion`) VALUES ('17','49606615','ANA CAROLINA ARAÚJO CHÁVEZ ','Dirección de Investigaciones y Control de Vivienda','','3017008600','ana.araujo@habitatbogota.gov.co','CONTRATISTA ');</v>
      </c>
    </row>
    <row r="25" spans="1:9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/>
      <c r="F25" s="6">
        <v>3112818293</v>
      </c>
      <c r="G25" s="8" t="s">
        <v>1145</v>
      </c>
      <c r="H25" s="24" t="s">
        <v>125</v>
      </c>
      <c r="I25" s="37" t="str">
        <f t="shared" si="1"/>
        <v>INSERT INTO `parqueadero`.`conductor` (`Oid`, `IdConductor`, `Nombre`, `Area`, `Piso`, `Celular`, `correo`, `Vinculacion`) VALUES ('18','52226898','ANA JUDITH ABREU MURCIA ','Dirección de Apoyo a la Contrucción','','3112818293','ana.abreu@habitatbogota.gov.co','CONTRATISTA 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125</v>
      </c>
      <c r="I26" s="37" t="str">
        <f t="shared" si="1"/>
        <v>INSERT INTO `parqueadero`.`conductor` (`Oid`, `IdConductor`, `Nombre`, `Area`, `Piso`, `Celular`, `correo`, `Vinculacion`) VALUES ('19','52454937','ANA MARIA PATIÑO DURÁN','Dirección de Operaciones','','3124328572','ana.patino@habitatbogota.gov.co','CONTRATISTA 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125</v>
      </c>
      <c r="I27" s="37" t="str">
        <f t="shared" si="1"/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 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125</v>
      </c>
      <c r="I28" s="37" t="str">
        <f t="shared" si="1"/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 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125</v>
      </c>
      <c r="I29" s="37" t="str">
        <f t="shared" si="1"/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 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125</v>
      </c>
      <c r="I30" s="37" t="str">
        <f t="shared" si="1"/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 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125</v>
      </c>
      <c r="I31" s="37" t="str">
        <f t="shared" si="1"/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 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125</v>
      </c>
      <c r="I32" s="37" t="str">
        <f t="shared" si="1"/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 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7" t="str">
        <f t="shared" si="1"/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125</v>
      </c>
      <c r="I34" s="37" t="str">
        <f t="shared" si="1"/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 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125</v>
      </c>
      <c r="I35" s="37" t="str">
        <f t="shared" si="1"/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 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125</v>
      </c>
      <c r="I36" s="37" t="str">
        <f t="shared" si="1"/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 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125</v>
      </c>
      <c r="I37" s="37" t="str">
        <f t="shared" si="1"/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 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 t="s">
        <v>2200</v>
      </c>
      <c r="F38" s="6">
        <v>3208732659</v>
      </c>
      <c r="G38" s="8" t="s">
        <v>1488</v>
      </c>
      <c r="H38" s="24" t="s">
        <v>125</v>
      </c>
      <c r="I38" s="37" t="str">
        <f t="shared" si="1"/>
        <v>INSERT INTO `parqueadero`.`conductor` (`Oid`, `IdConductor`, `Nombre`, `Area`, `Piso`, `Celular`, `correo`, `Vinculacion`) VALUES ('31','80206130','ANDRES FELIPE VILLAMIL CASTRO','Dirección Financiera','Piso 11','3208732659','andres.villamilc@habotatbogota.gov.co','CONTRATISTA 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125</v>
      </c>
      <c r="I39" s="37" t="str">
        <f t="shared" si="1"/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 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125</v>
      </c>
      <c r="I40" s="37" t="str">
        <f t="shared" si="1"/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 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125</v>
      </c>
      <c r="I41" s="37" t="str">
        <f t="shared" si="1"/>
        <v>INSERT INTO `parqueadero`.`conductor` (`Oid`, `IdConductor`, `Nombre`, `Area`, `Piso`, `Celular`, `correo`, `Vinculacion`) VALUES ('34','79867029','ANDRES TRUJILLO MAZA','Subsecretaría Jurídica','','3157310092','andres.trujillo@habitatbogota.gov.co','CONTRATISTA 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125</v>
      </c>
      <c r="I42" s="37" t="str">
        <f t="shared" si="1"/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 ');</v>
      </c>
    </row>
    <row r="43" spans="1:9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/>
      <c r="F43" s="6">
        <v>3118191247</v>
      </c>
      <c r="G43" s="8" t="s">
        <v>149</v>
      </c>
      <c r="H43" s="24" t="s">
        <v>125</v>
      </c>
      <c r="I43" s="37" t="str">
        <f t="shared" si="1"/>
        <v>INSERT INTO `parqueadero`.`conductor` (`Oid`, `IdConductor`, `Nombre`, `Area`, `Piso`, `Celular`, `correo`, `Vinculacion`) VALUES ('36','52918998','ANGELA MILENA LATORRE RODRÍGUEZ ','Dirección de Financiación de Vivienda','','3118191247','angela.latorre@habitatbogota.gov.co','CONTRATISTA 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125</v>
      </c>
      <c r="I44" s="37" t="str">
        <f t="shared" si="1"/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 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125</v>
      </c>
      <c r="I45" s="37" t="str">
        <f t="shared" si="1"/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 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125</v>
      </c>
      <c r="I46" s="37" t="str">
        <f t="shared" si="1"/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 ');</v>
      </c>
    </row>
    <row r="47" spans="1:9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/>
      <c r="F47" s="6">
        <v>3118427497</v>
      </c>
      <c r="G47" s="8" t="s">
        <v>1366</v>
      </c>
      <c r="H47" s="24" t="s">
        <v>125</v>
      </c>
      <c r="I47" s="37" t="str">
        <f t="shared" si="1"/>
        <v>INSERT INTO `parqueadero`.`conductor` (`Oid`, `IdConductor`, `Nombre`, `Area`, `Piso`, `Celular`, `correo`, `Vinculacion`) VALUES ('40','1030623723','ANGELICA QUIÑONES CARRILLO ','Dirección de Operaciones','','3118427497','angelica.quinones@habitatbogota.gov.co','CONTRATISTA 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125</v>
      </c>
      <c r="I48" s="37" t="str">
        <f t="shared" si="1"/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 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125</v>
      </c>
      <c r="I49" s="37" t="str">
        <f t="shared" si="1"/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 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2198</v>
      </c>
      <c r="F50" s="13">
        <v>3209654372</v>
      </c>
      <c r="G50" s="8" t="s">
        <v>1869</v>
      </c>
      <c r="H50" s="24" t="s">
        <v>125</v>
      </c>
      <c r="I50" s="37" t="str">
        <f t="shared" si="1"/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 ');</v>
      </c>
    </row>
    <row r="51" spans="1:9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/>
      <c r="F51" s="6">
        <v>3002719624</v>
      </c>
      <c r="G51" s="8" t="s">
        <v>941</v>
      </c>
      <c r="H51" s="24" t="s">
        <v>125</v>
      </c>
      <c r="I51" s="37" t="str">
        <f t="shared" si="1"/>
        <v>INSERT INTO `parqueadero`.`conductor` (`Oid`, `IdConductor`, `Nombre`, `Area`, `Piso`, `Celular`, `correo`, `Vinculacion`) VALUES ('44','1140847934','ANTONIO DAVID MARTINEZ VARGAS ','Oficina de Participación y Relacionamiento con la Ciudadanía','','3002719624','antonio.martinez@habitatbogota.gov.co','CONTRATISTA 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125</v>
      </c>
      <c r="I52" s="37" t="str">
        <f t="shared" si="1"/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 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125</v>
      </c>
      <c r="I53" s="37" t="str">
        <f t="shared" si="1"/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 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7" t="str">
        <f t="shared" si="1"/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/>
      <c r="F55" s="6">
        <v>3013641971</v>
      </c>
      <c r="G55" s="8" t="s">
        <v>680</v>
      </c>
      <c r="H55" s="24" t="s">
        <v>125</v>
      </c>
      <c r="I55" s="37" t="str">
        <f t="shared" si="1"/>
        <v>INSERT INTO `parqueadero`.`conductor` (`Oid`, `IdConductor`, `Nombre`, `Area`, `Piso`, `Celular`, `correo`, `Vinculacion`) VALUES ('48','1233895766','BRIAN FELIPE PINILLA GARZÓN ','Dirección de Financiación de Vivienda','','3013641971','brian.pinilla@habitatbogota.gov.co','CONTRATISTA 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125</v>
      </c>
      <c r="I56" s="37" t="str">
        <f t="shared" si="1"/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 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 t="s">
        <v>2200</v>
      </c>
      <c r="F57" s="17">
        <v>3045210163</v>
      </c>
      <c r="G57" s="8" t="s">
        <v>1561</v>
      </c>
      <c r="H57" s="24" t="s">
        <v>125</v>
      </c>
      <c r="I57" s="37" t="str">
        <f t="shared" si="1"/>
        <v>INSERT INTO `parqueadero`.`conductor` (`Oid`, `IdConductor`, `Nombre`, `Area`, `Piso`, `Celular`, `correo`, `Vinculacion`) VALUES ('50','1018466744','CAMILO IBARRA CUBILLOS','Dirección Financiera','Piso 11','3045210163','camilo.cubillos@habitatbogota.gov.co','CONTRATISTA 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125</v>
      </c>
      <c r="I58" s="37" t="str">
        <f t="shared" si="1"/>
        <v>INSERT INTO `parqueadero`.`conductor` (`Oid`, `IdConductor`, `Nombre`, `Area`, `Piso`, `Celular`, `correo`, `Vinculacion`) VALUES ('51','80135858','CAMILO MORALES MOSQUERA','Despacho','','3138863236','camilo.morales@habitatbogota.gov.co','CONTRATISTA 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2198</v>
      </c>
      <c r="F59" s="6">
        <v>3158688113</v>
      </c>
      <c r="G59" s="8" t="s">
        <v>1686</v>
      </c>
      <c r="H59" s="24" t="s">
        <v>125</v>
      </c>
      <c r="I59" s="37" t="str">
        <f t="shared" si="1"/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 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7" t="str">
        <f t="shared" si="1"/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125</v>
      </c>
      <c r="I61" s="37" t="str">
        <f t="shared" si="1"/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 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125</v>
      </c>
      <c r="I62" s="37" t="str">
        <f t="shared" si="1"/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 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125</v>
      </c>
      <c r="I63" s="37" t="str">
        <f t="shared" si="1"/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 ');</v>
      </c>
    </row>
    <row r="64" spans="1:9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/>
      <c r="F64" s="6">
        <v>3212687523</v>
      </c>
      <c r="G64" s="8" t="s">
        <v>914</v>
      </c>
      <c r="H64" s="24" t="s">
        <v>125</v>
      </c>
      <c r="I64" s="37" t="str">
        <f t="shared" si="1"/>
        <v>INSERT INTO `parqueadero`.`conductor` (`Oid`, `IdConductor`, `Nombre`, `Area`, `Piso`, `Celular`, `correo`, `Vinculacion`) VALUES ('57','80129534','CARLOS ANDRÉS MÉNDEZ MOJICA ','Dirección de Financiación de Vivienda','','3212687523','carlos.mendez@habitatbogota.gov.co','CONTRATISTA ');</v>
      </c>
    </row>
    <row r="65" spans="1:9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/>
      <c r="F65" s="6">
        <v>3164571547</v>
      </c>
      <c r="G65" s="8" t="s">
        <v>174</v>
      </c>
      <c r="H65" s="24" t="s">
        <v>125</v>
      </c>
      <c r="I65" s="37" t="str">
        <f t="shared" si="1"/>
        <v>INSERT INTO `parqueadero`.`conductor` (`Oid`, `IdConductor`, `Nombre`, `Area`, `Piso`, `Celular`, `correo`, `Vinculacion`) VALUES ('58','9975124','CARLOS ANDRÉS RIVERA TRIVIÑO ','Oficina Asesora de Comunicaciones','','3164571547','carlos.riverat@habitatbogota.gov.co','CONTRATISTA 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125</v>
      </c>
      <c r="I66" s="37" t="str">
        <f t="shared" si="1"/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 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125</v>
      </c>
      <c r="I67" s="37" t="str">
        <f t="shared" si="1"/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 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125</v>
      </c>
      <c r="I68" s="37" t="str">
        <f t="shared" si="1"/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 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125</v>
      </c>
      <c r="I69" s="37" t="str">
        <f t="shared" si="1"/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 ');</v>
      </c>
    </row>
    <row r="70" spans="1:9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/>
      <c r="F70" s="6">
        <v>3213057575</v>
      </c>
      <c r="G70" s="8" t="s">
        <v>866</v>
      </c>
      <c r="H70" s="24" t="s">
        <v>125</v>
      </c>
      <c r="I70" s="37" t="str">
        <f t="shared" si="1"/>
        <v>INSERT INTO `parqueadero`.`conductor` (`Oid`, `IdConductor`, `Nombre`, `Area`, `Piso`, `Celular`, `correo`, `Vinculacion`) VALUES ('63','1010196659','CARLOS FABIÁN HAMON ALARCÓN ','Dirección de Financiación de Vivienda','','3213057575','carlos.hamon@habitatbogota.goc.co','CONTRATISTA 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125</v>
      </c>
      <c r="I71" s="37" t="str">
        <f t="shared" si="1"/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 ');</v>
      </c>
    </row>
    <row r="72" spans="1:9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7" t="str">
        <f t="shared" si="1"/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7" t="str">
        <f t="shared" ref="I73:I136" si="3">CONCATENATE("INSERT INTO `parqueadero`.`conductor` (`",$A$7,"`, `",$B$7,"`, `",$C$7,"`, `",$D$7,"`, `",$E$7,"`, `",$F$7,"`, `",$G$7,"`, `",$H$7,"`) VALUES ('",A73,"','",B73,"','",C73,"','",D73,"','",E73,"','",F73,"','",G73,"','",H73,"');" )</f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7" t="str">
        <f t="shared" si="3"/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125</v>
      </c>
      <c r="I75" s="37" t="str">
        <f t="shared" si="3"/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 ');</v>
      </c>
    </row>
    <row r="76" spans="1:9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125</v>
      </c>
      <c r="I76" s="37" t="str">
        <f t="shared" si="3"/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 ');</v>
      </c>
    </row>
    <row r="77" spans="1:9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6"/>
      <c r="F77" s="17">
        <v>3132523070</v>
      </c>
      <c r="G77" s="8" t="s">
        <v>804</v>
      </c>
      <c r="H77" s="24" t="s">
        <v>125</v>
      </c>
      <c r="I77" s="37" t="str">
        <f t="shared" si="3"/>
        <v>INSERT INTO `parqueadero`.`conductor` (`Oid`, `IdConductor`, `Nombre`, `Area`, `Piso`, `Celular`, `correo`, `Vinculacion`) VALUES ('70','52494966','CAROL ANDREA GARCÍA GARZÓN ','Dirección de Investigaciones y Control de Vivienda','','3132523070','carol.garcia@habitatbogota.gov.co','CONTRATISTA ');</v>
      </c>
    </row>
    <row r="78" spans="1:9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7" t="str">
        <f t="shared" si="3"/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125</v>
      </c>
      <c r="I79" s="37" t="str">
        <f t="shared" si="3"/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 ');</v>
      </c>
    </row>
    <row r="80" spans="1:9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125</v>
      </c>
      <c r="I80" s="37" t="str">
        <f t="shared" si="3"/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 ');</v>
      </c>
    </row>
    <row r="81" spans="1:9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7" t="str">
        <f t="shared" si="3"/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125</v>
      </c>
      <c r="I82" s="37" t="str">
        <f t="shared" si="3"/>
        <v>INSERT INTO `parqueadero`.`conductor` (`Oid`, `IdConductor`, `Nombre`, `Area`, `Piso`, `Celular`, `correo`, `Vinculacion`) VALUES ('75','80543468','CESAR AUGUSTO POVEDA HERNANDEZ','Subsecretaría de Vivienda','','3108847606','pove79@hotmail.com','CONTRATISTA ');</v>
      </c>
    </row>
    <row r="83" spans="1:9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125</v>
      </c>
      <c r="I83" s="37" t="str">
        <f t="shared" si="3"/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 ');</v>
      </c>
    </row>
    <row r="84" spans="1:9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6"/>
      <c r="F84" s="17">
        <v>3102141909</v>
      </c>
      <c r="G84" s="8" t="s">
        <v>581</v>
      </c>
      <c r="H84" s="24" t="s">
        <v>125</v>
      </c>
      <c r="I84" s="37" t="str">
        <f t="shared" si="3"/>
        <v>INSERT INTO `parqueadero`.`conductor` (`Oid`, `IdConductor`, `Nombre`, `Area`, `Piso`, `Celular`, `correo`, `Vinculacion`) VALUES ('77','85203798','CESAR MIGUEL CASERES DIAZ ','Subsecretaría de Inspección Vigilancia y Control de Vivienda','','3102141909','césar.caseres@habitatbogota.gov.co','CONTRATISTA ');</v>
      </c>
    </row>
    <row r="85" spans="1:9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125</v>
      </c>
      <c r="I85" s="37" t="str">
        <f t="shared" si="3"/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 ');</v>
      </c>
    </row>
    <row r="86" spans="1:9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6" t="s">
        <v>2198</v>
      </c>
      <c r="F86" s="17">
        <v>3154532732</v>
      </c>
      <c r="G86" s="8" t="s">
        <v>31</v>
      </c>
      <c r="H86" s="24" t="s">
        <v>125</v>
      </c>
      <c r="I86" s="37" t="str">
        <f t="shared" si="3"/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 ');</v>
      </c>
    </row>
    <row r="87" spans="1:9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125</v>
      </c>
      <c r="I87" s="37" t="str">
        <f t="shared" si="3"/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 ');</v>
      </c>
    </row>
    <row r="88" spans="1:9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125</v>
      </c>
      <c r="I88" s="37" t="str">
        <f t="shared" si="3"/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 ');</v>
      </c>
    </row>
    <row r="89" spans="1:9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125</v>
      </c>
      <c r="I89" s="37" t="str">
        <f t="shared" si="3"/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 ');</v>
      </c>
    </row>
    <row r="90" spans="1:9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 t="s">
        <v>2198</v>
      </c>
      <c r="F90" s="6">
        <v>3232341517</v>
      </c>
      <c r="G90" s="8" t="s">
        <v>567</v>
      </c>
      <c r="H90" s="24" t="s">
        <v>125</v>
      </c>
      <c r="I90" s="37" t="str">
        <f t="shared" si="3"/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 ');</v>
      </c>
    </row>
    <row r="91" spans="1:9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/>
      <c r="F91" s="6">
        <v>3103268056</v>
      </c>
      <c r="G91" s="8" t="s">
        <v>554</v>
      </c>
      <c r="H91" s="24" t="s">
        <v>125</v>
      </c>
      <c r="I91" s="37" t="str">
        <f t="shared" si="3"/>
        <v>INSERT INTO `parqueadero`.`conductor` (`Oid`, `IdConductor`, `Nombre`, `Area`, `Piso`, `Celular`, `correo`, `Vinculacion`) VALUES ('84','52715205','CLAUDIA ALEJANDRA REYES GARCÍA ','Oficina de Participación y Relacionamiento con la Ciudadanía','','3103268056','claudia.reyes@habitatbogota.gov.co','CONTRATISTA ');</v>
      </c>
    </row>
    <row r="92" spans="1:9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7" t="str">
        <f t="shared" si="3"/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 t="s">
        <v>2198</v>
      </c>
      <c r="F93" s="6">
        <v>3108023562</v>
      </c>
      <c r="G93" s="8" t="s">
        <v>1169</v>
      </c>
      <c r="H93" s="24" t="s">
        <v>119</v>
      </c>
      <c r="I93" s="37" t="str">
        <f t="shared" si="3"/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125</v>
      </c>
      <c r="I94" s="37" t="str">
        <f t="shared" si="3"/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 ');</v>
      </c>
    </row>
    <row r="95" spans="1:9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 t="s">
        <v>2200</v>
      </c>
      <c r="F95" s="6">
        <v>3104717361</v>
      </c>
      <c r="G95" s="8" t="s">
        <v>520</v>
      </c>
      <c r="H95" s="24" t="s">
        <v>125</v>
      </c>
      <c r="I95" s="37" t="str">
        <f t="shared" si="3"/>
        <v>INSERT INTO `parqueadero`.`conductor` (`Oid`, `IdConductor`, `Nombre`, `Area`, `Piso`, `Celular`, `correo`, `Vinculacion`) VALUES ('88','52096386','CLAUDIA MARCELA LONDOÑO LOPEZ ','Dirección Financiera','Piso 11','3104717361','claudia.londono@habitatbogota.gov.co','CONTRATISTA ');</v>
      </c>
    </row>
    <row r="96" spans="1:9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/>
      <c r="F96" s="6">
        <v>3206522181</v>
      </c>
      <c r="G96" s="8" t="s">
        <v>809</v>
      </c>
      <c r="H96" s="24" t="s">
        <v>125</v>
      </c>
      <c r="I96" s="37" t="str">
        <f t="shared" si="3"/>
        <v>INSERT INTO `parqueadero`.`conductor` (`Oid`, `IdConductor`, `Nombre`, `Area`, `Piso`, `Celular`, `correo`, `Vinculacion`) VALUES ('89','28483877','CLAUDIA PATRICIA RUEDA PLATA ','Dirección de Investigaciones y Control de Vivienda','','3206522181','claudia.rueda@habitatbogota.gov.co','CONTRATISTA ');</v>
      </c>
    </row>
    <row r="97" spans="1:9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125</v>
      </c>
      <c r="I97" s="37" t="str">
        <f t="shared" si="3"/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 ');</v>
      </c>
    </row>
    <row r="98" spans="1:9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125</v>
      </c>
      <c r="I98" s="37" t="str">
        <f t="shared" si="3"/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 ');</v>
      </c>
    </row>
    <row r="99" spans="1:9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/>
      <c r="F99" s="6">
        <v>3163729000</v>
      </c>
      <c r="G99" s="8" t="s">
        <v>1320</v>
      </c>
      <c r="H99" s="24" t="s">
        <v>125</v>
      </c>
      <c r="I99" s="37" t="str">
        <f t="shared" si="3"/>
        <v>INSERT INTO `parqueadero`.`conductor` (`Oid`, `IdConductor`, `Nombre`, `Area`, `Piso`, `Celular`, `correo`, `Vinculacion`) VALUES ('92','1085297902','CRISLY CAROLINA RIVAS ORDOÑEZ ','Dirección de Financiación de Vivienda','','3163729000','crisly.rivas@habitatbogota.gov.co','CONTRATISTA ');</v>
      </c>
    </row>
    <row r="100" spans="1:9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125</v>
      </c>
      <c r="I100" s="37" t="str">
        <f t="shared" si="3"/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 ');</v>
      </c>
    </row>
    <row r="101" spans="1:9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125</v>
      </c>
      <c r="I101" s="37" t="str">
        <f t="shared" si="3"/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 ');</v>
      </c>
    </row>
    <row r="102" spans="1:9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/>
      <c r="F102" s="6">
        <v>0</v>
      </c>
      <c r="G102" s="7" t="s">
        <v>20</v>
      </c>
      <c r="H102" s="24" t="s">
        <v>1280</v>
      </c>
      <c r="I102" s="37" t="str">
        <f t="shared" si="3"/>
        <v>INSERT INTO `parqueadero`.`conductor` (`Oid`, `IdConductor`, `Nombre`, `Area`, `Piso`, `Celular`, `correo`, `Vinculacion`) VALUES ('95','1023946531','CRISTIAN GÓMEZ','Contraloría de Bogotá','','0','NA','EXTERNO');</v>
      </c>
    </row>
    <row r="103" spans="1:9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125</v>
      </c>
      <c r="I103" s="37" t="str">
        <f t="shared" si="3"/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 ');</v>
      </c>
    </row>
    <row r="104" spans="1:9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125</v>
      </c>
      <c r="I104" s="37" t="str">
        <f t="shared" si="3"/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 ');</v>
      </c>
    </row>
    <row r="105" spans="1:9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/>
      <c r="F105" s="6">
        <v>3013370145</v>
      </c>
      <c r="G105" s="8" t="s">
        <v>1302</v>
      </c>
      <c r="H105" s="24" t="s">
        <v>125</v>
      </c>
      <c r="I105" s="37" t="str">
        <f t="shared" si="3"/>
        <v>INSERT INTO `parqueadero`.`conductor` (`Oid`, `IdConductor`, `Nombre`, `Area`, `Piso`, `Celular`, `correo`, `Vinculacion`) VALUES ('98','79688967','DANIEL ARCILA ','Subsecretaría de Vivienda','','3013370145','daniel.arcila@habitatbogota.gov.co','CONTRATISTA ');</v>
      </c>
    </row>
    <row r="106" spans="1:9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125</v>
      </c>
      <c r="I106" s="37" t="str">
        <f t="shared" si="3"/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 ');</v>
      </c>
    </row>
    <row r="107" spans="1:9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125</v>
      </c>
      <c r="I107" s="37" t="str">
        <f t="shared" si="3"/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 ');</v>
      </c>
    </row>
    <row r="108" spans="1:9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125</v>
      </c>
      <c r="I108" s="37" t="str">
        <f t="shared" si="3"/>
        <v>INSERT INTO `parqueadero`.`conductor` (`Oid`, `IdConductor`, `Nombre`, `Area`, `Piso`, `Celular`, `correo`, `Vinculacion`) VALUES ('101','1010213543','DANIEL FABIÁN CASTRO MORA','Gestión Documental','','3104356273','daniel.castro@habitatbogota.gov.co','CONTRATISTA ');</v>
      </c>
    </row>
    <row r="109" spans="1:9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125</v>
      </c>
      <c r="I109" s="37" t="str">
        <f t="shared" si="3"/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 ');</v>
      </c>
    </row>
    <row r="110" spans="1:9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125</v>
      </c>
      <c r="I110" s="37" t="str">
        <f t="shared" si="3"/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 ');</v>
      </c>
    </row>
    <row r="111" spans="1:9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125</v>
      </c>
      <c r="I111" s="37" t="str">
        <f t="shared" si="3"/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 ');</v>
      </c>
    </row>
    <row r="112" spans="1:9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6" t="s">
        <v>2198</v>
      </c>
      <c r="F112" s="13">
        <v>3107723081</v>
      </c>
      <c r="G112" s="8" t="s">
        <v>1801</v>
      </c>
      <c r="H112" s="24" t="s">
        <v>125</v>
      </c>
      <c r="I112" s="37" t="str">
        <f t="shared" si="3"/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 ');</v>
      </c>
    </row>
    <row r="113" spans="1:9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7" t="str">
        <f t="shared" si="3"/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125</v>
      </c>
      <c r="I114" s="37" t="str">
        <f t="shared" si="3"/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 ');</v>
      </c>
    </row>
    <row r="115" spans="1:9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125</v>
      </c>
      <c r="I115" s="37" t="str">
        <f t="shared" si="3"/>
        <v>INSERT INTO `parqueadero`.`conductor` (`Oid`, `IdConductor`, `Nombre`, `Area`, `Piso`, `Celular`, `correo`, `Vinculacion`) VALUES ('108','15173420','DANILO JOSE VILLAZON','Dirección de Operaciones','','3114785383','danilo.villazon@habitatbogota.gov.co','CONTRATISTA ');</v>
      </c>
    </row>
    <row r="116" spans="1:9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125</v>
      </c>
      <c r="I116" s="37" t="str">
        <f t="shared" si="3"/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 ');</v>
      </c>
    </row>
    <row r="117" spans="1:9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/>
      <c r="F117" s="6">
        <v>3012660204</v>
      </c>
      <c r="G117" s="8" t="s">
        <v>1005</v>
      </c>
      <c r="H117" s="24" t="s">
        <v>125</v>
      </c>
      <c r="I117" s="37" t="str">
        <f t="shared" si="3"/>
        <v>INSERT INTO `parqueadero`.`conductor` (`Oid`, `IdConductor`, `Nombre`, `Area`, `Piso`, `Celular`, `correo`, `Vinculacion`) VALUES ('110','1015479089','DAVID LEONARDO MORENO ','Subsecretaría Jurídica','','3012660204','david.morenos@habitatbogota.gov.co','CONTRATISTA ');</v>
      </c>
    </row>
    <row r="118" spans="1:9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125</v>
      </c>
      <c r="I118" s="37" t="str">
        <f t="shared" si="3"/>
        <v>INSERT INTO `parqueadero`.`conductor` (`Oid`, `IdConductor`, `Nombre`, `Area`, `Piso`, `Celular`, `correo`, `Vinculacion`) VALUES ('111','1026275767','DAVID RECIO BARRENECHE','Despacho','','3168683061','david.recio@habitatbogota.gov.co','CONTRATISTA ');</v>
      </c>
    </row>
    <row r="119" spans="1:9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125</v>
      </c>
      <c r="I119" s="37" t="str">
        <f t="shared" si="3"/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 ');</v>
      </c>
    </row>
    <row r="120" spans="1:9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7" t="str">
        <f t="shared" si="3"/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/>
      <c r="F121" s="6">
        <v>3155350751</v>
      </c>
      <c r="G121" s="8" t="s">
        <v>825</v>
      </c>
      <c r="H121" s="24" t="s">
        <v>125</v>
      </c>
      <c r="I121" s="37" t="str">
        <f t="shared" si="3"/>
        <v>INSERT INTO `parqueadero`.`conductor` (`Oid`, `IdConductor`, `Nombre`, `Area`, `Piso`, `Celular`, `correo`, `Vinculacion`) VALUES ('114','1020731626','DIANA CAROLINA GONZALEZ ','Dirección de Operaciones','','3155350751','diana.gonzalez@habitatbogota.gov.co','CONTRATISTA ');</v>
      </c>
    </row>
    <row r="122" spans="1:9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/>
      <c r="F122" s="17">
        <v>3002962851</v>
      </c>
      <c r="G122" s="8" t="s">
        <v>1046</v>
      </c>
      <c r="H122" s="24" t="s">
        <v>125</v>
      </c>
      <c r="I122" s="37" t="str">
        <f t="shared" si="3"/>
        <v>INSERT INTO `parqueadero`.`conductor` (`Oid`, `IdConductor`, `Nombre`, `Area`, `Piso`, `Celular`, `correo`, `Vinculacion`) VALUES ('115','1075257769','DIANA CAROLINA LOSADA RAMÍREZ ','Dirección de Hábitat y Entorno','','3002962851','diana.losada@habitatbogota.gov.co','CONTRATISTA ');</v>
      </c>
    </row>
    <row r="123" spans="1:9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125</v>
      </c>
      <c r="I123" s="37" t="str">
        <f t="shared" si="3"/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 ');</v>
      </c>
    </row>
    <row r="124" spans="1:9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125</v>
      </c>
      <c r="I124" s="37" t="str">
        <f t="shared" si="3"/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 ');</v>
      </c>
    </row>
    <row r="125" spans="1:9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125</v>
      </c>
      <c r="I125" s="37" t="str">
        <f t="shared" si="3"/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 ');</v>
      </c>
    </row>
    <row r="126" spans="1:9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125</v>
      </c>
      <c r="I126" s="37" t="str">
        <f t="shared" si="3"/>
        <v>INSERT INTO `parqueadero`.`conductor` (`Oid`, `IdConductor`, `Nombre`, `Area`, `Piso`, `Celular`, `correo`, `Vinculacion`) VALUES ('119','52057419','DIANA MARCELA PINEDA RODRIGUEZ','Despacho','','3164533485','diana.pineda@habitatbogota.gov.co','CONTRATISTA ');</v>
      </c>
    </row>
    <row r="127" spans="1:9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125</v>
      </c>
      <c r="I127" s="37" t="str">
        <f t="shared" si="3"/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 ');</v>
      </c>
    </row>
    <row r="128" spans="1:9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125</v>
      </c>
      <c r="I128" s="37" t="str">
        <f t="shared" si="3"/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 ');</v>
      </c>
    </row>
    <row r="129" spans="1:9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125</v>
      </c>
      <c r="I129" s="37" t="str">
        <f t="shared" si="3"/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 ');</v>
      </c>
    </row>
    <row r="130" spans="1:9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125</v>
      </c>
      <c r="I130" s="37" t="str">
        <f t="shared" si="3"/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 ');</v>
      </c>
    </row>
    <row r="131" spans="1:9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125</v>
      </c>
      <c r="I131" s="37" t="str">
        <f t="shared" si="3"/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 ');</v>
      </c>
    </row>
    <row r="132" spans="1:9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125</v>
      </c>
      <c r="I132" s="37" t="str">
        <f t="shared" si="3"/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 ');</v>
      </c>
    </row>
    <row r="133" spans="1:9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125</v>
      </c>
      <c r="I133" s="37" t="str">
        <f t="shared" si="3"/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 ');</v>
      </c>
    </row>
    <row r="134" spans="1:9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7" t="str">
        <f t="shared" si="3"/>
        <v>INSERT INTO `parqueadero`.`conductor` (`Oid`, `IdConductor`, `Nombre`, `Area`, `Piso`, `Celular`, `correo`, `Vinculacion`) VALUES ('127','396645660','DORA INOCENCIA CASTILLO VALDERRAMA ','Dirección de Investigaciones y Control de Vivienda','','3108741396','dora.castillov@habitat.gov.co','FUNCIONARIO');</v>
      </c>
    </row>
    <row r="135" spans="1:9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7" t="str">
        <f t="shared" si="3"/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125</v>
      </c>
      <c r="I136" s="37" t="str">
        <f t="shared" si="3"/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 ');</v>
      </c>
    </row>
    <row r="137" spans="1:9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7" t="str">
        <f t="shared" ref="I137:I200" si="5">CONCATENATE("INSERT INTO `parqueadero`.`conductor` (`",$A$7,"`, `",$B$7,"`, `",$C$7,"`, `",$D$7,"`, `",$E$7,"`, `",$F$7,"`, `",$G$7,"`, `",$H$7,"`) VALUES ('",A137,"','",B137,"','",C137,"','",D137,"','",E137,"','",F137,"','",G137,"','",H137,"');" )</f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7" t="str">
        <f t="shared" si="5"/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7" t="str">
        <f t="shared" si="5"/>
        <v>INSERT INTO `parqueadero`.`conductor` (`Oid`, `IdConductor`, `Nombre`, `Area`, `Piso`, `Celular`, `correo`, `Vinculacion`) VALUES ('132','71761674','EDISON RESTREPO CEBALLOS ','Dirección de Información de Políticas Públicas','','3212042506','edison.restrepo@habitatbogota.gov.co','FUNCIONARIO');</v>
      </c>
    </row>
    <row r="140" spans="1:9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125</v>
      </c>
      <c r="I140" s="37" t="str">
        <f t="shared" si="5"/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 ');</v>
      </c>
    </row>
    <row r="141" spans="1:9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125</v>
      </c>
      <c r="I141" s="37" t="str">
        <f t="shared" si="5"/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 ');</v>
      </c>
    </row>
    <row r="142" spans="1:9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125</v>
      </c>
      <c r="I142" s="37" t="str">
        <f t="shared" si="5"/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 ');</v>
      </c>
    </row>
    <row r="143" spans="1:9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17"/>
      <c r="F143" s="6">
        <v>3104785629</v>
      </c>
      <c r="G143" s="8" t="s">
        <v>665</v>
      </c>
      <c r="H143" s="24" t="s">
        <v>125</v>
      </c>
      <c r="I143" s="37" t="str">
        <f t="shared" si="5"/>
        <v>INSERT INTO `parqueadero`.`conductor` (`Oid`, `IdConductor`, `Nombre`, `Area`, `Piso`, `Celular`, `correo`, `Vinculacion`) VALUES ('136','1019023084','EDUARDO CONTA MARTINEZ ','Despacho','','3104785629','arnold.conta@habitatbogota.gov.co','CONTRATISTA ');</v>
      </c>
    </row>
    <row r="144" spans="1:9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125</v>
      </c>
      <c r="I144" s="37" t="str">
        <f t="shared" si="5"/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 ');</v>
      </c>
    </row>
    <row r="145" spans="1:9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125</v>
      </c>
      <c r="I145" s="37" t="str">
        <f t="shared" si="5"/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 ');</v>
      </c>
    </row>
    <row r="146" spans="1:9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125</v>
      </c>
      <c r="I146" s="37" t="str">
        <f t="shared" si="5"/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 ');</v>
      </c>
    </row>
    <row r="147" spans="1:9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 t="s">
        <v>2198</v>
      </c>
      <c r="F147" s="6">
        <v>3142398567</v>
      </c>
      <c r="G147" s="8" t="s">
        <v>1967</v>
      </c>
      <c r="H147" s="24" t="s">
        <v>125</v>
      </c>
      <c r="I147" s="37" t="str">
        <f t="shared" si="5"/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 ');</v>
      </c>
    </row>
    <row r="148" spans="1:9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7" t="str">
        <f t="shared" si="5"/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 t="s">
        <v>2200</v>
      </c>
      <c r="F149" s="6">
        <v>3008790148</v>
      </c>
      <c r="G149" s="8" t="s">
        <v>1479</v>
      </c>
      <c r="H149" s="24" t="s">
        <v>1280</v>
      </c>
      <c r="I149" s="37" t="str">
        <f t="shared" si="5"/>
        <v>INSERT INTO `parqueadero`.`conductor` (`Oid`, `IdConductor`, `Nombre`, `Area`, `Piso`, `Celular`, `correo`, `Vinculacion`) VALUES ('142','32711441','ELIZABETH MOZO CRUZ','Dirección Financiera','Piso 11','3008790148','elizabeth.mozo@aspsols.com','EXTERNO');</v>
      </c>
    </row>
    <row r="150" spans="1:9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 t="s">
        <v>2198</v>
      </c>
      <c r="F150" s="6">
        <v>3013739116</v>
      </c>
      <c r="G150" s="8" t="s">
        <v>1992</v>
      </c>
      <c r="H150" s="24" t="s">
        <v>125</v>
      </c>
      <c r="I150" s="37" t="str">
        <f t="shared" si="5"/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 ');</v>
      </c>
    </row>
    <row r="151" spans="1:9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7" t="str">
        <f t="shared" si="5"/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125</v>
      </c>
      <c r="I152" s="37" t="str">
        <f t="shared" si="5"/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 ');</v>
      </c>
    </row>
    <row r="153" spans="1:9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125</v>
      </c>
      <c r="I153" s="37" t="str">
        <f t="shared" si="5"/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 ');</v>
      </c>
    </row>
    <row r="154" spans="1:9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125</v>
      </c>
      <c r="I154" s="37" t="str">
        <f t="shared" si="5"/>
        <v>INSERT INTO `parqueadero`.`conductor` (`Oid`, `IdConductor`, `Nombre`, `Area`, `Piso`, `Celular`, `correo`, `Vinculacion`) VALUES ('147','1019093180','EVELIN PEÑA TOMANN','Dirección de Operaciones','','3022498107','evelin.pena@habitatbogota.gov.co','CONTRATISTA ');</v>
      </c>
    </row>
    <row r="155" spans="1:9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125</v>
      </c>
      <c r="I155" s="37" t="str">
        <f t="shared" si="5"/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 ');</v>
      </c>
    </row>
    <row r="156" spans="1:9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17"/>
      <c r="F156" s="6">
        <v>3203872487</v>
      </c>
      <c r="G156" s="8" t="s">
        <v>235</v>
      </c>
      <c r="H156" s="24" t="s">
        <v>125</v>
      </c>
      <c r="I156" s="37" t="str">
        <f t="shared" si="5"/>
        <v>INSERT INTO `parqueadero`.`conductor` (`Oid`, `IdConductor`, `Nombre`, `Area`, `Piso`, `Celular`, `correo`, `Vinculacion`) VALUES ('149','1030524007','FELIX ALEXANDER LOPEZ ANZOLA ','Despacho','','3203872487','felix.lopez@habitatbogota.gov.co','CONTRATISTA ');</v>
      </c>
    </row>
    <row r="157" spans="1:9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/>
      <c r="F157" s="6">
        <v>3192525405</v>
      </c>
      <c r="G157" s="8" t="s">
        <v>420</v>
      </c>
      <c r="H157" s="24" t="s">
        <v>125</v>
      </c>
      <c r="I157" s="37" t="str">
        <f t="shared" si="5"/>
        <v>INSERT INTO `parqueadero`.`conductor` (`Oid`, `IdConductor`, `Nombre`, `Area`, `Piso`, `Celular`, `correo`, `Vinculacion`) VALUES ('150','79466477','FERNANDO BARBOSA OSORIO ','Dirección de Operaciones','','3192525405','fernando.barbosa@habitatbogota.gov.co','CONTRATISTA ');</v>
      </c>
    </row>
    <row r="158" spans="1:9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125</v>
      </c>
      <c r="I158" s="37" t="str">
        <f t="shared" si="5"/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 ');</v>
      </c>
    </row>
    <row r="159" spans="1:9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7" t="str">
        <f t="shared" si="5"/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125</v>
      </c>
      <c r="I160" s="37" t="str">
        <f t="shared" si="5"/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 ');</v>
      </c>
    </row>
    <row r="161" spans="1:9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7" t="str">
        <f t="shared" si="5"/>
        <v>INSERT INTO `parqueadero`.`conductor` (`Oid`, `IdConductor`, `Nombre`, `Area`, `Piso`, `Celular`, `correo`, `Vinculacion`) VALUES ('154','1042417351','FRANCISCO PÉREZ MARTÍNEZ ','Oficina de Control Disciplinario Interno','','3103832562','francisco.perez@habitatbogota.gov.co','FUNCIONARIO');</v>
      </c>
    </row>
    <row r="162" spans="1:9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125</v>
      </c>
      <c r="I162" s="37" t="str">
        <f t="shared" si="5"/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 ');</v>
      </c>
    </row>
    <row r="163" spans="1:9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125</v>
      </c>
      <c r="I163" s="37" t="str">
        <f t="shared" si="5"/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 ');</v>
      </c>
    </row>
    <row r="164" spans="1:9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125</v>
      </c>
      <c r="I164" s="37" t="str">
        <f t="shared" si="5"/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 ');</v>
      </c>
    </row>
    <row r="165" spans="1:9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 t="s">
        <v>2198</v>
      </c>
      <c r="F165" s="6">
        <v>2996355</v>
      </c>
      <c r="G165" s="8" t="s">
        <v>1444</v>
      </c>
      <c r="H165" s="24" t="s">
        <v>119</v>
      </c>
      <c r="I165" s="37" t="str">
        <f t="shared" si="5"/>
        <v>INSERT INTO `parqueadero`.`conductor` (`Oid`, `IdConductor`, `Nombre`, `Area`, `Piso`, `Celular`, `correo`, `Vinculacion`) VALUES ('158','2996355','FREDY DARIO CRUZ GARCÍA ','Dirección Administrativa','Piso 12','2996355','fredy.cruz@habitatbogota.gov.co','FUNCIONARIO');</v>
      </c>
    </row>
    <row r="166" spans="1:9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125</v>
      </c>
      <c r="I166" s="37" t="str">
        <f t="shared" si="5"/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 ');</v>
      </c>
    </row>
    <row r="167" spans="1:9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125</v>
      </c>
      <c r="I167" s="37" t="str">
        <f t="shared" si="5"/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 ');</v>
      </c>
    </row>
    <row r="168" spans="1:9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 t="s">
        <v>2200</v>
      </c>
      <c r="F168" s="6">
        <v>3212732590</v>
      </c>
      <c r="G168" s="8" t="s">
        <v>313</v>
      </c>
      <c r="H168" s="24" t="s">
        <v>125</v>
      </c>
      <c r="I168" s="37" t="str">
        <f t="shared" si="5"/>
        <v>INSERT INTO `parqueadero`.`conductor` (`Oid`, `IdConductor`, `Nombre`, `Area`, `Piso`, `Celular`, `correo`, `Vinculacion`) VALUES ('161','1010222727','GERMAN ANDRES ORTIZ SABOGAL','Dirección Financiera','Piso 11','3212732590','german.ortiz@habitatbogota.gov.co','CONTRATISTA ');</v>
      </c>
    </row>
    <row r="169" spans="1:9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6" t="s">
        <v>2198</v>
      </c>
      <c r="F169" s="17">
        <v>3204437547</v>
      </c>
      <c r="G169" s="8" t="s">
        <v>245</v>
      </c>
      <c r="H169" s="24" t="s">
        <v>125</v>
      </c>
      <c r="I169" s="37" t="str">
        <f t="shared" si="5"/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 ');</v>
      </c>
    </row>
    <row r="170" spans="1:9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125</v>
      </c>
      <c r="I170" s="37" t="str">
        <f t="shared" si="5"/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 ');</v>
      </c>
    </row>
    <row r="171" spans="1:9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125</v>
      </c>
      <c r="I171" s="37" t="str">
        <f t="shared" si="5"/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 ');</v>
      </c>
    </row>
    <row r="172" spans="1:9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 t="s">
        <v>2198</v>
      </c>
      <c r="F172" s="6">
        <v>3024403891</v>
      </c>
      <c r="G172" s="8" t="s">
        <v>1242</v>
      </c>
      <c r="H172" s="24" t="s">
        <v>119</v>
      </c>
      <c r="I172" s="37" t="str">
        <f t="shared" si="5"/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125</v>
      </c>
      <c r="I173" s="37" t="str">
        <f t="shared" si="5"/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 ');</v>
      </c>
    </row>
    <row r="174" spans="1:9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125</v>
      </c>
      <c r="I174" s="37" t="str">
        <f t="shared" si="5"/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 ');</v>
      </c>
    </row>
    <row r="175" spans="1:9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125</v>
      </c>
      <c r="I175" s="37" t="str">
        <f t="shared" si="5"/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 ');</v>
      </c>
    </row>
    <row r="176" spans="1:9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125</v>
      </c>
      <c r="I176" s="37" t="str">
        <f t="shared" si="5"/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 ');</v>
      </c>
    </row>
    <row r="177" spans="1:9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7" t="str">
        <f t="shared" si="5"/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125</v>
      </c>
      <c r="I178" s="37" t="str">
        <f t="shared" si="5"/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 ');</v>
      </c>
    </row>
    <row r="179" spans="1:9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125</v>
      </c>
      <c r="I179" s="37" t="str">
        <f t="shared" si="5"/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 ');</v>
      </c>
    </row>
    <row r="180" spans="1:9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125</v>
      </c>
      <c r="I180" s="37" t="str">
        <f t="shared" si="5"/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 ');</v>
      </c>
    </row>
    <row r="181" spans="1:9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125</v>
      </c>
      <c r="I181" s="37" t="str">
        <f t="shared" si="5"/>
        <v>INSERT INTO `parqueadero`.`conductor` (`Oid`, `IdConductor`, `Nombre`, `Area`, `Piso`, `Celular`, `correo`, `Vinculacion`) VALUES ('174','51940883','INGRID PIEDAD NIÑO BUITRAGO','Gestión Documental','','3103348195','ingrid.nino@habitatbogota.gov.co','CONTRATISTA ');</v>
      </c>
    </row>
    <row r="182" spans="1:9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125</v>
      </c>
      <c r="I182" s="37" t="str">
        <f t="shared" si="5"/>
        <v>INSERT INTO `parqueadero`.`conductor` (`Oid`, `IdConductor`, `Nombre`, `Area`, `Piso`, `Celular`, `correo`, `Vinculacion`) VALUES ('175','1001192097','ISABELLA SGUERRA RODRÍGUEZ','Despacho','','3174248900','isabella.sguerra@habitatbogota.gov.co','CONTRATISTA ');</v>
      </c>
    </row>
    <row r="183" spans="1:9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7" t="str">
        <f t="shared" si="5"/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125</v>
      </c>
      <c r="I184" s="37" t="str">
        <f t="shared" si="5"/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 ');</v>
      </c>
    </row>
    <row r="185" spans="1:9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125</v>
      </c>
      <c r="I185" s="37" t="str">
        <f t="shared" si="5"/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 ');</v>
      </c>
    </row>
    <row r="186" spans="1:9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7" t="str">
        <f t="shared" si="5"/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/>
      <c r="F187" s="6">
        <v>3153353328</v>
      </c>
      <c r="G187" s="8" t="s">
        <v>723</v>
      </c>
      <c r="H187" s="24" t="s">
        <v>125</v>
      </c>
      <c r="I187" s="37" t="str">
        <f t="shared" si="5"/>
        <v>INSERT INTO `parqueadero`.`conductor` (`Oid`, `IdConductor`, `Nombre`, `Area`, `Piso`, `Celular`, `correo`, `Vinculacion`) VALUES ('180','5710812','JAIRO ENRIQUE MOSQUERA PÁEZ ','Dirección de Investigaciones y Control de Vivienda','','3153353328','jairo.mosquera@habitatbogota.gov.co','CONTRATISTA ');</v>
      </c>
    </row>
    <row r="188" spans="1:9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125</v>
      </c>
      <c r="I188" s="37" t="str">
        <f t="shared" si="5"/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 ');</v>
      </c>
    </row>
    <row r="189" spans="1:9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125</v>
      </c>
      <c r="I189" s="37" t="str">
        <f t="shared" si="5"/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 ');</v>
      </c>
    </row>
    <row r="190" spans="1:9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/>
      <c r="F190" s="6">
        <v>3102338749</v>
      </c>
      <c r="G190" s="8" t="s">
        <v>633</v>
      </c>
      <c r="H190" s="24" t="s">
        <v>125</v>
      </c>
      <c r="I190" s="37" t="str">
        <f t="shared" si="5"/>
        <v>INSERT INTO `parqueadero`.`conductor` (`Oid`, `IdConductor`, `Nombre`, `Area`, `Piso`, `Celular`, `correo`, `Vinculacion`) VALUES ('183','1031156687','JAVIER FERNANDO CAICEDO MONTOYA ','Subsecretaría de Inspección Vigilancia y Control de Vivienda','','3102338749','javier.caicedo@habitatbogota.gov.co','CONTRATISTA ');</v>
      </c>
    </row>
    <row r="191" spans="1:9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7" t="str">
        <f t="shared" si="5"/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125</v>
      </c>
      <c r="I192" s="37" t="str">
        <f t="shared" si="5"/>
        <v>INSERT INTO `parqueadero`.`conductor` (`Oid`, `IdConductor`, `Nombre`, `Area`, `Piso`, `Celular`, `correo`, `Vinculacion`) VALUES ('185','79645809','JEAN ANGARITA VASQUEZ','Dirección de Operaciones','','3212563770','jean.angarita@habitatbogota.gov.co','CONTRATISTA ');</v>
      </c>
    </row>
    <row r="193" spans="1:9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/>
      <c r="F193" s="6">
        <v>3123779731</v>
      </c>
      <c r="G193" s="8" t="s">
        <v>829</v>
      </c>
      <c r="H193" s="24" t="s">
        <v>125</v>
      </c>
      <c r="I193" s="37" t="str">
        <f t="shared" si="5"/>
        <v>INSERT INTO `parqueadero`.`conductor` (`Oid`, `IdConductor`, `Nombre`, `Area`, `Piso`, `Celular`, `correo`, `Vinculacion`) VALUES ('186','52907657','JEIMMY LILIANA GÓMEZ OYOLA ','Subsecretaría de Inspección Vigilancia y Control de Vivienda','','3123779731','jeimmy.gomez@habitatbogota.gov.co','CONTRATISTA ');</v>
      </c>
    </row>
    <row r="194" spans="1:9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125</v>
      </c>
      <c r="I194" s="37" t="str">
        <f t="shared" si="5"/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 ');</v>
      </c>
    </row>
    <row r="195" spans="1:9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125</v>
      </c>
      <c r="I195" s="37" t="str">
        <f t="shared" si="5"/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 ');</v>
      </c>
    </row>
    <row r="196" spans="1:9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125</v>
      </c>
      <c r="I196" s="37" t="str">
        <f t="shared" si="5"/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 ');</v>
      </c>
    </row>
    <row r="197" spans="1:9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125</v>
      </c>
      <c r="I197" s="37" t="str">
        <f t="shared" si="5"/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 ');</v>
      </c>
    </row>
    <row r="198" spans="1:9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/>
      <c r="F198" s="6">
        <v>3204134805</v>
      </c>
      <c r="G198" s="8" t="s">
        <v>650</v>
      </c>
      <c r="H198" s="24" t="s">
        <v>125</v>
      </c>
      <c r="I198" s="37" t="str">
        <f t="shared" si="5"/>
        <v>INSERT INTO `parqueadero`.`conductor` (`Oid`, `IdConductor`, `Nombre`, `Area`, `Piso`, `Celular`, `correo`, `Vinculacion`) VALUES ('191','1032464919','JENNY FERNANDA VELANDIA CASTRO ','Dirección de Investigaciones y Control de Vivienda','','3204134805','jenny.velandia@habitatbogota.gov.co','CONTRATISTA ');</v>
      </c>
    </row>
    <row r="199" spans="1:9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125</v>
      </c>
      <c r="I199" s="37" t="str">
        <f t="shared" si="5"/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 ');</v>
      </c>
    </row>
    <row r="200" spans="1:9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125</v>
      </c>
      <c r="I200" s="37" t="str">
        <f t="shared" si="5"/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 ');</v>
      </c>
    </row>
    <row r="201" spans="1:9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 t="s">
        <v>2198</v>
      </c>
      <c r="F201" s="6">
        <v>3005554875</v>
      </c>
      <c r="G201" s="8" t="s">
        <v>446</v>
      </c>
      <c r="H201" s="24" t="s">
        <v>119</v>
      </c>
      <c r="I201" s="37" t="str">
        <f t="shared" ref="I201:I264" si="7">CONCATENATE("INSERT INTO `parqueadero`.`conductor` (`",$A$7,"`, `",$B$7,"`, `",$C$7,"`, `",$D$7,"`, `",$E$7,"`, `",$F$7,"`, `",$G$7,"`, `",$H$7,"`) VALUES ('",A201,"','",B201,"','",C201,"','",D201,"','",E201,"','",F201,"','",G201,"','",H201,"');" )</f>
        <v>INSERT INTO `parqueadero`.`conductor` (`Oid`, `IdConductor`, `Nombre`, `Area`, `Piso`, `Celular`, `correo`, `Vinculacion`) VALUES ('194','52820550','JENNY MARITZA BARRERA SUÁREZ ','Dirección Administrativa','Piso 12','3005554875','jenny.barrera@habitatbogota.gov.co','FUNCIONARIO');</v>
      </c>
    </row>
    <row r="202" spans="1:9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125</v>
      </c>
      <c r="I202" s="37" t="str">
        <f t="shared" si="7"/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 ');</v>
      </c>
    </row>
    <row r="203" spans="1:9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125</v>
      </c>
      <c r="I203" s="37" t="str">
        <f t="shared" si="7"/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 ');</v>
      </c>
    </row>
    <row r="204" spans="1:9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125</v>
      </c>
      <c r="I204" s="37" t="str">
        <f t="shared" si="7"/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 ');</v>
      </c>
    </row>
    <row r="205" spans="1:9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7" t="str">
        <f t="shared" si="7"/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125</v>
      </c>
      <c r="I206" s="37" t="str">
        <f t="shared" si="7"/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 ');</v>
      </c>
    </row>
    <row r="207" spans="1:9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125</v>
      </c>
      <c r="I207" s="37" t="str">
        <f t="shared" si="7"/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 ');</v>
      </c>
    </row>
    <row r="208" spans="1:9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7" t="str">
        <f t="shared" si="7"/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125</v>
      </c>
      <c r="I209" s="37" t="str">
        <f t="shared" si="7"/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 ');</v>
      </c>
    </row>
    <row r="210" spans="1:9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125</v>
      </c>
      <c r="I210" s="37" t="str">
        <f t="shared" si="7"/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 ');</v>
      </c>
    </row>
    <row r="211" spans="1:9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125</v>
      </c>
      <c r="I211" s="37" t="str">
        <f t="shared" si="7"/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 ');</v>
      </c>
    </row>
    <row r="212" spans="1:9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125</v>
      </c>
      <c r="I212" s="37" t="str">
        <f t="shared" si="7"/>
        <v>INSERT INTO `parqueadero`.`conductor` (`Oid`, `IdConductor`, `Nombre`, `Area`, `Piso`, `Celular`, `correo`, `Vinculacion`) VALUES ('205','1020716220','JIMENA DACHIARDI CASTRO','Despacho','','3103201521','jimena.dachiardi@habitatbogota.gov.co','CONTRATISTA ');</v>
      </c>
    </row>
    <row r="213" spans="1:9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125</v>
      </c>
      <c r="I213" s="37" t="str">
        <f t="shared" si="7"/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 ');</v>
      </c>
    </row>
    <row r="214" spans="1:9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17"/>
      <c r="F214" s="6">
        <v>3902662039</v>
      </c>
      <c r="G214" s="8" t="s">
        <v>1581</v>
      </c>
      <c r="H214" s="24" t="s">
        <v>125</v>
      </c>
      <c r="I214" s="37" t="str">
        <f t="shared" si="7"/>
        <v>INSERT INTO `parqueadero`.`conductor` (`Oid`, `IdConductor`, `Nombre`, `Area`, `Piso`, `Celular`, `correo`, `Vinculacion`) VALUES ('207','80047722','JOHN ALEXANDER CARDENAS MANCIPE ','Despacho','','3902662039','john.cardenas@habitatbogota.gov.co','CONTRATISTA ');</v>
      </c>
    </row>
    <row r="215" spans="1:9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125</v>
      </c>
      <c r="I215" s="37" t="str">
        <f t="shared" si="7"/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 ');</v>
      </c>
    </row>
    <row r="216" spans="1:9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125</v>
      </c>
      <c r="I216" s="37" t="str">
        <f t="shared" si="7"/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 ');</v>
      </c>
    </row>
    <row r="217" spans="1:9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125</v>
      </c>
      <c r="I217" s="37" t="str">
        <f t="shared" si="7"/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 ');</v>
      </c>
    </row>
    <row r="218" spans="1:9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125</v>
      </c>
      <c r="I218" s="37" t="str">
        <f t="shared" si="7"/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 ');</v>
      </c>
    </row>
    <row r="219" spans="1:9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 t="s">
        <v>2198</v>
      </c>
      <c r="F219" s="6">
        <v>3163575233</v>
      </c>
      <c r="G219" s="8" t="s">
        <v>1130</v>
      </c>
      <c r="H219" s="24" t="s">
        <v>119</v>
      </c>
      <c r="I219" s="37" t="str">
        <f t="shared" si="7"/>
        <v>INSERT INTO `parqueadero`.`conductor` (`Oid`, `IdConductor`, `Nombre`, `Area`, `Piso`, `Celular`, `correo`, `Vinculacion`) VALUES ('212','79867042','JOHNN FREDDY VARGAS BRICEÑO ','Dirección Administrativa','Piso 12','3163575233','johnn.vargas@habitatbogota.gov.co','FUNCIONARIO');</v>
      </c>
    </row>
    <row r="220" spans="1:9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 t="s">
        <v>2198</v>
      </c>
      <c r="F220" s="6">
        <v>3222171182</v>
      </c>
      <c r="G220" s="8" t="s">
        <v>1917</v>
      </c>
      <c r="H220" s="24" t="s">
        <v>119</v>
      </c>
      <c r="I220" s="37" t="str">
        <f t="shared" si="7"/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125</v>
      </c>
      <c r="I221" s="37" t="str">
        <f t="shared" si="7"/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 ');</v>
      </c>
    </row>
    <row r="222" spans="1:9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/>
      <c r="F222" s="6">
        <v>314263028</v>
      </c>
      <c r="G222" s="8" t="s">
        <v>934</v>
      </c>
      <c r="H222" s="24" t="s">
        <v>125</v>
      </c>
      <c r="I222" s="37" t="str">
        <f t="shared" si="7"/>
        <v>INSERT INTO `parqueadero`.`conductor` (`Oid`, `IdConductor`, `Nombre`, `Area`, `Piso`, `Celular`, `correo`, `Vinculacion`) VALUES ('215','80213841','JORGE ANDRÉS GONZÁLEZ CETINA','Dirección de Financiación de Vivienda','','314263028','jorge.gonzalez@habitatbogota.gov.co','CONTRATISTA ');</v>
      </c>
    </row>
    <row r="223" spans="1:9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125</v>
      </c>
      <c r="I223" s="37" t="str">
        <f t="shared" si="7"/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 ');</v>
      </c>
    </row>
    <row r="224" spans="1:9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7" t="str">
        <f t="shared" si="7"/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/>
      <c r="F225" s="6">
        <v>3118770630</v>
      </c>
      <c r="G225" s="8" t="s">
        <v>1072</v>
      </c>
      <c r="H225" s="24" t="s">
        <v>125</v>
      </c>
      <c r="I225" s="37" t="str">
        <f t="shared" si="7"/>
        <v>INSERT INTO `parqueadero`.`conductor` (`Oid`, `IdConductor`, `Nombre`, `Area`, `Piso`, `Celular`, `correo`, `Vinculacion`) VALUES ('218','3181809','JORGE ARMANDO MOJICA RODRÍGUEZ ','Dirección de Financiación de Vivienda','','3118770630','jorge.mojica@habitatbogota.gov.co','CONTRATISTA ');</v>
      </c>
    </row>
    <row r="226" spans="1:9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/>
      <c r="F226" s="6">
        <v>3017960778</v>
      </c>
      <c r="G226" s="8" t="s">
        <v>1571</v>
      </c>
      <c r="H226" s="24" t="s">
        <v>125</v>
      </c>
      <c r="I226" s="37" t="str">
        <f t="shared" si="7"/>
        <v>INSERT INTO `parqueadero`.`conductor` (`Oid`, `IdConductor`, `Nombre`, `Area`, `Piso`, `Celular`, `correo`, `Vinculacion`) VALUES ('219','80075631','JORGE IVÁN GARZÓN PINZÓN ','Dirección de Apoyo a la Contrucción','','3017960778','jorge.garzon@habitatbogota.gov.co','CONTRATISTA ');</v>
      </c>
    </row>
    <row r="227" spans="1:9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125</v>
      </c>
      <c r="I227" s="37" t="str">
        <f t="shared" si="7"/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 ');</v>
      </c>
    </row>
    <row r="228" spans="1:9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/>
      <c r="F228" s="6">
        <v>3118086859</v>
      </c>
      <c r="G228" s="8" t="s">
        <v>1469</v>
      </c>
      <c r="H228" s="24" t="s">
        <v>125</v>
      </c>
      <c r="I228" s="37" t="str">
        <f t="shared" si="7"/>
        <v>INSERT INTO `parqueadero`.`conductor` (`Oid`, `IdConductor`, `Nombre`, `Area`, `Piso`, `Celular`, `correo`, `Vinculacion`) VALUES ('221','1015442158','JOSE ALEJANDRO CUERVO RODRÍGUEZ ','Dirección de Mejoramiento Habitacional','','3118086859','jose.cuervo@habitatbogota.gov.co','CONTRATISTA ');</v>
      </c>
    </row>
    <row r="229" spans="1:9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125</v>
      </c>
      <c r="I229" s="37" t="str">
        <f t="shared" si="7"/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 ');</v>
      </c>
    </row>
    <row r="230" spans="1:9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7" t="str">
        <f t="shared" si="7"/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7" t="str">
        <f t="shared" si="7"/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7" t="str">
        <f t="shared" si="7"/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125</v>
      </c>
      <c r="I233" s="37" t="str">
        <f t="shared" si="7"/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 ');</v>
      </c>
    </row>
    <row r="234" spans="1:9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125</v>
      </c>
      <c r="I234" s="37" t="str">
        <f t="shared" si="7"/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 ');</v>
      </c>
    </row>
    <row r="235" spans="1:9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125</v>
      </c>
      <c r="I235" s="37" t="str">
        <f t="shared" si="7"/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 ');</v>
      </c>
    </row>
    <row r="236" spans="1:9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/>
      <c r="F236" s="6">
        <v>3118179706</v>
      </c>
      <c r="G236" s="8" t="s">
        <v>529</v>
      </c>
      <c r="H236" s="24" t="s">
        <v>125</v>
      </c>
      <c r="I236" s="37" t="str">
        <f t="shared" si="7"/>
        <v>INSERT INTO `parqueadero`.`conductor` (`Oid`, `IdConductor`, `Nombre`, `Area`, `Piso`, `Celular`, `correo`, `Vinculacion`) VALUES ('229','1023867746','JOSÉ FRANCK MACHADO MORENO ','Oficina de Participación y Relacionamiento con la Ciudadanía','','3118179706','josé.machado@habitatbogota.gov.co','CONTRATISTA ');</v>
      </c>
    </row>
    <row r="237" spans="1:9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125</v>
      </c>
      <c r="I237" s="37" t="str">
        <f t="shared" si="7"/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 ');</v>
      </c>
    </row>
    <row r="238" spans="1:9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125</v>
      </c>
      <c r="I238" s="37" t="str">
        <f t="shared" si="7"/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 ');</v>
      </c>
    </row>
    <row r="239" spans="1:9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7" t="str">
        <f t="shared" si="7"/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125</v>
      </c>
      <c r="I240" s="37" t="str">
        <f t="shared" si="7"/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 ');</v>
      </c>
    </row>
    <row r="241" spans="1:9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125</v>
      </c>
      <c r="I241" s="37" t="str">
        <f t="shared" si="7"/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 ');</v>
      </c>
    </row>
    <row r="242" spans="1:9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125</v>
      </c>
      <c r="I242" s="37" t="str">
        <f t="shared" si="7"/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 ');</v>
      </c>
    </row>
    <row r="243" spans="1:9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7" t="str">
        <f t="shared" si="7"/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125</v>
      </c>
      <c r="I244" s="37" t="str">
        <f t="shared" si="7"/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 ');</v>
      </c>
    </row>
    <row r="245" spans="1:9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125</v>
      </c>
      <c r="I245" s="37" t="str">
        <f t="shared" si="7"/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 ');</v>
      </c>
    </row>
    <row r="246" spans="1:9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125</v>
      </c>
      <c r="I246" s="37" t="str">
        <f t="shared" si="7"/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 ');</v>
      </c>
    </row>
    <row r="247" spans="1:9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 t="s">
        <v>2200</v>
      </c>
      <c r="F247" s="6">
        <v>3183881512</v>
      </c>
      <c r="G247" s="8" t="s">
        <v>169</v>
      </c>
      <c r="H247" s="24" t="s">
        <v>125</v>
      </c>
      <c r="I247" s="37" t="str">
        <f t="shared" si="7"/>
        <v>INSERT INTO `parqueadero`.`conductor` (`Oid`, `IdConductor`, `Nombre`, `Area`, `Piso`, `Celular`, `correo`, `Vinculacion`) VALUES ('240','1057593307','JUAN CAMILO CASTAÑEDA SANDOVAL','Dirección Financiera','Piso 11','3183881512','juan.castanedas@habitatbogota.gov.co','CONTRATISTA ');</v>
      </c>
    </row>
    <row r="248" spans="1:9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125</v>
      </c>
      <c r="I248" s="37" t="str">
        <f t="shared" si="7"/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 ');</v>
      </c>
    </row>
    <row r="249" spans="1:9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/>
      <c r="F249" s="6">
        <v>3125349131</v>
      </c>
      <c r="G249" s="8" t="s">
        <v>515</v>
      </c>
      <c r="H249" s="24" t="s">
        <v>125</v>
      </c>
      <c r="I249" s="37" t="str">
        <f t="shared" si="7"/>
        <v>INSERT INTO `parqueadero`.`conductor` (`Oid`, `IdConductor`, `Nombre`, `Area`, `Piso`, `Celular`, `correo`, `Vinculacion`) VALUES ('242','11204191','JUAN CARLOS CASTILLO QUINTANA ','Oficina de Participación y Relacionamiento con la Ciudadanía','','3125349131','juan.castillo@habitatbogota.gov.co','CONTRATISTA ');</v>
      </c>
    </row>
    <row r="250" spans="1:9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7" t="str">
        <f t="shared" si="7"/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17"/>
      <c r="F251" s="6">
        <v>3162263936</v>
      </c>
      <c r="G251" s="8" t="s">
        <v>475</v>
      </c>
      <c r="H251" s="24" t="s">
        <v>125</v>
      </c>
      <c r="I251" s="37" t="str">
        <f t="shared" si="7"/>
        <v>INSERT INTO `parqueadero`.`conductor` (`Oid`, `IdConductor`, `Nombre`, `Area`, `Piso`, `Celular`, `correo`, `Vinculacion`) VALUES ('244','79754530','JUAN CARLOS LOZANO MAHECHA ','Dirección de Gestión de Suelo','','3162263936','juan.lozano@habitatbogota.gov.co','CONTRATISTA ');</v>
      </c>
    </row>
    <row r="252" spans="1:9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7" t="str">
        <f t="shared" si="7"/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125</v>
      </c>
      <c r="I253" s="37" t="str">
        <f t="shared" si="7"/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 ');</v>
      </c>
    </row>
    <row r="254" spans="1:9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125</v>
      </c>
      <c r="I254" s="37" t="str">
        <f t="shared" si="7"/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 ');</v>
      </c>
    </row>
    <row r="255" spans="1:9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125</v>
      </c>
      <c r="I255" s="37" t="str">
        <f t="shared" si="7"/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 ');</v>
      </c>
    </row>
    <row r="256" spans="1:9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125</v>
      </c>
      <c r="I256" s="37" t="str">
        <f t="shared" si="7"/>
        <v>INSERT INTO `parqueadero`.`conductor` (`Oid`, `IdConductor`, `Nombre`, `Area`, `Piso`, `Celular`, `correo`, `Vinculacion`) VALUES ('249','19226003','JUAN FRANCISCO FORERO','Subsecretaría Jurídica','','3107778371','juan.forerog@habitatbogota.gov.co','CONTRATISTA ');</v>
      </c>
    </row>
    <row r="257" spans="1:9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7" t="str">
        <f t="shared" si="7"/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125</v>
      </c>
      <c r="I258" s="37" t="str">
        <f t="shared" si="7"/>
        <v>INSERT INTO `parqueadero`.`conductor` (`Oid`, `IdConductor`, `Nombre`, `Area`, `Piso`, `Celular`, `correo`, `Vinculacion`) VALUES ('251','94486941','JUAN MANUEL CAICEDO CARDONA','Despacho','','3108679091','juan.caicedo@habitatbogota.gov.co','CONTRATISTA ');</v>
      </c>
    </row>
    <row r="259" spans="1:9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125</v>
      </c>
      <c r="I259" s="37" t="str">
        <f t="shared" si="7"/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 ');</v>
      </c>
    </row>
    <row r="260" spans="1:9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125</v>
      </c>
      <c r="I260" s="37" t="str">
        <f t="shared" si="7"/>
        <v>INSERT INTO `parqueadero`.`conductor` (`Oid`, `IdConductor`, `Nombre`, `Area`, `Piso`, `Celular`, `correo`, `Vinculacion`) VALUES ('253','1000522089','JUAN PABLO LOBO LÓPEZ','Dirección de Contratación','','3204810462','juan.lobo@habitatbogota.gov.co','CONTRATISTA ');</v>
      </c>
    </row>
    <row r="261" spans="1:9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125</v>
      </c>
      <c r="I261" s="37" t="str">
        <f t="shared" si="7"/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 ');</v>
      </c>
    </row>
    <row r="262" spans="1:9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125</v>
      </c>
      <c r="I262" s="37" t="str">
        <f t="shared" si="7"/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 ');</v>
      </c>
    </row>
    <row r="263" spans="1:9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/>
      <c r="F263" s="6">
        <v>3163210299</v>
      </c>
      <c r="G263" s="8" t="s">
        <v>1362</v>
      </c>
      <c r="H263" s="24" t="s">
        <v>125</v>
      </c>
      <c r="I263" s="37" t="str">
        <f t="shared" si="7"/>
        <v>INSERT INTO `parqueadero`.`conductor` (`Oid`, `IdConductor`, `Nombre`, `Area`, `Piso`, `Celular`, `correo`, `Vinculacion`) VALUES ('256','1016019711','JULIAN ALEXANDER ZAMBRANO DIAZ ','Dirección de Prevención Arrendamiento y Control de Enajenación','','3163210299','julianzambranodiaz@gmail.com','CONTRATISTA ');</v>
      </c>
    </row>
    <row r="264" spans="1:9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125</v>
      </c>
      <c r="I264" s="37" t="str">
        <f t="shared" si="7"/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 ');</v>
      </c>
    </row>
    <row r="265" spans="1:9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125</v>
      </c>
      <c r="I265" s="37" t="str">
        <f t="shared" ref="I265:I328" si="9">CONCATENATE("INSERT INTO `parqueadero`.`conductor` (`",$A$7,"`, `",$B$7,"`, `",$C$7,"`, `",$D$7,"`, `",$E$7,"`, `",$F$7,"`, `",$G$7,"`, `",$H$7,"`) VALUES ('",A265,"','",B265,"','",C265,"','",D265,"','",E265,"','",F265,"','",G265,"','",H265,"');" )</f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 ');</v>
      </c>
    </row>
    <row r="266" spans="1:9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125</v>
      </c>
      <c r="I266" s="37" t="str">
        <f t="shared" si="9"/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 ');</v>
      </c>
    </row>
    <row r="267" spans="1:9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7" t="str">
        <f t="shared" si="9"/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125</v>
      </c>
      <c r="I268" s="37" t="str">
        <f t="shared" si="9"/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 ');</v>
      </c>
    </row>
    <row r="269" spans="1:9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7" t="str">
        <f t="shared" si="9"/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7" t="str">
        <f t="shared" si="9"/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125</v>
      </c>
      <c r="I271" s="37" t="str">
        <f t="shared" si="9"/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 ');</v>
      </c>
    </row>
    <row r="272" spans="1:9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125</v>
      </c>
      <c r="I272" s="37" t="str">
        <f t="shared" si="9"/>
        <v>INSERT INTO `parqueadero`.`conductor` (`Oid`, `IdConductor`, `Nombre`, `Area`, `Piso`, `Celular`, `correo`, `Vinculacion`) VALUES ('265','1000008186','KAREN TATIANA RINCÓN ROZO','Subsecretaría de Vivienda','','3006087040','karen.rrozo28@gmail.com','CONTRATISTA ');</v>
      </c>
    </row>
    <row r="273" spans="1:9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7" t="str">
        <f t="shared" si="9"/>
        <v>INSERT INTO `parqueadero`.`conductor` (`Oid`, `IdConductor`, `Nombre`, `Area`, `Piso`, `Celular`, `correo`, `Vinculacion`) VALUES ('266','1023893878','KARENT RAMÍREZ BERNAL ','Dirección de Investigaciones y Control de Vivienda','','3144632678','karent.ramirez@habitatbogota.gov.co','FUNCIONARIO');</v>
      </c>
    </row>
    <row r="274" spans="1:9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125</v>
      </c>
      <c r="I274" s="37" t="str">
        <f t="shared" si="9"/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 ');</v>
      </c>
    </row>
    <row r="275" spans="1:9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125</v>
      </c>
      <c r="I275" s="37" t="str">
        <f t="shared" si="9"/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 ');</v>
      </c>
    </row>
    <row r="276" spans="1:9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125</v>
      </c>
      <c r="I276" s="37" t="str">
        <f t="shared" si="9"/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 ');</v>
      </c>
    </row>
    <row r="277" spans="1:9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125</v>
      </c>
      <c r="I277" s="37" t="str">
        <f t="shared" si="9"/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 ');</v>
      </c>
    </row>
    <row r="278" spans="1:9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125</v>
      </c>
      <c r="I278" s="37" t="str">
        <f t="shared" si="9"/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 ');</v>
      </c>
    </row>
    <row r="279" spans="1:9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/>
      <c r="F279" s="6">
        <v>3204811196</v>
      </c>
      <c r="G279" s="8" t="s">
        <v>766</v>
      </c>
      <c r="H279" s="24" t="s">
        <v>125</v>
      </c>
      <c r="I279" s="37" t="str">
        <f t="shared" si="9"/>
        <v>INSERT INTO `parqueadero`.`conductor` (`Oid`, `IdConductor`, `Nombre`, `Area`, `Piso`, `Celular`, `correo`, `Vinculacion`) VALUES ('272','1010206263','LAURA CAMILA DE LA HOZ ','Subsecretaría de Vivienda','','3204811196','laura.delahoz@habitatbogota.gov.co','CONTRATISTA ');</v>
      </c>
    </row>
    <row r="280" spans="1:9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125</v>
      </c>
      <c r="I280" s="37" t="str">
        <f t="shared" si="9"/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 ');</v>
      </c>
    </row>
    <row r="281" spans="1:9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125</v>
      </c>
      <c r="I281" s="37" t="str">
        <f t="shared" si="9"/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 ');</v>
      </c>
    </row>
    <row r="282" spans="1:9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 t="s">
        <v>2198</v>
      </c>
      <c r="F282" s="6">
        <v>3012286118</v>
      </c>
      <c r="G282" s="8" t="s">
        <v>484</v>
      </c>
      <c r="H282" s="24" t="s">
        <v>125</v>
      </c>
      <c r="I282" s="37" t="str">
        <f t="shared" si="9"/>
        <v>INSERT INTO `parqueadero`.`conductor` (`Oid`, `IdConductor`, `Nombre`, `Area`, `Piso`, `Celular`, `correo`, `Vinculacion`) VALUES ('275','1026279388','LAURA CATALINA MARTÍNEZ LÓPEZ ','Dirección Administrativa','Piso 12','3012286118','laura.martinez@habitatbogota.gov.co','CONTRATISTA ');</v>
      </c>
    </row>
    <row r="283" spans="1:9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125</v>
      </c>
      <c r="I283" s="37" t="str">
        <f t="shared" si="9"/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 ');</v>
      </c>
    </row>
    <row r="284" spans="1:9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125</v>
      </c>
      <c r="I284" s="37" t="str">
        <f t="shared" si="9"/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 ');</v>
      </c>
    </row>
    <row r="285" spans="1:9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125</v>
      </c>
      <c r="I285" s="37" t="str">
        <f t="shared" si="9"/>
        <v>INSERT INTO `parqueadero`.`conductor` (`Oid`, `IdConductor`, `Nombre`, `Area`, `Piso`, `Celular`, `correo`, `Vinculacion`) VALUES ('278','52547327','LAURA MANTILLA VILLA','Dirección de Operaciones','','3158496892','laura.mantilla@habitatbogota.gov.co','CONTRATISTA ');</v>
      </c>
    </row>
    <row r="286" spans="1:9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7" t="str">
        <f t="shared" si="9"/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7" t="str">
        <f t="shared" si="9"/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125</v>
      </c>
      <c r="I288" s="37" t="str">
        <f t="shared" si="9"/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 ');</v>
      </c>
    </row>
    <row r="289" spans="1:9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125</v>
      </c>
      <c r="I289" s="37" t="str">
        <f t="shared" si="9"/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 ');</v>
      </c>
    </row>
    <row r="290" spans="1:9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125</v>
      </c>
      <c r="I290" s="37" t="str">
        <f t="shared" si="9"/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 ');</v>
      </c>
    </row>
    <row r="291" spans="1:9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/>
      <c r="F291" s="6">
        <v>3193786568</v>
      </c>
      <c r="G291" s="8" t="s">
        <v>711</v>
      </c>
      <c r="H291" s="24" t="s">
        <v>125</v>
      </c>
      <c r="I291" s="37" t="str">
        <f t="shared" si="9"/>
        <v>INSERT INTO `parqueadero`.`conductor` (`Oid`, `IdConductor`, `Nombre`, `Area`, `Piso`, `Celular`, `correo`, `Vinculacion`) VALUES ('284','1024496377','LEIDY MARCELA TRUJILLO MATIZ ','Dirección de Operaciones','','3193786568','leidy.trujillo@habitatbogota.gov.co','CONTRATISTA ');</v>
      </c>
    </row>
    <row r="292" spans="1:9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125</v>
      </c>
      <c r="I292" s="37" t="str">
        <f t="shared" si="9"/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 ');</v>
      </c>
    </row>
    <row r="293" spans="1:9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7" t="str">
        <f t="shared" si="9"/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/>
      <c r="F294" s="6">
        <v>3015595583</v>
      </c>
      <c r="G294" s="8" t="s">
        <v>997</v>
      </c>
      <c r="H294" s="24" t="s">
        <v>125</v>
      </c>
      <c r="I294" s="37" t="str">
        <f t="shared" si="9"/>
        <v>INSERT INTO `parqueadero`.`conductor` (`Oid`, `IdConductor`, `Nombre`, `Area`, `Piso`, `Celular`, `correo`, `Vinculacion`) VALUES ('287','1078347237','LEYDI ROCIO AYALA CAMARGO ','Dirección de Financiación de Vivienda','','3015595583','leydi.ayala@habitatbogota.gov.co','CONTRATISTA ');</v>
      </c>
    </row>
    <row r="295" spans="1:9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7" t="str">
        <f t="shared" si="9"/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125</v>
      </c>
      <c r="I296" s="37" t="str">
        <f t="shared" si="9"/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 ');</v>
      </c>
    </row>
    <row r="297" spans="1:9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/>
      <c r="F297" s="6">
        <v>3145019361</v>
      </c>
      <c r="G297" s="8" t="s">
        <v>1403</v>
      </c>
      <c r="H297" s="24" t="s">
        <v>125</v>
      </c>
      <c r="I297" s="37" t="str">
        <f t="shared" si="9"/>
        <v>INSERT INTO `parqueadero`.`conductor` (`Oid`, `IdConductor`, `Nombre`, `Area`, `Piso`, `Celular`, `correo`, `Vinculacion`) VALUES ('290','1069078793','LIZETH KATHERINE BERMÚDEZ GÓMEZ ','Dirección de Operaciones','','3145019361','lizeth.bermudez@habitatbogota.gov.co','CONTRATISTA ');</v>
      </c>
    </row>
    <row r="298" spans="1:9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125</v>
      </c>
      <c r="I298" s="37" t="str">
        <f t="shared" si="9"/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 ');</v>
      </c>
    </row>
    <row r="299" spans="1:9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125</v>
      </c>
      <c r="I299" s="37" t="str">
        <f t="shared" si="9"/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 ');</v>
      </c>
    </row>
    <row r="300" spans="1:9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125</v>
      </c>
      <c r="I300" s="37" t="str">
        <f t="shared" si="9"/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 ');</v>
      </c>
    </row>
    <row r="301" spans="1:9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125</v>
      </c>
      <c r="I301" s="37" t="str">
        <f t="shared" si="9"/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 ');</v>
      </c>
    </row>
    <row r="302" spans="1:9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125</v>
      </c>
      <c r="I302" s="37" t="str">
        <f t="shared" si="9"/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 ');</v>
      </c>
    </row>
    <row r="303" spans="1:9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7" t="str">
        <f t="shared" si="9"/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 t="s">
        <v>2198</v>
      </c>
      <c r="F304" s="6">
        <v>3013564276</v>
      </c>
      <c r="G304" s="8" t="s">
        <v>1449</v>
      </c>
      <c r="H304" s="24" t="s">
        <v>119</v>
      </c>
      <c r="I304" s="37" t="str">
        <f t="shared" si="9"/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125</v>
      </c>
      <c r="I305" s="37" t="str">
        <f t="shared" si="9"/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 ');</v>
      </c>
    </row>
    <row r="306" spans="1:9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125</v>
      </c>
      <c r="I306" s="37" t="str">
        <f t="shared" si="9"/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 ');</v>
      </c>
    </row>
    <row r="307" spans="1:9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125</v>
      </c>
      <c r="I307" s="37" t="str">
        <f t="shared" si="9"/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 ');</v>
      </c>
    </row>
    <row r="308" spans="1:9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125</v>
      </c>
      <c r="I308" s="37" t="str">
        <f t="shared" si="9"/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 ');</v>
      </c>
    </row>
    <row r="309" spans="1:9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125</v>
      </c>
      <c r="I309" s="37" t="str">
        <f t="shared" si="9"/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 ');</v>
      </c>
    </row>
    <row r="310" spans="1:9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/>
      <c r="F310" s="6">
        <v>3002063453</v>
      </c>
      <c r="G310" s="8" t="s">
        <v>1460</v>
      </c>
      <c r="H310" s="24" t="s">
        <v>125</v>
      </c>
      <c r="I310" s="37" t="str">
        <f t="shared" si="9"/>
        <v>INSERT INTO `parqueadero`.`conductor` (`Oid`, `IdConductor`, `Nombre`, `Area`, `Piso`, `Celular`, `correo`, `Vinculacion`) VALUES ('303','79941715','LUIS HORACIO URQUIJO ADÁRRAGA ','Dirección de Mejoramiento Habitacional','','3002063453','luis.urquijoa@habitatbogota.gov.co','CONTRATISTA ');</v>
      </c>
    </row>
    <row r="311" spans="1:9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125</v>
      </c>
      <c r="I311" s="37" t="str">
        <f t="shared" si="9"/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 ');</v>
      </c>
    </row>
    <row r="312" spans="1:9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125</v>
      </c>
      <c r="I312" s="37" t="str">
        <f t="shared" si="9"/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 ');</v>
      </c>
    </row>
    <row r="313" spans="1:9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125</v>
      </c>
      <c r="I313" s="37" t="str">
        <f t="shared" si="9"/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 ');</v>
      </c>
    </row>
    <row r="314" spans="1:9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125</v>
      </c>
      <c r="I314" s="37" t="str">
        <f t="shared" si="9"/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 ');</v>
      </c>
    </row>
    <row r="315" spans="1:9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6"/>
      <c r="F315" s="34">
        <v>0</v>
      </c>
      <c r="G315" s="8" t="s">
        <v>1947</v>
      </c>
      <c r="H315" s="24" t="s">
        <v>1280</v>
      </c>
      <c r="I315" s="37" t="str">
        <f t="shared" si="9"/>
        <v>INSERT INTO `parqueadero`.`conductor` (`Oid`, `IdConductor`, `Nombre`, `Area`, `Piso`, `Celular`, `correo`, `Vinculacion`) VALUES ('308','1032444607','LUZ GARCÍA SIERRA','Contraloría de Bogotá','','0','contraloriadis@habitatbogota.gov.co','EXTERNO');</v>
      </c>
    </row>
    <row r="316" spans="1:9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125</v>
      </c>
      <c r="I316" s="37" t="str">
        <f t="shared" si="9"/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 ');</v>
      </c>
    </row>
    <row r="317" spans="1:9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125</v>
      </c>
      <c r="I317" s="37" t="str">
        <f t="shared" si="9"/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 ');</v>
      </c>
    </row>
    <row r="318" spans="1:9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125</v>
      </c>
      <c r="I318" s="37" t="str">
        <f t="shared" si="9"/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 ');</v>
      </c>
    </row>
    <row r="319" spans="1:9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/>
      <c r="F319" s="6">
        <v>3008310602</v>
      </c>
      <c r="G319" s="8" t="s">
        <v>1096</v>
      </c>
      <c r="H319" s="24" t="s">
        <v>125</v>
      </c>
      <c r="I319" s="37" t="str">
        <f t="shared" si="9"/>
        <v>INSERT INTO `parqueadero`.`conductor` (`Oid`, `IdConductor`, `Nombre`, `Area`, `Piso`, `Celular`, `correo`, `Vinculacion`) VALUES ('312','52353521','MAIA GARCIA CARDOSO ','Dirección de Financiación de Vivienda','','3008310602','maia.garcia@habitatbogota.gov.co','CONTRATISTA ');</v>
      </c>
    </row>
    <row r="320" spans="1:9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 t="s">
        <v>2198</v>
      </c>
      <c r="F320" s="6">
        <v>3004470549</v>
      </c>
      <c r="G320" s="8" t="s">
        <v>2108</v>
      </c>
      <c r="H320" s="24" t="s">
        <v>125</v>
      </c>
      <c r="I320" s="37" t="str">
        <f t="shared" si="9"/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 ');</v>
      </c>
    </row>
    <row r="321" spans="1:9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125</v>
      </c>
      <c r="I321" s="37" t="str">
        <f t="shared" si="9"/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 ');</v>
      </c>
    </row>
    <row r="322" spans="1:9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 t="s">
        <v>2198</v>
      </c>
      <c r="F322" s="6">
        <v>3105537440</v>
      </c>
      <c r="G322" s="8" t="s">
        <v>1661</v>
      </c>
      <c r="H322" s="24" t="s">
        <v>119</v>
      </c>
      <c r="I322" s="37" t="str">
        <f t="shared" si="9"/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6" t="s">
        <v>2198</v>
      </c>
      <c r="F323" s="17">
        <v>3015363830</v>
      </c>
      <c r="G323" s="8" t="s">
        <v>1499</v>
      </c>
      <c r="H323" s="24" t="s">
        <v>125</v>
      </c>
      <c r="I323" s="37" t="str">
        <f t="shared" si="9"/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 ');</v>
      </c>
    </row>
    <row r="324" spans="1:9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/>
      <c r="F324" s="6">
        <v>3174775788</v>
      </c>
      <c r="G324" s="8" t="s">
        <v>1435</v>
      </c>
      <c r="H324" s="24" t="s">
        <v>125</v>
      </c>
      <c r="I324" s="37" t="str">
        <f t="shared" si="9"/>
        <v>INSERT INTO `parqueadero`.`conductor` (`Oid`, `IdConductor`, `Nombre`, `Area`, `Piso`, `Celular`, `correo`, `Vinculacion`) VALUES ('317','79595346','MARCO FIDEL GÓMEZ CORREDOR ','Dirección de Financiación de Vivienda','','3174775788','marco.gomez@habitatbogota.gov.co','CONTRATISTA ');</v>
      </c>
    </row>
    <row r="325" spans="1:9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125</v>
      </c>
      <c r="I325" s="37" t="str">
        <f t="shared" si="9"/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 ');</v>
      </c>
    </row>
    <row r="326" spans="1:9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125</v>
      </c>
      <c r="I326" s="37" t="str">
        <f t="shared" si="9"/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 ');</v>
      </c>
    </row>
    <row r="327" spans="1:9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/>
      <c r="F327" s="6">
        <v>3142393483</v>
      </c>
      <c r="G327" s="8" t="s">
        <v>549</v>
      </c>
      <c r="H327" s="24" t="s">
        <v>125</v>
      </c>
      <c r="I327" s="37" t="str">
        <f t="shared" si="9"/>
        <v>INSERT INTO `parqueadero`.`conductor` (`Oid`, `IdConductor`, `Nombre`, `Area`, `Piso`, `Celular`, `correo`, `Vinculacion`) VALUES ('320','1030669555','MARIA CAMILA CACERES MENDOZA ','Subsecretaría de Vivienda','','3142393483','maria.caceres@habitatbogota.gov.co','CONTRATISTA ');</v>
      </c>
    </row>
    <row r="328" spans="1:9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/>
      <c r="F328" s="6">
        <v>3153111493</v>
      </c>
      <c r="G328" s="8" t="s">
        <v>706</v>
      </c>
      <c r="H328" s="24" t="s">
        <v>125</v>
      </c>
      <c r="I328" s="37" t="str">
        <f t="shared" si="9"/>
        <v>INSERT INTO `parqueadero`.`conductor` (`Oid`, `IdConductor`, `Nombre`, `Area`, `Piso`, `Celular`, `correo`, `Vinculacion`) VALUES ('321','51769687','MARIA CONSUELO RODRIGUEZ MORENO ','Dirección de Financiación de Vivienda','','3153111493','maria.rodriguezm@habitatbogota.gov.co','CONTRATISTA ');</v>
      </c>
    </row>
    <row r="329" spans="1:9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/>
      <c r="F329" s="6">
        <v>3103237333</v>
      </c>
      <c r="G329" s="8" t="s">
        <v>386</v>
      </c>
      <c r="H329" s="24" t="s">
        <v>125</v>
      </c>
      <c r="I329" s="37" t="str">
        <f t="shared" ref="I329:I392" si="11">CONCATENATE("INSERT INTO `parqueadero`.`conductor` (`",$A$7,"`, `",$B$7,"`, `",$C$7,"`, `",$D$7,"`, `",$E$7,"`, `",$F$7,"`, `",$G$7,"`, `",$H$7,"`) VALUES ('",A329,"','",B329,"','",C329,"','",D329,"','",E329,"','",F329,"','",G329,"','",H329,"');" )</f>
        <v>INSERT INTO `parqueadero`.`conductor` (`Oid`, `IdConductor`, `Nombre`, `Area`, `Piso`, `Celular`, `correo`, `Vinculacion`) VALUES ('322','52825005','MARIA EUGENIA TAMAYO GUERRERO ','Dirección de Operaciones','','3103237333','maria.tamayo@habitatbogota.gov.co','CONTRATISTA ');</v>
      </c>
    </row>
    <row r="330" spans="1:9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125</v>
      </c>
      <c r="I330" s="37" t="str">
        <f t="shared" si="11"/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 ');</v>
      </c>
    </row>
    <row r="331" spans="1:9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125</v>
      </c>
      <c r="I331" s="37" t="str">
        <f t="shared" si="11"/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 ');</v>
      </c>
    </row>
    <row r="332" spans="1:9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125</v>
      </c>
      <c r="I332" s="37" t="str">
        <f t="shared" si="11"/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 ');</v>
      </c>
    </row>
    <row r="333" spans="1:9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125</v>
      </c>
      <c r="I333" s="37" t="str">
        <f t="shared" si="11"/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 ');</v>
      </c>
    </row>
    <row r="334" spans="1:9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7" t="str">
        <f t="shared" si="11"/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125</v>
      </c>
      <c r="I335" s="37" t="str">
        <f t="shared" si="11"/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 ');</v>
      </c>
    </row>
    <row r="336" spans="1:9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125</v>
      </c>
      <c r="I336" s="37" t="str">
        <f t="shared" si="11"/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 ');</v>
      </c>
    </row>
    <row r="337" spans="1:9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/>
      <c r="F337" s="6">
        <v>3123500023</v>
      </c>
      <c r="G337" s="8" t="s">
        <v>857</v>
      </c>
      <c r="H337" s="24" t="s">
        <v>125</v>
      </c>
      <c r="I337" s="37" t="str">
        <f t="shared" si="11"/>
        <v>INSERT INTO `parqueadero`.`conductor` (`Oid`, `IdConductor`, `Nombre`, `Area`, `Piso`, `Celular`, `correo`, `Vinculacion`) VALUES ('330','52028400','MARTHA PATRICIA TOVAR GONZALEZ ','Dirección de Financiación de Vivienda','','3123500023','martha.tovar@habitatbogota.gov.co','CONTRATISTA ');</v>
      </c>
    </row>
    <row r="338" spans="1:9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125</v>
      </c>
      <c r="I338" s="37" t="str">
        <f t="shared" si="11"/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 ');</v>
      </c>
    </row>
    <row r="339" spans="1:9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125</v>
      </c>
      <c r="I339" s="37" t="str">
        <f t="shared" si="11"/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 ');</v>
      </c>
    </row>
    <row r="340" spans="1:9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/>
      <c r="F340" s="17">
        <v>3202513080</v>
      </c>
      <c r="G340" s="8" t="s">
        <v>333</v>
      </c>
      <c r="H340" s="24" t="s">
        <v>125</v>
      </c>
      <c r="I340" s="37" t="str">
        <f t="shared" si="11"/>
        <v>INSERT INTO `parqueadero`.`conductor` (`Oid`, `IdConductor`, `Nombre`, `Area`, `Piso`, `Celular`, `correo`, `Vinculacion`) VALUES ('333','1090334186','MARY SOL BATERO CALVO ','Dirección de Gestión de Suelo','','3202513080','mary.batero@habitatbogota.gov.co','CONTRATISTA ');</v>
      </c>
    </row>
    <row r="341" spans="1:9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125</v>
      </c>
      <c r="I341" s="37" t="str">
        <f t="shared" si="11"/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 ');</v>
      </c>
    </row>
    <row r="342" spans="1:9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7" t="str">
        <f t="shared" si="11"/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125</v>
      </c>
      <c r="I343" s="37" t="str">
        <f t="shared" si="11"/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 ');</v>
      </c>
    </row>
    <row r="344" spans="1:9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 t="s">
        <v>2198</v>
      </c>
      <c r="F344" s="6">
        <v>3108061470</v>
      </c>
      <c r="G344" s="8" t="s">
        <v>21</v>
      </c>
      <c r="H344" s="24" t="s">
        <v>119</v>
      </c>
      <c r="I344" s="37" t="str">
        <f t="shared" si="11"/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 t="s">
        <v>2200</v>
      </c>
      <c r="F345" s="6">
        <v>3175339549</v>
      </c>
      <c r="G345" s="8" t="s">
        <v>163</v>
      </c>
      <c r="H345" s="24" t="s">
        <v>125</v>
      </c>
      <c r="I345" s="37" t="str">
        <f t="shared" si="11"/>
        <v>INSERT INTO `parqueadero`.`conductor` (`Oid`, `IdConductor`, `Nombre`, `Area`, `Piso`, `Celular`, `correo`, `Vinculacion`) VALUES ('338','1101754110','MAYRA MELISSA HERNÁNDEZ TORRES','Dirección Financiera','Piso 11','3175339549','mayra.hernandez@habitatbogota.gov.co','CONTRATISTA ');</v>
      </c>
    </row>
    <row r="346" spans="1:9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/>
      <c r="F346" s="6">
        <v>3053862189</v>
      </c>
      <c r="G346" s="8" t="s">
        <v>1464</v>
      </c>
      <c r="H346" s="24" t="s">
        <v>125</v>
      </c>
      <c r="I346" s="37" t="str">
        <f t="shared" si="11"/>
        <v>INSERT INTO `parqueadero`.`conductor` (`Oid`, `IdConductor`, `Nombre`, `Area`, `Piso`, `Celular`, `correo`, `Vinculacion`) VALUES ('339','1022984445','MICHAEL STIVEN BAUTISTA SALAZAR ','Dirección de Mejoramiento Habitacional','','3053862189','michael.bautista@habitatbogota.gov.co','CONTRATISTA ');</v>
      </c>
    </row>
    <row r="347" spans="1:9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125</v>
      </c>
      <c r="I347" s="37" t="str">
        <f t="shared" si="11"/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 ');</v>
      </c>
    </row>
    <row r="348" spans="1:9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125</v>
      </c>
      <c r="I348" s="37" t="str">
        <f t="shared" si="11"/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 ');</v>
      </c>
    </row>
    <row r="349" spans="1:9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/>
      <c r="F349" s="6">
        <v>3118215076</v>
      </c>
      <c r="G349" s="8" t="s">
        <v>642</v>
      </c>
      <c r="H349" s="24" t="s">
        <v>125</v>
      </c>
      <c r="I349" s="37" t="str">
        <f t="shared" si="11"/>
        <v>INSERT INTO `parqueadero`.`conductor` (`Oid`, `IdConductor`, `Nombre`, `Area`, `Piso`, `Celular`, `correo`, `Vinculacion`) VALUES ('342','1023943099','MISAEL ESTEBAN LINARES GARZON ','Dirección de Financiación de Vivienda','','3118215076','misael.linares@habitatbogota.gov.co','CONTRATISTA ');</v>
      </c>
    </row>
    <row r="350" spans="1:9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125</v>
      </c>
      <c r="I350" s="37" t="str">
        <f t="shared" si="11"/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 ');</v>
      </c>
    </row>
    <row r="351" spans="1:9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125</v>
      </c>
      <c r="I351" s="37" t="str">
        <f t="shared" si="11"/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 ');</v>
      </c>
    </row>
    <row r="352" spans="1:9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125</v>
      </c>
      <c r="I352" s="37" t="str">
        <f t="shared" si="11"/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 ');</v>
      </c>
    </row>
    <row r="353" spans="1:9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7" t="str">
        <f t="shared" si="11"/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/>
      <c r="F354" s="6">
        <v>3185570652</v>
      </c>
      <c r="G354" s="8" t="s">
        <v>451</v>
      </c>
      <c r="H354" s="24" t="s">
        <v>125</v>
      </c>
      <c r="I354" s="37" t="str">
        <f t="shared" si="11"/>
        <v>INSERT INTO `parqueadero`.`conductor` (`Oid`, `IdConductor`, `Nombre`, `Area`, `Piso`, `Celular`, `correo`, `Vinculacion`) VALUES ('347','1026263191','NATALIA ANDREA OTERO TRUJILLO ','Dirección de Investigaciones y Control de Vivienda','','3185570652','natalia.otero@habitatbogota.gov.co','CONTRATISTA ');</v>
      </c>
    </row>
    <row r="355" spans="1:9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125</v>
      </c>
      <c r="I355" s="37" t="str">
        <f t="shared" si="11"/>
        <v>INSERT INTO `parqueadero`.`conductor` (`Oid`, `IdConductor`, `Nombre`, `Area`, `Piso`, `Celular`, `correo`, `Vinculacion`) VALUES ('348','53178070','NATALIA FRANCO','Despacho','','3015419453','natalia.franco@habitatbogota.gov.co','CONTRATISTA ');</v>
      </c>
    </row>
    <row r="356" spans="1:9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125</v>
      </c>
      <c r="I356" s="37" t="str">
        <f t="shared" si="11"/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 ');</v>
      </c>
    </row>
    <row r="357" spans="1:9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125</v>
      </c>
      <c r="I357" s="37" t="str">
        <f t="shared" si="11"/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 ');</v>
      </c>
    </row>
    <row r="358" spans="1:9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125</v>
      </c>
      <c r="I358" s="37" t="str">
        <f t="shared" si="11"/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 ');</v>
      </c>
    </row>
    <row r="359" spans="1:9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125</v>
      </c>
      <c r="I359" s="37" t="str">
        <f t="shared" si="11"/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 ');</v>
      </c>
    </row>
    <row r="360" spans="1:9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125</v>
      </c>
      <c r="I360" s="37" t="str">
        <f t="shared" si="11"/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 ');</v>
      </c>
    </row>
    <row r="361" spans="1:9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 t="s">
        <v>2198</v>
      </c>
      <c r="F361" s="6">
        <v>3046650488</v>
      </c>
      <c r="G361" s="8" t="s">
        <v>433</v>
      </c>
      <c r="H361" s="24" t="s">
        <v>125</v>
      </c>
      <c r="I361" s="37" t="str">
        <f t="shared" si="11"/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 ');</v>
      </c>
    </row>
    <row r="362" spans="1:9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125</v>
      </c>
      <c r="I362" s="37" t="str">
        <f t="shared" si="11"/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 ');</v>
      </c>
    </row>
    <row r="363" spans="1:9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7" t="str">
        <f t="shared" si="11"/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/>
      <c r="F364" s="6">
        <v>3003593799</v>
      </c>
      <c r="G364" s="8" t="s">
        <v>1413</v>
      </c>
      <c r="H364" s="24" t="s">
        <v>125</v>
      </c>
      <c r="I364" s="37" t="str">
        <f t="shared" si="11"/>
        <v>INSERT INTO `parqueadero`.`conductor` (`Oid`, `IdConductor`, `Nombre`, `Area`, `Piso`, `Celular`, `correo`, `Vinculacion`) VALUES ('357','1032475428','NICOLAS JAIRO ALVAREZ GONZALEZ ','Oficina de Participación y Relacionamiento con la Ciudadanía','','3003593799','nicolas.alvarez@habitatbogota.gov.co','CONTRATISTA ');</v>
      </c>
    </row>
    <row r="365" spans="1:9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125</v>
      </c>
      <c r="I365" s="37" t="str">
        <f t="shared" si="11"/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 ');</v>
      </c>
    </row>
    <row r="366" spans="1:9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125</v>
      </c>
      <c r="I366" s="37" t="str">
        <f t="shared" si="11"/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 ');</v>
      </c>
    </row>
    <row r="367" spans="1:9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125</v>
      </c>
      <c r="I367" s="37" t="str">
        <f t="shared" si="11"/>
        <v>INSERT INTO `parqueadero`.`conductor` (`Oid`, `IdConductor`, `Nombre`, `Area`, `Piso`, `Celular`, `correo`, `Vinculacion`) VALUES ('360','79950133','OMAR MORENO VERA','Gestión Documental','','3407192209','omar.moreno@habitatbogota.gov.co','CONTRATISTA ');</v>
      </c>
    </row>
    <row r="368" spans="1:9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125</v>
      </c>
      <c r="I368" s="37" t="str">
        <f t="shared" si="11"/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 ');</v>
      </c>
    </row>
    <row r="369" spans="1:9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125</v>
      </c>
      <c r="I369" s="37" t="str">
        <f t="shared" si="11"/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 ');</v>
      </c>
    </row>
    <row r="370" spans="1:9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/>
      <c r="F370" s="6">
        <v>3505400355</v>
      </c>
      <c r="G370" s="8" t="s">
        <v>1673</v>
      </c>
      <c r="H370" s="24" t="s">
        <v>125</v>
      </c>
      <c r="I370" s="37" t="str">
        <f t="shared" si="11"/>
        <v>INSERT INTO `parqueadero`.`conductor` (`Oid`, `IdConductor`, `Nombre`, `Area`, `Piso`, `Celular`, `correo`, `Vinculacion`) VALUES ('363','79756400','OSCAR GIOVANNY ROJAS ROJAS ','Oficina de Participación y Relacionamiento con la Ciudadanía','','3505400355','oscar.rojas@habitatbogota.gov.co','CONTRATISTA ');</v>
      </c>
    </row>
    <row r="371" spans="1:9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7" t="str">
        <f t="shared" si="11"/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125</v>
      </c>
      <c r="I372" s="37" t="str">
        <f t="shared" si="11"/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 ');</v>
      </c>
    </row>
    <row r="373" spans="1:9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125</v>
      </c>
      <c r="I373" s="37" t="str">
        <f t="shared" si="11"/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 ');</v>
      </c>
    </row>
    <row r="374" spans="1:9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/>
      <c r="F374" s="6">
        <v>3172705684</v>
      </c>
      <c r="G374" s="8" t="s">
        <v>269</v>
      </c>
      <c r="H374" s="24" t="s">
        <v>125</v>
      </c>
      <c r="I374" s="37" t="str">
        <f t="shared" si="11"/>
        <v>INSERT INTO `parqueadero`.`conductor` (`Oid`, `IdConductor`, `Nombre`, `Area`, `Piso`, `Celular`, `correo`, `Vinculacion`) VALUES ('367','35530221','PAOLA BASTO ROMERO ','Dirección de Investigaciones y Control de Vivienda','','3172705684','paola.basto@habitatbogota.gov.co','CONTRATISTA ');</v>
      </c>
    </row>
    <row r="375" spans="1:9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125</v>
      </c>
      <c r="I375" s="37" t="str">
        <f t="shared" si="11"/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 ');</v>
      </c>
    </row>
    <row r="376" spans="1:9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125</v>
      </c>
      <c r="I376" s="37" t="str">
        <f t="shared" si="11"/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 ');</v>
      </c>
    </row>
    <row r="377" spans="1:9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125</v>
      </c>
      <c r="I377" s="37" t="str">
        <f t="shared" si="11"/>
        <v>INSERT INTO `parqueadero`.`conductor` (`Oid`, `IdConductor`, `Nombre`, `Area`, `Piso`, `Celular`, `correo`, `Vinculacion`) VALUES ('370','1019060772','PAULA CAMILA VEGA BUSTOS','Despacho','','3212564943','paula.vega@habitatbogota.gov.co','CONTRATISTA ');</v>
      </c>
    </row>
    <row r="378" spans="1:9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/>
      <c r="F378" s="6">
        <v>155443425</v>
      </c>
      <c r="G378" s="8" t="s">
        <v>1952</v>
      </c>
      <c r="H378" s="24" t="s">
        <v>125</v>
      </c>
      <c r="I378" s="37" t="str">
        <f t="shared" si="11"/>
        <v>INSERT INTO `parqueadero`.`conductor` (`Oid`, `IdConductor`, `Nombre`, `Area`, `Piso`, `Celular`, `correo`, `Vinculacion`) VALUES ('371','1010235400','PAULA SOFÍA ENCINALES URQUIZA','Dirección de Financiación de Vivienda','','155443425','paula.encinales@habitatbogota.gov.co','CONTRATISTA ');</v>
      </c>
    </row>
    <row r="379" spans="1:9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125</v>
      </c>
      <c r="I379" s="37" t="str">
        <f t="shared" si="11"/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 ');</v>
      </c>
    </row>
    <row r="380" spans="1:9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125</v>
      </c>
      <c r="I380" s="37" t="str">
        <f t="shared" si="11"/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 ');</v>
      </c>
    </row>
    <row r="381" spans="1:9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 t="s">
        <v>2200</v>
      </c>
      <c r="F381" s="6">
        <v>3192146582</v>
      </c>
      <c r="G381" s="8" t="s">
        <v>628</v>
      </c>
      <c r="H381" s="24" t="s">
        <v>125</v>
      </c>
      <c r="I381" s="37" t="str">
        <f t="shared" si="11"/>
        <v>INSERT INTO `parqueadero`.`conductor` (`Oid`, `IdConductor`, `Nombre`, `Area`, `Piso`, `Celular`, `correo`, `Vinculacion`) VALUES ('374','19325842','PEDRO MARIO BUITRAGO MEDINA','Dirección Financiera','Piso 11','3192146582','pedro.buitrago@habitatbogota.gov.co','CONTRATISTA ');</v>
      </c>
    </row>
    <row r="382" spans="1:9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6" t="s">
        <v>2200</v>
      </c>
      <c r="F382" s="17">
        <v>3045528065</v>
      </c>
      <c r="G382" s="8" t="s">
        <v>1527</v>
      </c>
      <c r="H382" s="24" t="s">
        <v>119</v>
      </c>
      <c r="I382" s="37" t="str">
        <f t="shared" si="11"/>
        <v>INSERT INTO `parqueadero`.`conductor` (`Oid`, `IdConductor`, `Nombre`, `Area`, `Piso`, `Celular`, `correo`, `Vinculacion`) VALUES ('375','4228842','PEDRO PABLO PEÑA CASTIBLANCO','Dirección Financiera','Piso 11','3045528065','pedro.pena@habitatbogota.gov.co','FUNCIONARIO');</v>
      </c>
    </row>
    <row r="383" spans="1:9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125</v>
      </c>
      <c r="I383" s="37" t="str">
        <f t="shared" si="11"/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 ');</v>
      </c>
    </row>
    <row r="384" spans="1:9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125</v>
      </c>
      <c r="I384" s="37" t="str">
        <f t="shared" si="11"/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 ');</v>
      </c>
    </row>
    <row r="385" spans="1:9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125</v>
      </c>
      <c r="I385" s="37" t="str">
        <f t="shared" si="11"/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 ');</v>
      </c>
    </row>
    <row r="386" spans="1:9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7" t="str">
        <f t="shared" si="11"/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125</v>
      </c>
      <c r="I387" s="37" t="str">
        <f t="shared" si="11"/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 ');</v>
      </c>
    </row>
    <row r="388" spans="1:9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/>
      <c r="F388" s="6">
        <v>3006677111</v>
      </c>
      <c r="G388" s="8" t="s">
        <v>537</v>
      </c>
      <c r="H388" s="24" t="s">
        <v>125</v>
      </c>
      <c r="I388" s="37" t="str">
        <f t="shared" si="11"/>
        <v>INSERT INTO `parqueadero`.`conductor` (`Oid`, `IdConductor`, `Nombre`, `Area`, `Piso`, `Celular`, `correo`, `Vinculacion`) VALUES ('381','50939844','REMY JOSEFA RAMÍREZ NEGRETE ','Dirección de Investigaciones y Control de Vivienda','','3006677111','remy.ramirez@habitatbogota.gov.co','CONTRATISTA ');</v>
      </c>
    </row>
    <row r="389" spans="1:9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125</v>
      </c>
      <c r="I389" s="37" t="str">
        <f t="shared" si="11"/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 ');</v>
      </c>
    </row>
    <row r="390" spans="1:9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125</v>
      </c>
      <c r="I390" s="37" t="str">
        <f t="shared" si="11"/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 ');</v>
      </c>
    </row>
    <row r="391" spans="1:9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125</v>
      </c>
      <c r="I391" s="37" t="str">
        <f t="shared" si="11"/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 ');</v>
      </c>
    </row>
    <row r="392" spans="1:9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/>
      <c r="F392" s="6">
        <v>3166210717</v>
      </c>
      <c r="G392" s="8" t="s">
        <v>737</v>
      </c>
      <c r="H392" s="24" t="s">
        <v>125</v>
      </c>
      <c r="I392" s="37" t="str">
        <f t="shared" si="11"/>
        <v>INSERT INTO `parqueadero`.`conductor` (`Oid`, `IdConductor`, `Nombre`, `Area`, `Piso`, `Celular`, `correo`, `Vinculacion`) VALUES ('385','79328182','ROBERTO VELÁSQUEZ VELÁSQUEZ ','Dirección de Apoyo a la Contrucción','','3166210717','roberto.velasquez@habitatbogota.gov.co','CONTRATISTA ');</v>
      </c>
    </row>
    <row r="393" spans="1:9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7" t="str">
        <f t="shared" ref="I393:I445" si="13">CONCATENATE("INSERT INTO `parqueadero`.`conductor` (`",$A$7,"`, `",$B$7,"`, `",$C$7,"`, `",$D$7,"`, `",$E$7,"`, `",$F$7,"`, `",$G$7,"`, `",$H$7,"`) VALUES ('",A393,"','",B393,"','",C393,"','",D393,"','",E393,"','",F393,"','",G393,"','",H393,"');" )</f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 t="s">
        <v>2198</v>
      </c>
      <c r="F394" s="6">
        <v>3007889782</v>
      </c>
      <c r="G394" s="8" t="s">
        <v>241</v>
      </c>
      <c r="H394" s="24" t="s">
        <v>125</v>
      </c>
      <c r="I394" s="37" t="str">
        <f t="shared" si="13"/>
        <v>INSERT INTO `parqueadero`.`conductor` (`Oid`, `IdConductor`, `Nombre`, `Area`, `Piso`, `Celular`, `correo`, `Vinculacion`) VALUES ('387','79773343','RODRIGO HIDALGO ','Dirección Administrativa','Piso 12','3007889782','rodrigo.hidalgo@habitatbogora.gov.co','CONTRATISTA ');</v>
      </c>
    </row>
    <row r="395" spans="1:9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 t="s">
        <v>2198</v>
      </c>
      <c r="F395" s="6">
        <v>3007889782</v>
      </c>
      <c r="G395" s="8" t="s">
        <v>260</v>
      </c>
      <c r="H395" s="24" t="s">
        <v>125</v>
      </c>
      <c r="I395" s="37" t="str">
        <f t="shared" si="13"/>
        <v>INSERT INTO `parqueadero`.`conductor` (`Oid`, `IdConductor`, `Nombre`, `Area`, `Piso`, `Celular`, `correo`, `Vinculacion`) VALUES ('388','79873343','RODRIGO HIDALGO ','Dirección Administrativa','Piso 12','3007889782','rodrigo.hidalgo@habitatbogota.gov.co','CONTRATISTA ');</v>
      </c>
    </row>
    <row r="396" spans="1:9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125</v>
      </c>
      <c r="I396" s="37" t="str">
        <f t="shared" si="13"/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 ');</v>
      </c>
    </row>
    <row r="397" spans="1:9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125</v>
      </c>
      <c r="I397" s="37" t="str">
        <f t="shared" si="13"/>
        <v>INSERT INTO `parqueadero`.`conductor` (`Oid`, `IdConductor`, `Nombre`, `Area`, `Piso`, `Celular`, `correo`, `Vinculacion`) VALUES ('390','53167119','ROSA CAROLINA CORAL QUIROZ','Subsecretaría Jurídica','','3005054691','rosa.coral@habitatbogota.gov.co','CONTRATISTA ');</v>
      </c>
    </row>
    <row r="398" spans="1:9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7" t="str">
        <f t="shared" si="13"/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125</v>
      </c>
      <c r="I399" s="37" t="str">
        <f t="shared" si="13"/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 ');</v>
      </c>
    </row>
    <row r="400" spans="1:9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6"/>
      <c r="F400" s="17">
        <v>3014400686</v>
      </c>
      <c r="G400" s="8" t="s">
        <v>873</v>
      </c>
      <c r="H400" s="24" t="s">
        <v>125</v>
      </c>
      <c r="I400" s="37" t="str">
        <f t="shared" si="13"/>
        <v>INSERT INTO `parqueadero`.`conductor` (`Oid`, `IdConductor`, `Nombre`, `Area`, `Piso`, `Celular`, `correo`, `Vinculacion`) VALUES ('393','1030543652','SANDRA JOHANA PINZON RODRÍGUEZ ','Oficina Asesora de Planeación','','3014400686','sandra.pinzonr@habitatbogota.gov.co','CONTRATISTA ');</v>
      </c>
    </row>
    <row r="401" spans="1:9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17"/>
      <c r="F401" s="6">
        <v>3106183500</v>
      </c>
      <c r="G401" s="8" t="s">
        <v>646</v>
      </c>
      <c r="H401" s="24" t="s">
        <v>125</v>
      </c>
      <c r="I401" s="37" t="str">
        <f t="shared" si="13"/>
        <v>INSERT INTO `parqueadero`.`conductor` (`Oid`, `IdConductor`, `Nombre`, `Area`, `Piso`, `Celular`, `correo`, `Vinculacion`) VALUES ('394','1020833621','SANTIAGO GARCIA ','Despacho','','3106183500','santiago.garcia@habitatbogota.gov.co','CONTRATISTA ');</v>
      </c>
    </row>
    <row r="402" spans="1:9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/>
      <c r="F402" s="6">
        <v>3245841183</v>
      </c>
      <c r="G402" s="8" t="s">
        <v>1265</v>
      </c>
      <c r="H402" s="24" t="s">
        <v>125</v>
      </c>
      <c r="I402" s="37" t="str">
        <f t="shared" si="13"/>
        <v>INSERT INTO `parqueadero`.`conductor` (`Oid`, `IdConductor`, `Nombre`, `Area`, `Piso`, `Celular`, `correo`, `Vinculacion`) VALUES ('395','1018493253','SANTIAGO LINARES ','Dirección de Financiación de Vivienda','','3245841183','santiago.linares@habitatbogota.gov.co','CONTRATISTA ');</v>
      </c>
    </row>
    <row r="403" spans="1:9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125</v>
      </c>
      <c r="I403" s="37" t="str">
        <f t="shared" si="13"/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 ');</v>
      </c>
    </row>
    <row r="404" spans="1:9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/>
      <c r="F404" s="6">
        <v>3002619924</v>
      </c>
      <c r="G404" s="8" t="s">
        <v>470</v>
      </c>
      <c r="H404" s="24" t="s">
        <v>125</v>
      </c>
      <c r="I404" s="37" t="str">
        <f t="shared" si="13"/>
        <v>INSERT INTO `parqueadero`.`conductor` (`Oid`, `IdConductor`, `Nombre`, `Area`, `Piso`, `Celular`, `correo`, `Vinculacion`) VALUES ('397','53066202','SARA MILENA AGUIRRE BARRERA ','Dirección de Financiación de Vivienda','','3002619924','saritaguirre@hotmail.com','CONTRATISTA ');</v>
      </c>
    </row>
    <row r="405" spans="1:9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125</v>
      </c>
      <c r="I405" s="37" t="str">
        <f t="shared" si="13"/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 ');</v>
      </c>
    </row>
    <row r="406" spans="1:9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6"/>
      <c r="F406" s="13">
        <v>31339999368</v>
      </c>
      <c r="G406" s="8" t="s">
        <v>1830</v>
      </c>
      <c r="H406" s="24" t="s">
        <v>125</v>
      </c>
      <c r="I406" s="37" t="str">
        <f t="shared" si="13"/>
        <v>INSERT INTO `parqueadero`.`conductor` (`Oid`, `IdConductor`, `Nombre`, `Area`, `Piso`, `Celular`, `correo`, `Vinculacion`) VALUES ('399','1049794506','SATUL LUCERO VERA PATIÑO','Subsecretaría Jurídica','','31339999368','lucero.vera@habitatbogota.gov.co','CONTRATISTA ');</v>
      </c>
    </row>
    <row r="407" spans="1:9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125</v>
      </c>
      <c r="I407" s="37" t="str">
        <f t="shared" si="13"/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 ');</v>
      </c>
    </row>
    <row r="408" spans="1:9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125</v>
      </c>
      <c r="I408" s="37" t="str">
        <f t="shared" si="13"/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 ');</v>
      </c>
    </row>
    <row r="409" spans="1:9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125</v>
      </c>
      <c r="I409" s="37" t="str">
        <f t="shared" si="13"/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 ');</v>
      </c>
    </row>
    <row r="410" spans="1:9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125</v>
      </c>
      <c r="I410" s="37" t="str">
        <f t="shared" si="13"/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 ');</v>
      </c>
    </row>
    <row r="411" spans="1:9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125</v>
      </c>
      <c r="I411" s="37" t="str">
        <f t="shared" si="13"/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 ');</v>
      </c>
    </row>
    <row r="412" spans="1:9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125</v>
      </c>
      <c r="I412" s="37" t="str">
        <f t="shared" si="13"/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 ');</v>
      </c>
    </row>
    <row r="413" spans="1:9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125</v>
      </c>
      <c r="I413" s="37" t="str">
        <f t="shared" si="13"/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 ');</v>
      </c>
    </row>
    <row r="414" spans="1:9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125</v>
      </c>
      <c r="I414" s="37" t="str">
        <f t="shared" si="13"/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 ');</v>
      </c>
    </row>
    <row r="415" spans="1:9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125</v>
      </c>
      <c r="I415" s="37" t="str">
        <f t="shared" si="13"/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 ');</v>
      </c>
    </row>
    <row r="416" spans="1:9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125</v>
      </c>
      <c r="I416" s="37" t="str">
        <f t="shared" si="13"/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 ');</v>
      </c>
    </row>
    <row r="417" spans="1:9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125</v>
      </c>
      <c r="I417" s="37" t="str">
        <f t="shared" si="13"/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 ');</v>
      </c>
    </row>
    <row r="418" spans="1:9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125</v>
      </c>
      <c r="I418" s="37" t="str">
        <f t="shared" si="13"/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 ');</v>
      </c>
    </row>
    <row r="419" spans="1:9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125</v>
      </c>
      <c r="I419" s="37" t="str">
        <f t="shared" si="13"/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 ');</v>
      </c>
    </row>
    <row r="420" spans="1:9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125</v>
      </c>
      <c r="I420" s="37" t="str">
        <f t="shared" si="13"/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 ');</v>
      </c>
    </row>
    <row r="421" spans="1:9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125</v>
      </c>
      <c r="I421" s="37" t="str">
        <f t="shared" si="13"/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 ');</v>
      </c>
    </row>
    <row r="422" spans="1:9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7" t="str">
        <f t="shared" si="13"/>
        <v>INSERT INTO `parqueadero`.`conductor` (`Oid`, `IdConductor`, `Nombre`, `Area`, `Piso`, `Celular`, `correo`, `Vinculacion`) VALUES ('415','74282260','VICTOR RAÚL NEIRA MORRIS ','Dirección de Investigaciones y Control de Vivienda','','3103296374','victor.neira@habitatbogota.gov.co','FUNCIONARIO');</v>
      </c>
    </row>
    <row r="423" spans="1:9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125</v>
      </c>
      <c r="I423" s="37" t="str">
        <f t="shared" si="13"/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 ');</v>
      </c>
    </row>
    <row r="424" spans="1:9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125</v>
      </c>
      <c r="I424" s="37" t="str">
        <f t="shared" si="13"/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 ');</v>
      </c>
    </row>
    <row r="425" spans="1:9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125</v>
      </c>
      <c r="I425" s="37" t="str">
        <f t="shared" si="13"/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 ');</v>
      </c>
    </row>
    <row r="426" spans="1:9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125</v>
      </c>
      <c r="I426" s="37" t="str">
        <f t="shared" si="13"/>
        <v>INSERT INTO `parqueadero`.`conductor` (`Oid`, `IdConductor`, `Nombre`, `Area`, `Piso`, `Celular`, `correo`, `Vinculacion`) VALUES ('419','79945548','WILLIAM AVILA','Dirección de Servicios Públicos','','3005504707','william.avila@gmail.com','CONTRATISTA ');</v>
      </c>
    </row>
    <row r="427" spans="1:9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125</v>
      </c>
      <c r="I427" s="37" t="str">
        <f t="shared" si="13"/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 ');</v>
      </c>
    </row>
    <row r="428" spans="1:9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125</v>
      </c>
      <c r="I428" s="37" t="str">
        <f t="shared" si="13"/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 ');</v>
      </c>
    </row>
    <row r="429" spans="1:9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125</v>
      </c>
      <c r="I429" s="37" t="str">
        <f t="shared" si="13"/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 ');</v>
      </c>
    </row>
    <row r="430" spans="1:9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/>
      <c r="F430" s="6">
        <v>3205349671</v>
      </c>
      <c r="G430" s="8" t="s">
        <v>1515</v>
      </c>
      <c r="H430" s="24" t="s">
        <v>125</v>
      </c>
      <c r="I430" s="37" t="str">
        <f t="shared" si="13"/>
        <v>INSERT INTO `parqueadero`.`conductor` (`Oid`, `IdConductor`, `Nombre`, `Area`, `Piso`, `Celular`, `correo`, `Vinculacion`) VALUES ('423','79244560','WILSON ENRIQUE TOVAR SARMIENTO ','Dirección de Investigaciones y Control de Vivienda','','3205349671','wilson.tovar@habitatbogota.gov.co','CONTRATISTA ');</v>
      </c>
    </row>
    <row r="431" spans="1:9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7" t="str">
        <f t="shared" si="13"/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6"/>
      <c r="F432" s="17">
        <v>3213046961</v>
      </c>
      <c r="G432" s="8" t="s">
        <v>1178</v>
      </c>
      <c r="H432" s="24" t="s">
        <v>125</v>
      </c>
      <c r="I432" s="37" t="str">
        <f t="shared" si="13"/>
        <v>INSERT INTO `parqueadero`.`conductor` (`Oid`, `IdConductor`, `Nombre`, `Area`, `Piso`, `Celular`, `correo`, `Vinculacion`) VALUES ('425','80897139','WILVER VELASQUEZ RIVERA ','Oficina de Participación y Relacionamiento con la Ciudadanía','','3213046961','wsvelasquez9@gmail.com','CONTRATISTA ');</v>
      </c>
    </row>
    <row r="433" spans="1:9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125</v>
      </c>
      <c r="I433" s="37" t="str">
        <f t="shared" si="13"/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 ');</v>
      </c>
    </row>
    <row r="434" spans="1:9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125</v>
      </c>
      <c r="I434" s="37" t="str">
        <f t="shared" si="13"/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 ');</v>
      </c>
    </row>
    <row r="435" spans="1:9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125</v>
      </c>
      <c r="I435" s="37" t="str">
        <f t="shared" si="13"/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 ');</v>
      </c>
    </row>
    <row r="436" spans="1:9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/>
      <c r="F436" s="6">
        <v>3102982496</v>
      </c>
      <c r="G436" s="8" t="s">
        <v>1063</v>
      </c>
      <c r="H436" s="24" t="s">
        <v>125</v>
      </c>
      <c r="I436" s="37" t="str">
        <f t="shared" si="13"/>
        <v>INSERT INTO `parqueadero`.`conductor` (`Oid`, `IdConductor`, `Nombre`, `Area`, `Piso`, `Celular`, `correo`, `Vinculacion`) VALUES ('429','24731198','YANERY OSORIO CORTES ','Dirección de Financiación de Vivienda','','3102982496','yanery.osorio@habitatbogota.gov.co','CONTRATISTA ');</v>
      </c>
    </row>
    <row r="437" spans="1:9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125</v>
      </c>
      <c r="I437" s="37" t="str">
        <f t="shared" si="13"/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 ');</v>
      </c>
    </row>
    <row r="438" spans="1:9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125</v>
      </c>
      <c r="I438" s="37" t="str">
        <f t="shared" si="13"/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 ');</v>
      </c>
    </row>
    <row r="439" spans="1:9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 t="s">
        <v>2198</v>
      </c>
      <c r="F439" s="6">
        <v>3194507035</v>
      </c>
      <c r="G439" s="8" t="s">
        <v>770</v>
      </c>
      <c r="H439" s="24" t="s">
        <v>125</v>
      </c>
      <c r="I439" s="37" t="str">
        <f t="shared" si="13"/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 ');</v>
      </c>
    </row>
    <row r="440" spans="1:9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/>
      <c r="F440" s="6">
        <v>3112795171</v>
      </c>
      <c r="G440" s="8" t="s">
        <v>1010</v>
      </c>
      <c r="H440" s="24" t="s">
        <v>125</v>
      </c>
      <c r="I440" s="37" t="str">
        <f t="shared" si="13"/>
        <v>INSERT INTO `parqueadero`.`conductor` (`Oid`, `IdConductor`, `Nombre`, `Area`, `Piso`, `Celular`, `correo`, `Vinculacion`) VALUES ('433','1072072690','YINNA ALEJANDRA CALDERÓN RODRÍGUEZ ','Dirección de Prevención Arrendamiento y Control de Enajenación','','3112795171','yinna.calderon@habitatbogota.gov.co','CONTRATISTA ');</v>
      </c>
    </row>
    <row r="441" spans="1:9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125</v>
      </c>
      <c r="I441" s="37" t="str">
        <f t="shared" si="13"/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 ');</v>
      </c>
    </row>
    <row r="442" spans="1:9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125</v>
      </c>
      <c r="I442" s="37" t="str">
        <f t="shared" si="13"/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 ');</v>
      </c>
    </row>
    <row r="443" spans="1:9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125</v>
      </c>
      <c r="I443" s="37" t="str">
        <f t="shared" si="13"/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 ');</v>
      </c>
    </row>
    <row r="444" spans="1:9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7" t="str">
        <f t="shared" si="13"/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125</v>
      </c>
      <c r="I445" s="37" t="str">
        <f t="shared" si="13"/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 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mergeCells count="1">
    <mergeCell ref="A3:G4"/>
  </mergeCells>
  <conditionalFormatting sqref="B8:B445">
    <cfRule type="duplicateValues" dxfId="3" priority="28"/>
  </conditionalFormatting>
  <conditionalFormatting sqref="B1:B1048576">
    <cfRule type="duplicateValues" dxfId="2" priority="1"/>
  </conditionalFormatting>
  <hyperlinks>
    <hyperlink ref="G344" r:id="rId1"/>
    <hyperlink ref="G171" r:id="rId2"/>
    <hyperlink ref="G86" r:id="rId3"/>
    <hyperlink ref="G276" r:id="rId4"/>
    <hyperlink ref="G11" r:id="rId5"/>
    <hyperlink ref="G348" r:id="rId6"/>
    <hyperlink ref="G114" r:id="rId7"/>
    <hyperlink ref="G109" r:id="rId8"/>
    <hyperlink ref="G106" r:id="rId9"/>
    <hyperlink ref="G359" r:id="rId10"/>
    <hyperlink ref="G175" r:id="rId11"/>
    <hyperlink ref="G313" r:id="rId12"/>
    <hyperlink ref="G338" r:id="rId13"/>
    <hyperlink ref="G283" r:id="rId14"/>
    <hyperlink ref="G39" r:id="rId15"/>
    <hyperlink ref="G141" r:id="rId16"/>
    <hyperlink ref="G370" r:id="rId17"/>
    <hyperlink ref="G27" r:id="rId18"/>
    <hyperlink ref="G441" r:id="rId19"/>
    <hyperlink ref="G322" r:id="rId20"/>
    <hyperlink ref="G164" r:id="rId21"/>
    <hyperlink ref="G59" r:id="rId22"/>
    <hyperlink ref="G232" r:id="rId23"/>
    <hyperlink ref="G398" r:id="rId24"/>
    <hyperlink ref="G151" r:id="rId25"/>
    <hyperlink ref="G371" r:id="rId26"/>
    <hyperlink ref="G15" r:id="rId27"/>
    <hyperlink ref="G245" r:id="rId28"/>
    <hyperlink ref="G262" r:id="rId29"/>
    <hyperlink ref="G409" r:id="rId30"/>
    <hyperlink ref="G160" r:id="rId31"/>
    <hyperlink ref="G210" r:id="rId32"/>
    <hyperlink ref="G281" r:id="rId33"/>
    <hyperlink ref="G258" r:id="rId34"/>
    <hyperlink ref="G207" r:id="rId35"/>
    <hyperlink ref="G269" r:id="rId36"/>
    <hyperlink ref="G108" r:id="rId37"/>
    <hyperlink ref="G255" r:id="rId38"/>
    <hyperlink ref="G203" r:id="rId39"/>
    <hyperlink ref="G112" r:id="rId40"/>
    <hyperlink ref="G296" r:id="rId41"/>
    <hyperlink ref="G351" r:id="rId42"/>
    <hyperlink ref="G406" r:id="rId43"/>
    <hyperlink ref="G233" r:id="rId44"/>
    <hyperlink ref="G442" r:id="rId45" display="yulli.cardenas@contraloriabogota.gov.co"/>
    <hyperlink ref="G8" r:id="rId46" display="adriana.bello@contraloriabogota.gov.co"/>
    <hyperlink ref="G195" r:id="rId47" display="jeison.santos@contraloriabogota.gov.co"/>
    <hyperlink ref="G87" r:id="rId48" display="cindy.valderrama@contraloriabogota.gov.co"/>
    <hyperlink ref="G444" r:id="rId49"/>
    <hyperlink ref="G129" r:id="rId50"/>
    <hyperlink ref="G50" r:id="rId51"/>
    <hyperlink ref="G159" r:id="rId52"/>
    <hyperlink ref="G415" r:id="rId53"/>
    <hyperlink ref="G336" r:id="rId54"/>
    <hyperlink ref="G434" r:id="rId55"/>
    <hyperlink ref="G437" r:id="rId56"/>
    <hyperlink ref="G260" r:id="rId57"/>
    <hyperlink ref="G202" r:id="rId58"/>
    <hyperlink ref="G124" r:id="rId59"/>
    <hyperlink ref="G220" r:id="rId60"/>
    <hyperlink ref="G206" r:id="rId61"/>
    <hyperlink ref="G421" r:id="rId62"/>
    <hyperlink ref="G314" r:id="rId63"/>
    <hyperlink ref="G61" r:id="rId64"/>
    <hyperlink ref="G315" r:id="rId65"/>
    <hyperlink ref="G378" r:id="rId66"/>
    <hyperlink ref="G188" r:id="rId67"/>
    <hyperlink ref="G347" r:id="rId68"/>
    <hyperlink ref="G162" r:id="rId69"/>
    <hyperlink ref="G147" r:id="rId70"/>
    <hyperlink ref="G244" r:id="rId71"/>
    <hyperlink ref="G26" r:id="rId72"/>
    <hyperlink ref="G320" r:id="rId73"/>
  </hyperlinks>
  <pageMargins left="0.7" right="0.7" top="0.75" bottom="0.75" header="0.3" footer="0.3"/>
  <pageSetup paperSize="9" orientation="portrait" r:id="rId7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42" t="s">
        <v>2115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</row>
    <row r="4" spans="1:19" x14ac:dyDescent="0.25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7" spans="1:19" customFormat="1" ht="14.4" x14ac:dyDescent="0.3">
      <c r="A7" s="1"/>
      <c r="B7" s="2" t="s">
        <v>0</v>
      </c>
      <c r="C7" s="2" t="s">
        <v>1</v>
      </c>
      <c r="D7" s="2" t="s">
        <v>2194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CONTRATOS</vt:lpstr>
      <vt:lpstr>PATINETA</vt:lpstr>
      <vt:lpstr>BICICLETA</vt:lpstr>
      <vt:lpstr>MOTO ELECTRICA</vt:lpstr>
      <vt:lpstr>VEHICULO</vt:lpstr>
      <vt:lpstr>Hoja1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2026-08-25T02:31:02Z</dcterms:modified>
</cp:coreProperties>
</file>