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activeTab="3"/>
  </bookViews>
  <sheets>
    <sheet name="CONTRATOS" sheetId="8" r:id="rId1"/>
    <sheet name="PATINETA" sheetId="6" r:id="rId2"/>
    <sheet name="BICICLETA" sheetId="5" r:id="rId3"/>
    <sheet name="VEHICULO" sheetId="3" r:id="rId4"/>
    <sheet name="Hoja8" sheetId="9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CONDUCTOR!$A$7:$G$445</definedName>
    <definedName name="_xlnm._FilterDatabase" localSheetId="0" hidden="1">CONTRATOS!$A$7:$K$445</definedName>
    <definedName name="_xlnm._FilterDatabase" localSheetId="1" hidden="1">PATINETA!$A$7:$G$26</definedName>
    <definedName name="_xlnm._FilterDatabase" localSheetId="3" hidden="1">VEHICULO!$A$7:$H$464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1" i="9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A26" i="3"/>
  <c r="A27" i="3"/>
  <c r="A28" i="3"/>
  <c r="A29" i="3"/>
  <c r="A30" i="3"/>
  <c r="A31" i="3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A42" i="3"/>
  <c r="A43" i="3"/>
  <c r="A44" i="3"/>
  <c r="A45" i="3"/>
  <c r="A46" i="3"/>
  <c r="A47" i="3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A58" i="3"/>
  <c r="A59" i="3"/>
  <c r="A60" i="3"/>
  <c r="A61" i="3"/>
  <c r="A62" i="3"/>
  <c r="A63" i="3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A74" i="3"/>
  <c r="A75" i="3"/>
  <c r="A76" i="3"/>
  <c r="A77" i="3"/>
  <c r="A78" i="3"/>
  <c r="A79" i="3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A90" i="3"/>
  <c r="A91" i="3"/>
  <c r="A92" i="3"/>
  <c r="A93" i="3"/>
  <c r="A94" i="3"/>
  <c r="A95" i="3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A106" i="3"/>
  <c r="A107" i="3"/>
  <c r="A108" i="3"/>
  <c r="A109" i="3"/>
  <c r="A110" i="3"/>
  <c r="A111" i="3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A122" i="3"/>
  <c r="A123" i="3"/>
  <c r="A124" i="3"/>
  <c r="A125" i="3"/>
  <c r="A126" i="3"/>
  <c r="A127" i="3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A138" i="3"/>
  <c r="A139" i="3"/>
  <c r="A140" i="3"/>
  <c r="A141" i="3"/>
  <c r="A142" i="3"/>
  <c r="A143" i="3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A154" i="3"/>
  <c r="A155" i="3"/>
  <c r="A156" i="3"/>
  <c r="A157" i="3"/>
  <c r="A158" i="3"/>
  <c r="A159" i="3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A170" i="3"/>
  <c r="A171" i="3"/>
  <c r="A172" i="3"/>
  <c r="A173" i="3"/>
  <c r="A174" i="3"/>
  <c r="A175" i="3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A186" i="3"/>
  <c r="A187" i="3"/>
  <c r="A188" i="3"/>
  <c r="A189" i="3"/>
  <c r="A190" i="3"/>
  <c r="A191" i="3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A202" i="3"/>
  <c r="A203" i="3"/>
  <c r="A204" i="3"/>
  <c r="A205" i="3"/>
  <c r="A206" i="3"/>
  <c r="A207" i="3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A218" i="3"/>
  <c r="A219" i="3"/>
  <c r="A220" i="3"/>
  <c r="A221" i="3"/>
  <c r="A222" i="3"/>
  <c r="A223" i="3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A234" i="3"/>
  <c r="A235" i="3"/>
  <c r="A236" i="3"/>
  <c r="A237" i="3"/>
  <c r="A238" i="3"/>
  <c r="A239" i="3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A250" i="3"/>
  <c r="A251" i="3"/>
  <c r="A252" i="3"/>
  <c r="A253" i="3"/>
  <c r="A254" i="3"/>
  <c r="A255" i="3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A266" i="3"/>
  <c r="A267" i="3"/>
  <c r="A268" i="3"/>
  <c r="A269" i="3"/>
  <c r="A270" i="3"/>
  <c r="A271" i="3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A282" i="3"/>
  <c r="A283" i="3"/>
  <c r="A284" i="3"/>
  <c r="A285" i="3"/>
  <c r="A286" i="3"/>
  <c r="A287" i="3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A298" i="3"/>
  <c r="A299" i="3"/>
  <c r="A300" i="3"/>
  <c r="A301" i="3"/>
  <c r="A302" i="3"/>
  <c r="A303" i="3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A314" i="3"/>
  <c r="A315" i="3"/>
  <c r="A316" i="3"/>
  <c r="A317" i="3"/>
  <c r="A318" i="3"/>
  <c r="A319" i="3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A330" i="3"/>
  <c r="A331" i="3"/>
  <c r="A332" i="3"/>
  <c r="A333" i="3"/>
  <c r="A334" i="3"/>
  <c r="A335" i="3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A346" i="3"/>
  <c r="A347" i="3"/>
  <c r="A348" i="3"/>
  <c r="A349" i="3"/>
  <c r="A350" i="3"/>
  <c r="A351" i="3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A362" i="3"/>
  <c r="A363" i="3"/>
  <c r="A364" i="3"/>
  <c r="A365" i="3"/>
  <c r="A366" i="3"/>
  <c r="A367" i="3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A378" i="3"/>
  <c r="A379" i="3"/>
  <c r="A380" i="3"/>
  <c r="A381" i="3"/>
  <c r="A382" i="3"/>
  <c r="A383" i="3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A394" i="3"/>
  <c r="A395" i="3"/>
  <c r="A396" i="3"/>
  <c r="A397" i="3"/>
  <c r="A398" i="3"/>
  <c r="A399" i="3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A410" i="3"/>
  <c r="A411" i="3"/>
  <c r="A412" i="3"/>
  <c r="A413" i="3"/>
  <c r="A414" i="3"/>
  <c r="A415" i="3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A426" i="3"/>
  <c r="A427" i="3"/>
  <c r="A428" i="3"/>
  <c r="A429" i="3"/>
  <c r="A430" i="3"/>
  <c r="A431" i="3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A442" i="3"/>
  <c r="A443" i="3"/>
  <c r="A444" i="3"/>
  <c r="A445" i="3"/>
  <c r="A446" i="3"/>
  <c r="A447" i="3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457" i="3"/>
  <c r="A458" i="3"/>
  <c r="A459" i="3"/>
  <c r="A460" i="3"/>
  <c r="A461" i="3"/>
  <c r="A462" i="3"/>
  <c r="A463" i="3"/>
  <c r="A464" i="3"/>
  <c r="H464" i="3" s="1"/>
  <c r="A8" i="3"/>
  <c r="H8" i="3" s="1"/>
  <c r="H9" i="3"/>
  <c r="H10" i="3"/>
  <c r="H11" i="3"/>
  <c r="H12" i="3"/>
  <c r="H13" i="3"/>
  <c r="H14" i="3"/>
  <c r="H15" i="3"/>
  <c r="H25" i="3"/>
  <c r="H26" i="3"/>
  <c r="H27" i="3"/>
  <c r="H28" i="3"/>
  <c r="H29" i="3"/>
  <c r="H30" i="3"/>
  <c r="H31" i="3"/>
  <c r="H41" i="3"/>
  <c r="H42" i="3"/>
  <c r="H43" i="3"/>
  <c r="H44" i="3"/>
  <c r="H45" i="3"/>
  <c r="H46" i="3"/>
  <c r="H47" i="3"/>
  <c r="H57" i="3"/>
  <c r="H58" i="3"/>
  <c r="H59" i="3"/>
  <c r="H60" i="3"/>
  <c r="H61" i="3"/>
  <c r="H62" i="3"/>
  <c r="H63" i="3"/>
  <c r="H73" i="3"/>
  <c r="H74" i="3"/>
  <c r="H75" i="3"/>
  <c r="H76" i="3"/>
  <c r="H77" i="3"/>
  <c r="H78" i="3"/>
  <c r="H79" i="3"/>
  <c r="H89" i="3"/>
  <c r="H90" i="3"/>
  <c r="H91" i="3"/>
  <c r="H92" i="3"/>
  <c r="H93" i="3"/>
  <c r="H94" i="3"/>
  <c r="H95" i="3"/>
  <c r="H105" i="3"/>
  <c r="H106" i="3"/>
  <c r="H107" i="3"/>
  <c r="H108" i="3"/>
  <c r="H109" i="3"/>
  <c r="H110" i="3"/>
  <c r="H111" i="3"/>
  <c r="H121" i="3"/>
  <c r="H122" i="3"/>
  <c r="H123" i="3"/>
  <c r="H124" i="3"/>
  <c r="H125" i="3"/>
  <c r="H126" i="3"/>
  <c r="H127" i="3"/>
  <c r="H137" i="3"/>
  <c r="H138" i="3"/>
  <c r="H139" i="3"/>
  <c r="H140" i="3"/>
  <c r="H141" i="3"/>
  <c r="H142" i="3"/>
  <c r="H143" i="3"/>
  <c r="H153" i="3"/>
  <c r="H154" i="3"/>
  <c r="H155" i="3"/>
  <c r="H156" i="3"/>
  <c r="H157" i="3"/>
  <c r="H158" i="3"/>
  <c r="H159" i="3"/>
  <c r="H169" i="3"/>
  <c r="H170" i="3"/>
  <c r="H171" i="3"/>
  <c r="H172" i="3"/>
  <c r="H173" i="3"/>
  <c r="H174" i="3"/>
  <c r="H175" i="3"/>
  <c r="H185" i="3"/>
  <c r="H186" i="3"/>
  <c r="H187" i="3"/>
  <c r="H188" i="3"/>
  <c r="H189" i="3"/>
  <c r="H190" i="3"/>
  <c r="H191" i="3"/>
  <c r="H201" i="3"/>
  <c r="H202" i="3"/>
  <c r="H203" i="3"/>
  <c r="H204" i="3"/>
  <c r="H205" i="3"/>
  <c r="H206" i="3"/>
  <c r="H207" i="3"/>
  <c r="H217" i="3"/>
  <c r="H218" i="3"/>
  <c r="H219" i="3"/>
  <c r="H220" i="3"/>
  <c r="H221" i="3"/>
  <c r="H222" i="3"/>
  <c r="H223" i="3"/>
  <c r="H233" i="3"/>
  <c r="H234" i="3"/>
  <c r="H235" i="3"/>
  <c r="H236" i="3"/>
  <c r="H237" i="3"/>
  <c r="H238" i="3"/>
  <c r="H239" i="3"/>
  <c r="H249" i="3"/>
  <c r="H250" i="3"/>
  <c r="H251" i="3"/>
  <c r="H252" i="3"/>
  <c r="H253" i="3"/>
  <c r="H254" i="3"/>
  <c r="H255" i="3"/>
  <c r="H265" i="3"/>
  <c r="H266" i="3"/>
  <c r="H267" i="3"/>
  <c r="H268" i="3"/>
  <c r="H269" i="3"/>
  <c r="H270" i="3"/>
  <c r="H271" i="3"/>
  <c r="H281" i="3"/>
  <c r="H282" i="3"/>
  <c r="H283" i="3"/>
  <c r="H284" i="3"/>
  <c r="H285" i="3"/>
  <c r="H286" i="3"/>
  <c r="H287" i="3"/>
  <c r="H297" i="3"/>
  <c r="H298" i="3"/>
  <c r="H299" i="3"/>
  <c r="H300" i="3"/>
  <c r="H301" i="3"/>
  <c r="H302" i="3"/>
  <c r="H303" i="3"/>
  <c r="H313" i="3"/>
  <c r="H314" i="3"/>
  <c r="H315" i="3"/>
  <c r="H316" i="3"/>
  <c r="H317" i="3"/>
  <c r="H318" i="3"/>
  <c r="H319" i="3"/>
  <c r="H329" i="3"/>
  <c r="H330" i="3"/>
  <c r="H331" i="3"/>
  <c r="H332" i="3"/>
  <c r="H333" i="3"/>
  <c r="H334" i="3"/>
  <c r="H335" i="3"/>
  <c r="H345" i="3"/>
  <c r="H346" i="3"/>
  <c r="H347" i="3"/>
  <c r="H348" i="3"/>
  <c r="H349" i="3"/>
  <c r="H350" i="3"/>
  <c r="H351" i="3"/>
  <c r="H361" i="3"/>
  <c r="H362" i="3"/>
  <c r="H363" i="3"/>
  <c r="H364" i="3"/>
  <c r="H365" i="3"/>
  <c r="H366" i="3"/>
  <c r="H367" i="3"/>
  <c r="H377" i="3"/>
  <c r="H378" i="3"/>
  <c r="H379" i="3"/>
  <c r="H380" i="3"/>
  <c r="H381" i="3"/>
  <c r="H382" i="3"/>
  <c r="H383" i="3"/>
  <c r="H393" i="3"/>
  <c r="H394" i="3"/>
  <c r="H395" i="3"/>
  <c r="H396" i="3"/>
  <c r="H397" i="3"/>
  <c r="H398" i="3"/>
  <c r="H399" i="3"/>
  <c r="H409" i="3"/>
  <c r="H410" i="3"/>
  <c r="H411" i="3"/>
  <c r="H412" i="3"/>
  <c r="H413" i="3"/>
  <c r="H414" i="3"/>
  <c r="H415" i="3"/>
  <c r="H425" i="3"/>
  <c r="H426" i="3"/>
  <c r="H427" i="3"/>
  <c r="H428" i="3"/>
  <c r="H429" i="3"/>
  <c r="H430" i="3"/>
  <c r="H431" i="3"/>
  <c r="H441" i="3"/>
  <c r="H442" i="3"/>
  <c r="H443" i="3"/>
  <c r="H444" i="3"/>
  <c r="H445" i="3"/>
  <c r="H446" i="3"/>
  <c r="H447" i="3"/>
  <c r="H457" i="3"/>
  <c r="H458" i="3"/>
  <c r="H459" i="3"/>
  <c r="H460" i="3"/>
  <c r="H461" i="3"/>
  <c r="H462" i="3"/>
  <c r="H463" i="3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G265" i="7" s="1"/>
  <c r="A313" i="7"/>
  <c r="A323" i="7"/>
  <c r="A324" i="7"/>
  <c r="G324" i="7" s="1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G48" i="7" s="1"/>
  <c r="A49" i="7"/>
  <c r="A50" i="7"/>
  <c r="A51" i="7"/>
  <c r="G51" i="7" s="1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G65" i="7" s="1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G81" i="7" s="1"/>
  <c r="A82" i="7"/>
  <c r="A83" i="7"/>
  <c r="A84" i="7"/>
  <c r="G84" i="7" s="1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G97" i="7" s="1"/>
  <c r="A98" i="7"/>
  <c r="A99" i="7"/>
  <c r="A100" i="7"/>
  <c r="G100" i="7" s="1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G114" i="7" s="1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G130" i="7" s="1"/>
  <c r="A131" i="7"/>
  <c r="A132" i="7"/>
  <c r="A133" i="7"/>
  <c r="G133" i="7" s="1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G147" i="7" s="1"/>
  <c r="A148" i="7"/>
  <c r="A149" i="7"/>
  <c r="A150" i="7"/>
  <c r="G150" i="7" s="1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G163" i="7" s="1"/>
  <c r="A164" i="7"/>
  <c r="A165" i="7"/>
  <c r="A166" i="7"/>
  <c r="G166" i="7" s="1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G179" i="7" s="1"/>
  <c r="A180" i="7"/>
  <c r="A181" i="7"/>
  <c r="A182" i="7"/>
  <c r="G182" i="7" s="1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G195" i="7" s="1"/>
  <c r="A196" i="7"/>
  <c r="A197" i="7"/>
  <c r="A198" i="7"/>
  <c r="G198" i="7" s="1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G212" i="7" s="1"/>
  <c r="A213" i="7"/>
  <c r="A215" i="7"/>
  <c r="A216" i="7"/>
  <c r="G216" i="7" s="1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G230" i="7" s="1"/>
  <c r="A231" i="7"/>
  <c r="A232" i="7"/>
  <c r="A233" i="7"/>
  <c r="G233" i="7" s="1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G250" i="7" s="1"/>
  <c r="A251" i="7"/>
  <c r="A252" i="7"/>
  <c r="A253" i="7"/>
  <c r="G253" i="7" s="1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G267" i="7" s="1"/>
  <c r="A268" i="7"/>
  <c r="A269" i="7"/>
  <c r="A270" i="7"/>
  <c r="G270" i="7" s="1"/>
  <c r="A271" i="7"/>
  <c r="A272" i="7"/>
  <c r="A273" i="7"/>
  <c r="A274" i="7"/>
  <c r="A275" i="7"/>
  <c r="A276" i="7"/>
  <c r="A277" i="7"/>
  <c r="A278" i="7"/>
  <c r="A279" i="7"/>
  <c r="A280" i="7"/>
  <c r="A281" i="7"/>
  <c r="G281" i="7" s="1"/>
  <c r="A282" i="7"/>
  <c r="A283" i="7"/>
  <c r="G283" i="7" s="1"/>
  <c r="A284" i="7"/>
  <c r="A285" i="7"/>
  <c r="A286" i="7"/>
  <c r="G286" i="7" s="1"/>
  <c r="A287" i="7"/>
  <c r="A288" i="7"/>
  <c r="A289" i="7"/>
  <c r="G289" i="7" s="1"/>
  <c r="A290" i="7"/>
  <c r="A291" i="7"/>
  <c r="A292" i="7"/>
  <c r="A293" i="7"/>
  <c r="A294" i="7"/>
  <c r="A295" i="7"/>
  <c r="A296" i="7"/>
  <c r="A297" i="7"/>
  <c r="G297" i="7" s="1"/>
  <c r="A298" i="7"/>
  <c r="A299" i="7"/>
  <c r="G299" i="7" s="1"/>
  <c r="A300" i="7"/>
  <c r="A301" i="7"/>
  <c r="A302" i="7"/>
  <c r="G302" i="7" s="1"/>
  <c r="A303" i="7"/>
  <c r="A304" i="7"/>
  <c r="A305" i="7"/>
  <c r="G305" i="7" s="1"/>
  <c r="A306" i="7"/>
  <c r="A307" i="7"/>
  <c r="A308" i="7"/>
  <c r="A309" i="7"/>
  <c r="A310" i="7"/>
  <c r="A311" i="7"/>
  <c r="A312" i="7"/>
  <c r="A314" i="7"/>
  <c r="G314" i="7" s="1"/>
  <c r="A315" i="7"/>
  <c r="A316" i="7"/>
  <c r="G316" i="7" s="1"/>
  <c r="A317" i="7"/>
  <c r="A318" i="7"/>
  <c r="A319" i="7"/>
  <c r="G319" i="7" s="1"/>
  <c r="A320" i="7"/>
  <c r="A321" i="7"/>
  <c r="A322" i="7"/>
  <c r="G322" i="7" s="1"/>
  <c r="A325" i="7"/>
  <c r="A327" i="7"/>
  <c r="A328" i="7"/>
  <c r="A329" i="7"/>
  <c r="A330" i="7"/>
  <c r="A331" i="7"/>
  <c r="A332" i="7"/>
  <c r="A333" i="7"/>
  <c r="G333" i="7" s="1"/>
  <c r="A334" i="7"/>
  <c r="A335" i="7"/>
  <c r="G335" i="7" s="1"/>
  <c r="A336" i="7"/>
  <c r="A337" i="7"/>
  <c r="A338" i="7"/>
  <c r="G338" i="7" s="1"/>
  <c r="A339" i="7"/>
  <c r="A340" i="7"/>
  <c r="A341" i="7"/>
  <c r="G341" i="7" s="1"/>
  <c r="A342" i="7"/>
  <c r="A343" i="7"/>
  <c r="A344" i="7"/>
  <c r="A345" i="7"/>
  <c r="A347" i="7"/>
  <c r="A348" i="7"/>
  <c r="A349" i="7"/>
  <c r="A350" i="7"/>
  <c r="G350" i="7" s="1"/>
  <c r="A351" i="7"/>
  <c r="A352" i="7"/>
  <c r="G352" i="7" s="1"/>
  <c r="A353" i="7"/>
  <c r="A354" i="7"/>
  <c r="G354" i="7" s="1"/>
  <c r="A355" i="7"/>
  <c r="G355" i="7" s="1"/>
  <c r="A356" i="7"/>
  <c r="A357" i="7"/>
  <c r="A358" i="7"/>
  <c r="G358" i="7" s="1"/>
  <c r="A359" i="7"/>
  <c r="A360" i="7"/>
  <c r="A361" i="7"/>
  <c r="A362" i="7"/>
  <c r="A363" i="7"/>
  <c r="A364" i="7"/>
  <c r="A365" i="7"/>
  <c r="A366" i="7"/>
  <c r="G366" i="7" s="1"/>
  <c r="A367" i="7"/>
  <c r="A368" i="7"/>
  <c r="G368" i="7" s="1"/>
  <c r="A369" i="7"/>
  <c r="A370" i="7"/>
  <c r="A371" i="7"/>
  <c r="G371" i="7" s="1"/>
  <c r="A373" i="7"/>
  <c r="A374" i="7"/>
  <c r="A375" i="7"/>
  <c r="G375" i="7" s="1"/>
  <c r="A376" i="7"/>
  <c r="A377" i="7"/>
  <c r="A378" i="7"/>
  <c r="A379" i="7"/>
  <c r="A380" i="7"/>
  <c r="A381" i="7"/>
  <c r="A383" i="7"/>
  <c r="A384" i="7"/>
  <c r="G384" i="7" s="1"/>
  <c r="A387" i="7"/>
  <c r="A388" i="7"/>
  <c r="G388" i="7" s="1"/>
  <c r="A389" i="7"/>
  <c r="A390" i="7"/>
  <c r="G390" i="7" s="1"/>
  <c r="A391" i="7"/>
  <c r="G391" i="7" s="1"/>
  <c r="A392" i="7"/>
  <c r="A393" i="7"/>
  <c r="A394" i="7"/>
  <c r="G394" i="7" s="1"/>
  <c r="A395" i="7"/>
  <c r="A396" i="7"/>
  <c r="A397" i="7"/>
  <c r="A398" i="7"/>
  <c r="A399" i="7"/>
  <c r="A400" i="7"/>
  <c r="A401" i="7"/>
  <c r="A402" i="7"/>
  <c r="G402" i="7" s="1"/>
  <c r="A403" i="7"/>
  <c r="A404" i="7"/>
  <c r="G404" i="7" s="1"/>
  <c r="A406" i="7"/>
  <c r="A407" i="7"/>
  <c r="G407" i="7" s="1"/>
  <c r="A408" i="7"/>
  <c r="G408" i="7" s="1"/>
  <c r="A409" i="7"/>
  <c r="A410" i="7"/>
  <c r="A411" i="7"/>
  <c r="G411" i="7" s="1"/>
  <c r="A412" i="7"/>
  <c r="A413" i="7"/>
  <c r="A414" i="7"/>
  <c r="A415" i="7"/>
  <c r="G415" i="7" s="1"/>
  <c r="A416" i="7"/>
  <c r="A417" i="7"/>
  <c r="G417" i="7" s="1"/>
  <c r="A418" i="7"/>
  <c r="A419" i="7"/>
  <c r="G419" i="7" s="1"/>
  <c r="A420" i="7"/>
  <c r="A421" i="7"/>
  <c r="G421" i="7" s="1"/>
  <c r="A422" i="7"/>
  <c r="G422" i="7" s="1"/>
  <c r="A423" i="7"/>
  <c r="G423" i="7" s="1"/>
  <c r="A424" i="7"/>
  <c r="G424" i="7" s="1"/>
  <c r="A425" i="7"/>
  <c r="A426" i="7"/>
  <c r="A427" i="7"/>
  <c r="G427" i="7" s="1"/>
  <c r="A428" i="7"/>
  <c r="A429" i="7"/>
  <c r="A430" i="7"/>
  <c r="A431" i="7"/>
  <c r="G431" i="7" s="1"/>
  <c r="A432" i="7"/>
  <c r="A433" i="7"/>
  <c r="G433" i="7" s="1"/>
  <c r="A434" i="7"/>
  <c r="G434" i="7" s="1"/>
  <c r="A435" i="7"/>
  <c r="G435" i="7" s="1"/>
  <c r="A436" i="7"/>
  <c r="G436" i="7" s="1"/>
  <c r="A437" i="7"/>
  <c r="G437" i="7" s="1"/>
  <c r="A438" i="7"/>
  <c r="A439" i="7"/>
  <c r="G439" i="7" s="1"/>
  <c r="A440" i="7"/>
  <c r="G440" i="7" s="1"/>
  <c r="A441" i="7"/>
  <c r="A442" i="7"/>
  <c r="G442" i="7" s="1"/>
  <c r="A443" i="7"/>
  <c r="G443" i="7" s="1"/>
  <c r="A444" i="7"/>
  <c r="A445" i="7"/>
  <c r="G445" i="7" s="1"/>
  <c r="G444" i="7"/>
  <c r="G441" i="7"/>
  <c r="G438" i="7"/>
  <c r="G432" i="7"/>
  <c r="G430" i="7"/>
  <c r="G429" i="7"/>
  <c r="G428" i="7"/>
  <c r="G426" i="7"/>
  <c r="G425" i="7"/>
  <c r="G420" i="7"/>
  <c r="G418" i="7"/>
  <c r="G416" i="7"/>
  <c r="G414" i="7"/>
  <c r="G413" i="7"/>
  <c r="G412" i="7"/>
  <c r="G410" i="7"/>
  <c r="G409" i="7"/>
  <c r="G406" i="7"/>
  <c r="G403" i="7"/>
  <c r="G401" i="7"/>
  <c r="G400" i="7"/>
  <c r="G399" i="7"/>
  <c r="G398" i="7"/>
  <c r="G397" i="7"/>
  <c r="G396" i="7"/>
  <c r="G395" i="7"/>
  <c r="G393" i="7"/>
  <c r="G392" i="7"/>
  <c r="G389" i="7"/>
  <c r="G387" i="7"/>
  <c r="G383" i="7"/>
  <c r="G381" i="7"/>
  <c r="G380" i="7"/>
  <c r="G379" i="7"/>
  <c r="G378" i="7"/>
  <c r="G377" i="7"/>
  <c r="G376" i="7"/>
  <c r="G374" i="7"/>
  <c r="G373" i="7"/>
  <c r="G370" i="7"/>
  <c r="G369" i="7"/>
  <c r="G367" i="7"/>
  <c r="G365" i="7"/>
  <c r="G364" i="7"/>
  <c r="G363" i="7"/>
  <c r="G362" i="7"/>
  <c r="G361" i="7"/>
  <c r="G360" i="7"/>
  <c r="G359" i="7"/>
  <c r="G357" i="7"/>
  <c r="G356" i="7"/>
  <c r="G353" i="7"/>
  <c r="G351" i="7"/>
  <c r="G349" i="7"/>
  <c r="G348" i="7"/>
  <c r="G347" i="7"/>
  <c r="G345" i="7"/>
  <c r="G344" i="7"/>
  <c r="G343" i="7"/>
  <c r="G342" i="7"/>
  <c r="G340" i="7"/>
  <c r="G339" i="7"/>
  <c r="G337" i="7"/>
  <c r="G336" i="7"/>
  <c r="G334" i="7"/>
  <c r="G332" i="7"/>
  <c r="G331" i="7"/>
  <c r="G330" i="7"/>
  <c r="G329" i="7"/>
  <c r="G328" i="7"/>
  <c r="G327" i="7"/>
  <c r="G325" i="7"/>
  <c r="G321" i="7"/>
  <c r="G320" i="7"/>
  <c r="G318" i="7"/>
  <c r="G317" i="7"/>
  <c r="G315" i="7"/>
  <c r="G312" i="7"/>
  <c r="G311" i="7"/>
  <c r="G310" i="7"/>
  <c r="G309" i="7"/>
  <c r="G308" i="7"/>
  <c r="G307" i="7"/>
  <c r="G306" i="7"/>
  <c r="G304" i="7"/>
  <c r="G303" i="7"/>
  <c r="G301" i="7"/>
  <c r="G300" i="7"/>
  <c r="G298" i="7"/>
  <c r="G296" i="7"/>
  <c r="G295" i="7"/>
  <c r="G294" i="7"/>
  <c r="G293" i="7"/>
  <c r="G292" i="7"/>
  <c r="G291" i="7"/>
  <c r="G290" i="7"/>
  <c r="G288" i="7"/>
  <c r="G287" i="7"/>
  <c r="G285" i="7"/>
  <c r="G284" i="7"/>
  <c r="G282" i="7"/>
  <c r="G280" i="7"/>
  <c r="G279" i="7"/>
  <c r="G278" i="7"/>
  <c r="G277" i="7"/>
  <c r="G276" i="7"/>
  <c r="G275" i="7"/>
  <c r="G274" i="7"/>
  <c r="G273" i="7"/>
  <c r="G272" i="7"/>
  <c r="G271" i="7"/>
  <c r="G269" i="7"/>
  <c r="G268" i="7"/>
  <c r="G266" i="7"/>
  <c r="G264" i="7"/>
  <c r="G263" i="7"/>
  <c r="G262" i="7"/>
  <c r="G261" i="7"/>
  <c r="G260" i="7"/>
  <c r="G259" i="7"/>
  <c r="G258" i="7"/>
  <c r="G257" i="7"/>
  <c r="G256" i="7"/>
  <c r="G255" i="7"/>
  <c r="G254" i="7"/>
  <c r="G252" i="7"/>
  <c r="G251" i="7"/>
  <c r="G249" i="7"/>
  <c r="G248" i="7"/>
  <c r="G247" i="7"/>
  <c r="G245" i="7"/>
  <c r="G244" i="7"/>
  <c r="G243" i="7"/>
  <c r="G242" i="7"/>
  <c r="G241" i="7"/>
  <c r="G240" i="7"/>
  <c r="G239" i="7"/>
  <c r="G236" i="7"/>
  <c r="G234" i="7"/>
  <c r="G232" i="7"/>
  <c r="G231" i="7"/>
  <c r="G229" i="7"/>
  <c r="G228" i="7"/>
  <c r="G227" i="7"/>
  <c r="G226" i="7"/>
  <c r="G225" i="7"/>
  <c r="G224" i="7"/>
  <c r="G222" i="7"/>
  <c r="G221" i="7"/>
  <c r="G220" i="7"/>
  <c r="G219" i="7"/>
  <c r="G218" i="7"/>
  <c r="G217" i="7"/>
  <c r="G215" i="7"/>
  <c r="G213" i="7"/>
  <c r="G211" i="7"/>
  <c r="G210" i="7"/>
  <c r="G209" i="7"/>
  <c r="G207" i="7"/>
  <c r="G206" i="7"/>
  <c r="G205" i="7"/>
  <c r="G204" i="7"/>
  <c r="G203" i="7"/>
  <c r="G202" i="7"/>
  <c r="G201" i="7"/>
  <c r="G200" i="7"/>
  <c r="G199" i="7"/>
  <c r="G197" i="7"/>
  <c r="G196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1" i="7"/>
  <c r="G180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5" i="7"/>
  <c r="G164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49" i="7"/>
  <c r="G148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2" i="7"/>
  <c r="G131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3" i="7"/>
  <c r="G112" i="7"/>
  <c r="G111" i="7"/>
  <c r="G109" i="7"/>
  <c r="G108" i="7"/>
  <c r="G107" i="7"/>
  <c r="G106" i="7"/>
  <c r="G105" i="7"/>
  <c r="G104" i="7"/>
  <c r="G103" i="7"/>
  <c r="G102" i="7"/>
  <c r="G101" i="7"/>
  <c r="G99" i="7"/>
  <c r="G98" i="7"/>
  <c r="G96" i="7"/>
  <c r="G95" i="7"/>
  <c r="G94" i="7"/>
  <c r="G93" i="7"/>
  <c r="G92" i="7"/>
  <c r="G91" i="7"/>
  <c r="G90" i="7"/>
  <c r="G89" i="7"/>
  <c r="G88" i="7"/>
  <c r="G87" i="7"/>
  <c r="G86" i="7"/>
  <c r="G85" i="7"/>
  <c r="G83" i="7"/>
  <c r="G82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4" i="7"/>
  <c r="G63" i="7"/>
  <c r="G62" i="7"/>
  <c r="G61" i="7"/>
  <c r="G60" i="7"/>
  <c r="G59" i="7"/>
  <c r="G58" i="7"/>
  <c r="G56" i="7"/>
  <c r="G55" i="7"/>
  <c r="G54" i="7"/>
  <c r="G53" i="7"/>
  <c r="G52" i="7"/>
  <c r="G50" i="7"/>
  <c r="G49" i="7"/>
  <c r="G47" i="7"/>
  <c r="G46" i="7"/>
  <c r="G45" i="7"/>
  <c r="G44" i="7"/>
  <c r="G43" i="7"/>
  <c r="G42" i="7"/>
  <c r="G41" i="7"/>
  <c r="G39" i="7"/>
  <c r="G37" i="7"/>
  <c r="G36" i="7"/>
  <c r="G35" i="7"/>
  <c r="G34" i="7"/>
  <c r="G33" i="7"/>
  <c r="G32" i="7"/>
  <c r="G31" i="7"/>
  <c r="G405" i="7"/>
  <c r="G386" i="7"/>
  <c r="G385" i="7"/>
  <c r="G382" i="7"/>
  <c r="G372" i="7"/>
  <c r="G346" i="7"/>
  <c r="G326" i="7"/>
  <c r="G323" i="7"/>
  <c r="G313" i="7"/>
  <c r="G246" i="7"/>
  <c r="G238" i="7"/>
  <c r="G237" i="7"/>
  <c r="G235" i="7"/>
  <c r="G223" i="7"/>
  <c r="G214" i="7"/>
  <c r="G208" i="7"/>
  <c r="G146" i="7"/>
  <c r="G110" i="7"/>
  <c r="G57" i="7"/>
  <c r="G40" i="7"/>
  <c r="G38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<sst xmlns="http://schemas.openxmlformats.org/spreadsheetml/2006/main" count="18644" uniqueCount="2197">
  <si>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</si>
  <si>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</si>
  <si>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</si>
  <si>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</si>
  <si>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</si>
  <si>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</si>
  <si>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</si>
  <si>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</si>
  <si>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</si>
  <si>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</si>
  <si>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</si>
  <si>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</si>
  <si>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</si>
  <si>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</si>
  <si>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</si>
  <si>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</si>
  <si>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</si>
  <si>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</si>
  <si>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</si>
  <si>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</si>
  <si>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</si>
  <si>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</si>
  <si>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</si>
  <si>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</si>
  <si>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</si>
  <si>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</si>
  <si>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</si>
  <si>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</si>
  <si>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</si>
  <si>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</si>
  <si>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</si>
  <si>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</si>
  <si>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</si>
  <si>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</si>
  <si>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</si>
  <si>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</si>
  <si>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</si>
  <si>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</si>
  <si>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</si>
  <si>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</si>
  <si>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</si>
  <si>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</si>
  <si>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</si>
  <si>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</si>
  <si>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</si>
  <si>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</si>
  <si>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</si>
  <si>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</si>
  <si>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</si>
  <si>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</si>
  <si>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</si>
  <si>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</si>
  <si>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</si>
  <si>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</si>
  <si>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</si>
  <si>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</si>
  <si>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</si>
  <si>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</si>
  <si>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</si>
  <si>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</si>
  <si>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</si>
  <si>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</si>
  <si>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</si>
  <si>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</si>
  <si>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</si>
  <si>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</si>
  <si>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</si>
  <si>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</si>
  <si>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</si>
  <si>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</si>
  <si>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</si>
  <si>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</si>
  <si>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</si>
  <si>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</si>
  <si>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</si>
  <si>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</si>
  <si>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</si>
  <si>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</si>
  <si>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</si>
  <si>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</si>
  <si>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</si>
  <si>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</si>
  <si>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</si>
  <si>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</si>
  <si>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</si>
  <si>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</si>
  <si>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</si>
  <si>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</si>
  <si>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</si>
  <si>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</si>
  <si>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</si>
  <si>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</si>
  <si>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</si>
  <si>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</si>
  <si>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</si>
  <si>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</si>
  <si>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</si>
  <si>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</si>
  <si>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</si>
  <si>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</si>
  <si>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</si>
  <si>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</si>
  <si>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</si>
  <si>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</si>
  <si>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</si>
  <si>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</si>
  <si>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</si>
  <si>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</si>
  <si>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</si>
  <si>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</si>
  <si>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</si>
  <si>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</si>
  <si>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</si>
  <si>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</si>
  <si>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</si>
  <si>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</si>
  <si>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</si>
  <si>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</si>
  <si>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</si>
  <si>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</si>
  <si>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</si>
  <si>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</si>
  <si>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</si>
  <si>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</si>
  <si>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</si>
  <si>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</si>
  <si>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</si>
  <si>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</si>
  <si>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</si>
  <si>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</si>
  <si>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</si>
  <si>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</si>
  <si>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</si>
  <si>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</si>
  <si>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</si>
  <si>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</si>
  <si>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</si>
  <si>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</si>
  <si>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</si>
  <si>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</si>
  <si>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</si>
  <si>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</si>
  <si>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</si>
  <si>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</si>
  <si>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</si>
  <si>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</si>
  <si>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</si>
  <si>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</si>
  <si>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</si>
  <si>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</si>
  <si>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</si>
  <si>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</si>
  <si>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</si>
  <si>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</si>
  <si>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</si>
  <si>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</si>
  <si>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</si>
  <si>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</si>
  <si>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</si>
  <si>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</si>
  <si>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</si>
  <si>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</si>
  <si>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</si>
  <si>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</si>
  <si>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</si>
  <si>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</si>
  <si>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</si>
  <si>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</si>
  <si>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</si>
  <si>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</si>
  <si>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</si>
  <si>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</si>
  <si>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</si>
  <si>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</si>
  <si>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</si>
  <si>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</si>
  <si>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</si>
  <si>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</si>
  <si>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</si>
  <si>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</si>
  <si>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</si>
  <si>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</si>
  <si>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</si>
  <si>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</si>
  <si>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</si>
  <si>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</si>
  <si>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</si>
  <si>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</si>
  <si>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</si>
  <si>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</si>
  <si>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</si>
  <si>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</si>
  <si>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</si>
  <si>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</si>
  <si>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</si>
  <si>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</si>
  <si>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</si>
  <si>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</si>
  <si>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</si>
  <si>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</si>
  <si>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</si>
  <si>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</si>
  <si>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</si>
  <si>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</si>
  <si>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</si>
  <si>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</si>
  <si>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</si>
  <si>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</si>
  <si>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</si>
  <si>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</si>
  <si>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</si>
  <si>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</si>
  <si>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</si>
  <si>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</si>
  <si>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</si>
  <si>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</si>
  <si>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</si>
  <si>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</si>
  <si>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</si>
  <si>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</si>
  <si>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</si>
  <si>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</si>
  <si>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</si>
  <si>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</si>
  <si>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</si>
  <si>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</si>
  <si>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</si>
  <si>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</si>
  <si>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</si>
  <si>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</si>
  <si>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</si>
  <si>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</si>
  <si>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</si>
  <si>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</si>
  <si>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</si>
  <si>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</si>
  <si>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</si>
  <si>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</si>
  <si>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</si>
  <si>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</si>
  <si>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</si>
  <si>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</si>
  <si>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</si>
  <si>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</si>
  <si>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</si>
  <si>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</si>
  <si>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</si>
  <si>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</si>
  <si>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</si>
  <si>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</si>
  <si>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</si>
  <si>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</si>
  <si>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</si>
  <si>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</si>
  <si>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</si>
  <si>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</si>
  <si>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</si>
  <si>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</si>
  <si>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</si>
  <si>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</si>
  <si>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</si>
  <si>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</si>
  <si>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</si>
  <si>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</si>
  <si>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</si>
  <si>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</si>
  <si>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</si>
  <si>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</si>
  <si>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</si>
  <si>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</si>
  <si>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</si>
  <si>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</si>
  <si>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</si>
  <si>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</si>
  <si>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</si>
  <si>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</si>
  <si>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</si>
  <si>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</si>
  <si>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</si>
  <si>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</si>
  <si>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</si>
  <si>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</si>
  <si>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</si>
  <si>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</si>
  <si>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</si>
  <si>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</si>
  <si>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</si>
  <si>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</si>
  <si>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</si>
  <si>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</si>
  <si>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</si>
  <si>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</si>
  <si>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</si>
  <si>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</si>
  <si>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</si>
  <si>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</si>
  <si>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</si>
  <si>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</si>
  <si>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</si>
  <si>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</si>
  <si>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</si>
  <si>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</si>
  <si>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</si>
  <si>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</si>
  <si>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</si>
  <si>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</si>
  <si>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</si>
  <si>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</si>
  <si>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</si>
  <si>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</si>
  <si>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</si>
  <si>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</si>
  <si>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</si>
  <si>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</si>
  <si>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</si>
  <si>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</si>
  <si>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</si>
  <si>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</si>
  <si>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</si>
  <si>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</si>
  <si>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</si>
  <si>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</si>
  <si>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</si>
  <si>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</si>
  <si>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</si>
  <si>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</si>
  <si>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</si>
  <si>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</si>
  <si>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</si>
  <si>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</si>
  <si>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</si>
  <si>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</si>
  <si>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</si>
  <si>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</si>
  <si>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</si>
  <si>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</si>
  <si>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</si>
  <si>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</si>
  <si>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</si>
  <si>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</si>
  <si>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</si>
  <si>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</si>
  <si>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</si>
  <si>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</si>
  <si>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</si>
  <si>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</si>
  <si>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</si>
  <si>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</si>
  <si>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</si>
  <si>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</si>
  <si>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</si>
  <si>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</si>
  <si>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</si>
  <si>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</si>
  <si>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</si>
  <si>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</si>
  <si>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</si>
  <si>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</si>
  <si>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</si>
  <si>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</si>
  <si>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</si>
  <si>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</si>
  <si>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</si>
  <si>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</si>
  <si>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</si>
  <si>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</si>
  <si>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</si>
  <si>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</si>
  <si>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</si>
  <si>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</si>
  <si>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</si>
  <si>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</si>
  <si>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</si>
  <si>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</si>
  <si>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</si>
  <si>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</si>
  <si>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</si>
  <si>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</si>
  <si>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</si>
  <si>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</si>
  <si>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</si>
  <si>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</si>
  <si>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</si>
  <si>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</si>
  <si>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</si>
  <si>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</si>
  <si>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</si>
  <si>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</si>
  <si>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</si>
  <si>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</si>
  <si>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</si>
  <si>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</si>
  <si>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</si>
  <si>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</si>
  <si>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</si>
  <si>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</si>
  <si>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</si>
  <si>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</si>
  <si>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</si>
  <si>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</si>
  <si>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</si>
  <si>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</si>
  <si>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</si>
  <si>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</si>
  <si>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</si>
  <si>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</si>
  <si>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</si>
  <si>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</si>
  <si>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</si>
  <si>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</si>
  <si>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</si>
  <si>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</si>
  <si>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</si>
  <si>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</si>
  <si>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</si>
  <si>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</si>
  <si>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</si>
  <si>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</si>
  <si>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</si>
  <si>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</si>
  <si>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</si>
  <si>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</si>
  <si>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</si>
  <si>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</si>
  <si>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</si>
  <si>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</si>
  <si>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</si>
  <si>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</si>
  <si>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</si>
  <si>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</si>
  <si>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</si>
  <si>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</si>
  <si>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</si>
  <si>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</si>
  <si>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</si>
  <si>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</si>
  <si>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</si>
  <si>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</si>
  <si>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</si>
  <si>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</si>
  <si>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</si>
  <si>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</si>
  <si>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</si>
  <si>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</si>
  <si>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</si>
  <si>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</si>
  <si>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</si>
  <si>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</si>
  <si>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</si>
  <si>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</si>
  <si>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</si>
  <si>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</si>
  <si>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</si>
  <si>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</si>
  <si>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</si>
  <si>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</si>
  <si>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</si>
  <si>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</si>
  <si>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</si>
  <si>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</si>
  <si>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</si>
  <si>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</si>
  <si>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</si>
  <si>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</si>
  <si>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</si>
  <si>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</si>
  <si>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</si>
  <si>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</si>
  <si>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</si>
  <si>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</si>
  <si>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</si>
  <si>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</si>
  <si>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</si>
  <si>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</si>
  <si>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</si>
  <si>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</si>
  <si>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</si>
  <si>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</si>
  <si>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</si>
  <si>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</si>
  <si>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</si>
  <si>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</si>
  <si>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</si>
  <si>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</si>
  <si>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</si>
  <si>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</si>
  <si>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</si>
  <si>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</si>
  <si>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</si>
  <si>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</si>
  <si>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</si>
  <si>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</si>
  <si>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</si>
  <si>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</si>
  <si>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</si>
  <si>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</si>
  <si>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</si>
  <si>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</si>
  <si>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</si>
  <si>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</si>
  <si>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</si>
  <si>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</si>
  <si>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</si>
  <si>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</si>
  <si>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</si>
  <si>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</si>
  <si>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</si>
  <si>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</si>
  <si>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</si>
  <si>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</si>
  <si>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</si>
  <si>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</si>
  <si>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</si>
  <si>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</si>
  <si>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</si>
  <si>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</si>
  <si>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</si>
  <si>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</si>
  <si>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</si>
  <si>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</si>
  <si>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</si>
  <si>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</si>
  <si>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</si>
  <si>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</si>
  <si>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</si>
  <si>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</si>
  <si>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</si>
  <si>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</si>
  <si>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</si>
  <si>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</si>
  <si>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</si>
  <si>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</si>
  <si>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</si>
  <si>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</si>
  <si>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</si>
  <si>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</si>
  <si>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</si>
  <si>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</si>
  <si>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</si>
  <si>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</si>
  <si>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</si>
  <si>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</si>
  <si>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</si>
  <si>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</si>
  <si>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</si>
  <si>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</si>
  <si>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</si>
  <si>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</si>
  <si>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</si>
  <si>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</si>
  <si>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</si>
  <si>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</si>
  <si>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</si>
  <si>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</si>
  <si>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</si>
  <si>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</si>
  <si>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</si>
  <si>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</si>
  <si>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</si>
  <si>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</si>
  <si>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</si>
  <si>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</si>
  <si>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</si>
  <si>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</si>
  <si>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</si>
  <si>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</si>
  <si>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</si>
  <si>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</si>
  <si>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</si>
  <si>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</si>
  <si>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</si>
  <si>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</si>
  <si>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</si>
  <si>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</si>
  <si>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</si>
  <si>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</si>
  <si>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</si>
  <si>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</si>
  <si>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</si>
  <si>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</si>
  <si>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</si>
  <si>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</si>
  <si>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</si>
  <si>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</si>
  <si>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</si>
  <si>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</si>
  <si>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</si>
  <si>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</si>
  <si>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</si>
  <si>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</si>
  <si>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</si>
  <si>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</si>
  <si>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</si>
  <si>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</si>
  <si>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</si>
  <si>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</si>
  <si>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</si>
  <si>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</si>
  <si>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</si>
  <si>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</si>
  <si>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</si>
  <si>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</si>
  <si>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</si>
  <si>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</si>
  <si>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</si>
  <si>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</si>
  <si>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</si>
  <si>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</si>
  <si>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</si>
  <si>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</si>
  <si>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</si>
  <si>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</si>
  <si>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</si>
  <si>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</si>
  <si>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</si>
  <si>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</si>
  <si>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</si>
  <si>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</si>
  <si>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</si>
  <si>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</si>
  <si>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</si>
  <si>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</si>
  <si>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</si>
  <si>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</si>
  <si>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</si>
  <si>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</si>
  <si>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</si>
  <si>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</si>
  <si>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</si>
  <si>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</si>
  <si>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</si>
  <si>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</si>
  <si>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</si>
  <si>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</si>
  <si>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</si>
  <si>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</si>
  <si>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</si>
  <si>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</si>
  <si>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</si>
  <si>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</si>
  <si>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</si>
  <si>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</si>
  <si>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</si>
  <si>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</si>
  <si>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</si>
  <si>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</si>
  <si>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</si>
  <si>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</si>
  <si>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</si>
  <si>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</si>
  <si>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</si>
  <si>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</si>
  <si>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</si>
  <si>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</si>
  <si>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</si>
  <si>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</si>
  <si>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</si>
  <si>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</si>
  <si>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</si>
  <si>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</si>
  <si>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</si>
  <si>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</si>
  <si>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</si>
  <si>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</si>
  <si>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</si>
  <si>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</si>
  <si>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</si>
  <si>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</si>
  <si>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</si>
  <si>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</si>
  <si>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</si>
  <si>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</si>
  <si>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</si>
  <si>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</si>
  <si>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</si>
  <si>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</si>
  <si>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</si>
  <si>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</si>
  <si>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</si>
  <si>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</si>
  <si>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</si>
  <si>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</si>
  <si>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</si>
  <si>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</si>
  <si>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</si>
  <si>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</si>
  <si>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</si>
  <si>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</si>
  <si>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</si>
  <si>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</si>
  <si>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</si>
  <si>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</si>
  <si>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</si>
  <si>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</si>
  <si>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</si>
  <si>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</si>
  <si>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</si>
  <si>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</si>
  <si>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</si>
  <si>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</si>
  <si>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</si>
  <si>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</si>
  <si>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</si>
  <si>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</si>
  <si>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</si>
  <si>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</si>
  <si>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</si>
  <si>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</si>
  <si>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</si>
  <si>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</si>
  <si>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</si>
  <si>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</si>
  <si>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</si>
  <si>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</si>
  <si>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</si>
  <si>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</si>
  <si>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</si>
  <si>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</si>
  <si>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</si>
  <si>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</si>
  <si>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</si>
  <si>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</si>
  <si>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</si>
  <si>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</si>
  <si>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</si>
  <si>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</si>
  <si>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</si>
  <si>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</si>
  <si>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</si>
  <si>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</si>
  <si>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</si>
  <si>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</si>
  <si>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</si>
  <si>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</si>
  <si>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</si>
  <si>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</si>
  <si>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</si>
  <si>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</si>
  <si>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</si>
  <si>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</si>
  <si>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</si>
  <si>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</si>
  <si>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</si>
  <si>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</si>
  <si>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</si>
  <si>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</si>
  <si>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</si>
  <si>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</si>
  <si>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</si>
  <si>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</si>
  <si>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</si>
  <si>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</si>
  <si>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</si>
  <si>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</si>
  <si>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</si>
  <si>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</si>
  <si>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</si>
  <si>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</si>
  <si>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</si>
  <si>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</si>
  <si>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</si>
  <si>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</si>
  <si>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</si>
  <si>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</si>
  <si>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</si>
  <si>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</si>
  <si>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</si>
  <si>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</si>
  <si>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</si>
  <si>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</si>
  <si>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</si>
  <si>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</si>
  <si>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</si>
  <si>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</si>
  <si>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</si>
  <si>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</si>
  <si>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</si>
  <si>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</si>
  <si>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</si>
  <si>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</si>
  <si>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</si>
  <si>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</si>
  <si>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</si>
  <si>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</si>
  <si>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</si>
  <si>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</si>
  <si>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</si>
  <si>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</si>
  <si>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</si>
  <si>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</si>
  <si>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</si>
  <si>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</si>
  <si>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</si>
  <si>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</si>
  <si>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</si>
  <si>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</si>
  <si>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</si>
  <si>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</si>
  <si>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</si>
  <si>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</si>
  <si>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</si>
  <si>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</si>
  <si>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</si>
  <si>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</si>
  <si>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</si>
  <si>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</si>
  <si>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</si>
  <si>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</si>
  <si>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</si>
  <si>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</si>
  <si>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</si>
  <si>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</si>
  <si>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</si>
  <si>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</si>
  <si>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</si>
  <si>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</si>
  <si>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</si>
  <si>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</si>
  <si>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</si>
  <si>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</si>
  <si>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</si>
  <si>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</si>
  <si>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</si>
  <si>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</si>
  <si>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</si>
  <si>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</si>
  <si>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</si>
  <si>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</si>
  <si>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</si>
  <si>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</si>
  <si>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</si>
  <si>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</si>
  <si>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</si>
  <si>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</si>
  <si>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</si>
  <si>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</si>
  <si>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</si>
  <si>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</si>
  <si>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</si>
  <si>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</si>
  <si>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</si>
  <si>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</si>
  <si>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</si>
  <si>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</si>
  <si>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</si>
  <si>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</si>
  <si>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</si>
  <si>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</si>
  <si>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</si>
  <si>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</si>
  <si>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</si>
  <si>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</si>
  <si>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</si>
  <si>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</si>
  <si>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</si>
  <si>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</si>
  <si>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</si>
  <si>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</si>
  <si>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</si>
  <si>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</si>
  <si>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</si>
  <si>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</si>
  <si>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</si>
  <si>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</si>
  <si>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</si>
  <si>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</si>
  <si>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</si>
  <si>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</si>
  <si>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</si>
  <si>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</si>
  <si>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</si>
  <si>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</si>
  <si>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</si>
  <si>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</si>
  <si>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</si>
  <si>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</si>
  <si>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</si>
  <si>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</si>
  <si>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</si>
  <si>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</si>
  <si>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</si>
  <si>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</si>
  <si>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</si>
  <si>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</si>
  <si>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</si>
  <si>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</si>
  <si>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</si>
  <si>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</si>
  <si>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</si>
  <si>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</si>
  <si>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</si>
  <si>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</si>
  <si>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</si>
  <si>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</si>
  <si>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</si>
  <si>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</si>
  <si>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</si>
  <si>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</si>
  <si>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</si>
  <si>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</si>
  <si>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</si>
  <si>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</si>
  <si>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</si>
  <si>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</si>
  <si>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</si>
  <si>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</si>
  <si>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</si>
  <si>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</si>
  <si>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</si>
  <si>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</si>
  <si>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</si>
  <si>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</si>
  <si>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</si>
  <si>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</si>
  <si>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</si>
  <si>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</si>
  <si>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</si>
  <si>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</si>
  <si>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</si>
  <si>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</si>
  <si>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</si>
  <si>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</si>
  <si>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</si>
  <si>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</si>
  <si>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</si>
  <si>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</si>
  <si>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</si>
  <si>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</si>
  <si>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</si>
  <si>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</si>
  <si>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</si>
  <si>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</si>
  <si>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</si>
  <si>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</si>
  <si>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</si>
  <si>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</si>
  <si>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</si>
  <si>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</si>
  <si>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</si>
  <si>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</si>
  <si>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</si>
  <si>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</si>
  <si>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</si>
  <si>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</si>
  <si>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</si>
  <si>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</si>
  <si>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</si>
  <si>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</si>
  <si>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</si>
  <si>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</si>
  <si>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</si>
  <si>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</si>
  <si>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</si>
  <si>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</si>
  <si>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</si>
  <si>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</si>
  <si>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</si>
  <si>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</si>
  <si>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</si>
  <si>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</si>
  <si>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</si>
  <si>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</si>
  <si>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</si>
  <si>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</si>
  <si>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</si>
  <si>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</si>
  <si>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</si>
  <si>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</si>
  <si>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</si>
  <si>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</si>
  <si>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</si>
  <si>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</si>
  <si>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</si>
  <si>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</si>
  <si>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</si>
  <si>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</si>
  <si>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</si>
  <si>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</si>
  <si>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</si>
  <si>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</si>
  <si>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</si>
  <si>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</si>
  <si>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</si>
  <si>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</si>
  <si>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</si>
  <si>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</si>
  <si>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</si>
  <si>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</si>
  <si>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</si>
  <si>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</si>
  <si>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</si>
  <si>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</si>
  <si>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</si>
  <si>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</si>
  <si>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</si>
  <si>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</si>
  <si>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</si>
  <si>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</si>
  <si>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</si>
  <si>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</si>
  <si>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</si>
  <si>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</si>
  <si>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</si>
  <si>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</si>
  <si>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</si>
  <si>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</si>
  <si>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</si>
  <si>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</si>
  <si>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</si>
  <si>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</si>
  <si>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</si>
  <si>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</si>
  <si>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</si>
  <si>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</si>
  <si>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</si>
  <si>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</si>
  <si>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</si>
  <si>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</si>
  <si>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</si>
  <si>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</si>
  <si>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</si>
  <si>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</si>
  <si>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</si>
  <si>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</si>
  <si>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</si>
  <si>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</si>
  <si>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</si>
  <si>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</si>
  <si>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</si>
  <si>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</si>
  <si>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</si>
  <si>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</si>
  <si>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</si>
  <si>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</si>
  <si>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</si>
  <si>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</si>
  <si>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</si>
  <si>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</si>
  <si>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</si>
  <si>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</si>
  <si>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</si>
  <si>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</si>
  <si>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</si>
  <si>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</si>
  <si>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</si>
  <si>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</si>
  <si>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</si>
  <si>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</si>
  <si>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</si>
  <si>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</si>
  <si>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</si>
  <si>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</si>
  <si>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</si>
  <si>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</si>
  <si>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</si>
  <si>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</si>
  <si>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</si>
  <si>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</si>
  <si>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</si>
  <si>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</si>
  <si>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</si>
  <si>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</si>
  <si>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</si>
  <si>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</si>
  <si>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</si>
  <si>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</si>
  <si>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</si>
  <si>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</si>
  <si>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</si>
  <si>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</si>
  <si>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</si>
  <si>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</si>
  <si>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</si>
  <si>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</si>
  <si>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</si>
  <si>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</si>
  <si>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</si>
  <si>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</si>
  <si>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</si>
  <si>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</si>
  <si>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</si>
  <si>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</si>
  <si>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</si>
  <si>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</si>
  <si>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</si>
  <si>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</si>
  <si>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</si>
  <si>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</si>
  <si>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</si>
  <si>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</si>
  <si>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</si>
  <si>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</si>
  <si>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</si>
  <si>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</si>
  <si>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</si>
  <si>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</si>
  <si>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</si>
  <si>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</si>
  <si>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</si>
  <si>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</si>
  <si>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</si>
  <si>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</si>
  <si>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</si>
  <si>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</si>
  <si>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</si>
  <si>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</si>
  <si>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</si>
  <si>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</si>
  <si>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</si>
  <si>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</si>
  <si>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</si>
  <si>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</si>
  <si>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</si>
  <si>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</si>
  <si>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</si>
  <si>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</si>
  <si>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</si>
  <si>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</si>
  <si>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</si>
  <si>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</si>
  <si>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</si>
  <si>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</si>
  <si>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</si>
  <si>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</si>
  <si>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</si>
  <si>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</si>
  <si>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</si>
  <si>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</si>
  <si>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</si>
  <si>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</si>
  <si>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</si>
  <si>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</si>
  <si>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</si>
  <si>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</si>
  <si>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</si>
  <si>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</si>
  <si>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</si>
  <si>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</si>
  <si>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</si>
  <si>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</si>
  <si>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</si>
  <si>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</si>
  <si>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</si>
  <si>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</si>
  <si>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</si>
  <si>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</si>
  <si>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</si>
  <si>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</si>
  <si>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</si>
  <si>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</si>
  <si>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</si>
  <si>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</si>
  <si>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</si>
  <si>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</si>
  <si>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</si>
  <si>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</si>
  <si>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</si>
  <si>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</si>
  <si>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</si>
  <si>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</si>
  <si>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</si>
  <si>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</si>
  <si>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</si>
  <si>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</si>
  <si>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</si>
  <si>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</si>
  <si>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</si>
  <si>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</si>
  <si>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</si>
  <si>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</si>
  <si>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</si>
  <si>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</si>
  <si>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</si>
  <si>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</si>
  <si>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</si>
  <si>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</si>
  <si>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</si>
  <si>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</si>
  <si>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</si>
  <si>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</si>
  <si>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</si>
  <si>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</si>
  <si>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</si>
  <si>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</si>
  <si>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</si>
  <si>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</si>
  <si>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</si>
  <si>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</si>
  <si>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</si>
  <si>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</si>
  <si>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</si>
  <si>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</si>
  <si>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</si>
  <si>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</si>
  <si>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</si>
  <si>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</si>
  <si>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</si>
  <si>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</si>
  <si>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</si>
  <si>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</si>
  <si>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</si>
  <si>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</si>
  <si>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</si>
  <si>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</si>
  <si>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</si>
  <si>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</si>
  <si>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</si>
  <si>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</si>
  <si>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</si>
  <si>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</si>
  <si>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</si>
  <si>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</si>
  <si>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</si>
  <si>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</si>
  <si>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</si>
  <si>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</si>
  <si>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</si>
  <si>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</si>
  <si>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</si>
  <si>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</si>
  <si>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</si>
  <si>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</si>
  <si>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</si>
  <si>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</si>
  <si>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</si>
  <si>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</si>
  <si>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</si>
  <si>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</si>
  <si>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</si>
  <si>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</si>
  <si>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</si>
  <si>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</si>
  <si>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</si>
  <si>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</si>
  <si>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</si>
  <si>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</si>
  <si>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</si>
  <si>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</si>
  <si>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</si>
  <si>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</si>
  <si>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</si>
  <si>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</si>
  <si>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</si>
  <si>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</si>
  <si>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</si>
  <si>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</si>
  <si>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</si>
  <si>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</si>
  <si>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</si>
  <si>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</si>
  <si>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</si>
  <si>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</si>
  <si>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</si>
  <si>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</si>
  <si>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</si>
  <si>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</si>
  <si>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</si>
  <si>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</si>
  <si>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</si>
  <si>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</si>
  <si>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</si>
  <si>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</si>
  <si>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</si>
  <si>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</si>
  <si>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</si>
  <si>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</si>
  <si>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</si>
  <si>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</si>
  <si>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</si>
  <si>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</si>
  <si>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</si>
  <si>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</si>
  <si>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</si>
  <si>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</si>
  <si>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</si>
  <si>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</si>
  <si>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</si>
  <si>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</si>
  <si>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</si>
  <si>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</si>
  <si>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</si>
  <si>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</si>
  <si>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</si>
  <si>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</si>
  <si>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</si>
  <si>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</si>
  <si>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</si>
  <si>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</si>
  <si>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</si>
  <si>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</si>
  <si>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</si>
  <si>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</si>
  <si>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</si>
  <si>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</si>
  <si>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</si>
  <si>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</si>
  <si>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</si>
  <si>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</si>
  <si>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</si>
  <si>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</si>
  <si>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</si>
  <si>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</si>
  <si>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</si>
  <si>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</si>
  <si>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</si>
  <si>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</si>
  <si>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</si>
  <si>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</si>
  <si>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</si>
  <si>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</si>
  <si>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</si>
  <si>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</si>
  <si>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</si>
  <si>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</si>
  <si>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</si>
  <si>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</si>
  <si>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</si>
  <si>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</si>
  <si>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</si>
  <si>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</si>
  <si>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</si>
  <si>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</si>
  <si>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</si>
  <si>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</si>
  <si>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</si>
  <si>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</si>
  <si>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</si>
  <si>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</si>
  <si>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</si>
  <si>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</si>
  <si>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</si>
  <si>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</si>
  <si>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</si>
  <si>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</si>
  <si>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</si>
  <si>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</si>
  <si>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</si>
  <si>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</si>
  <si>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</si>
  <si>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</si>
  <si>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</si>
  <si>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</si>
  <si>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</si>
  <si>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</si>
  <si>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</si>
  <si>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</si>
  <si>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</si>
  <si>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</si>
  <si>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</si>
  <si>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</si>
  <si>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</si>
  <si>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</si>
  <si>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</si>
  <si>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</si>
  <si>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</si>
  <si>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</si>
  <si>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</si>
  <si>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</si>
  <si>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</si>
  <si>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</si>
  <si>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</si>
  <si>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</si>
  <si>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</si>
  <si>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</si>
  <si>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</si>
  <si>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</si>
  <si>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</si>
  <si>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</si>
  <si>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</si>
  <si>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</si>
  <si>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</si>
  <si>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</si>
  <si>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</si>
  <si>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</si>
  <si>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</si>
  <si>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</si>
  <si>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</si>
  <si>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</si>
  <si>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</si>
  <si>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</si>
  <si>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</si>
  <si>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</si>
  <si>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</si>
  <si>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</si>
  <si>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</si>
  <si>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</si>
  <si>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</si>
  <si>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</si>
  <si>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</si>
  <si>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</si>
  <si>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</si>
  <si>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</si>
  <si>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</si>
  <si>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</si>
  <si>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</si>
  <si>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</si>
  <si>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</si>
  <si>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</si>
  <si>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</si>
  <si>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</si>
  <si>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</si>
  <si>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</si>
  <si>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</si>
  <si>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</si>
  <si>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</si>
  <si>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</si>
  <si>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</si>
  <si>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</si>
  <si>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</si>
  <si>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</si>
  <si>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</si>
  <si>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</si>
  <si>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</si>
  <si>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</si>
  <si>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</si>
  <si>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</si>
  <si>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</si>
  <si>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</si>
  <si>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</si>
  <si>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</si>
  <si>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</si>
  <si>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</si>
  <si>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</si>
  <si>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</si>
  <si>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</si>
  <si>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</si>
  <si>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</si>
  <si>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</si>
  <si>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</si>
  <si>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</si>
  <si>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</si>
  <si>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</si>
  <si>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</si>
  <si>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</si>
  <si>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</si>
  <si>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</si>
  <si>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</si>
  <si>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</si>
  <si>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</si>
  <si>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</si>
  <si>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</si>
  <si>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</si>
  <si>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</si>
  <si>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</si>
  <si>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</si>
  <si>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</si>
  <si>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</si>
  <si>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</si>
  <si>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</si>
  <si>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</si>
  <si>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</si>
  <si>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</si>
  <si>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</si>
  <si>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</si>
  <si>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</si>
  <si>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</si>
  <si>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</si>
  <si>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</si>
  <si>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</si>
  <si>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</si>
  <si>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</si>
  <si>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</si>
  <si>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</si>
  <si>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</si>
  <si>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</si>
  <si>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</si>
  <si>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</si>
  <si>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</si>
  <si>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</si>
  <si>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</si>
  <si>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</si>
  <si>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</si>
  <si>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</si>
  <si>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</si>
  <si>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</si>
  <si>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</si>
  <si>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</si>
  <si>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</si>
  <si>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</si>
  <si>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</si>
  <si>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</si>
  <si>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</si>
  <si>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</si>
  <si>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</si>
  <si>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</si>
  <si>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</si>
  <si>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</si>
  <si>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</si>
  <si>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</si>
  <si>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</si>
  <si>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</si>
  <si>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</si>
  <si>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</si>
  <si>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</si>
  <si>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</si>
  <si>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</si>
  <si>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</si>
  <si>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</si>
  <si>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</si>
  <si>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</si>
  <si>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</si>
  <si>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</si>
  <si>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</si>
  <si>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</si>
  <si>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</si>
  <si>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</si>
  <si>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</si>
  <si>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</si>
  <si>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</si>
  <si>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</si>
  <si>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</si>
  <si>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</si>
  <si>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</si>
  <si>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</si>
  <si>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</si>
  <si>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</si>
  <si>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</si>
  <si>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</si>
  <si>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</si>
  <si>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</si>
  <si>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</si>
  <si>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</si>
  <si>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</si>
  <si>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</si>
  <si>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</si>
  <si>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</si>
  <si>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</si>
  <si>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</si>
  <si>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</si>
  <si>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</si>
  <si>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</si>
  <si>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</si>
  <si>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</si>
  <si>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</si>
  <si>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</si>
  <si>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</si>
  <si>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</si>
  <si>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</si>
  <si>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</si>
  <si>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</si>
  <si>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</si>
  <si>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</si>
  <si>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</si>
  <si>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</si>
  <si>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</si>
  <si>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</si>
  <si>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</si>
  <si>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</si>
  <si>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</si>
  <si>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</si>
  <si>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</si>
  <si>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</si>
  <si>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</si>
  <si>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</si>
  <si>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</si>
  <si>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</si>
  <si>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</si>
  <si>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</si>
  <si>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</si>
  <si>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</si>
  <si>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</si>
  <si>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</si>
  <si>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</si>
  <si>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</si>
  <si>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</si>
  <si>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</si>
  <si>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</si>
  <si>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</si>
  <si>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</si>
  <si>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</si>
  <si>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</si>
  <si>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</si>
  <si>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</si>
  <si>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</si>
  <si>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</si>
  <si>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</si>
  <si>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</si>
  <si>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</si>
  <si>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</si>
  <si>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</si>
  <si>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</si>
  <si>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</si>
  <si>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</si>
  <si>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</si>
  <si>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</si>
  <si>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</si>
  <si>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</si>
  <si>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</si>
  <si>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</si>
  <si>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</si>
  <si>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</si>
  <si>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</si>
  <si>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</si>
  <si>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</si>
  <si>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</si>
  <si>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</si>
  <si>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</si>
  <si>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</si>
  <si>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</si>
  <si>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</si>
  <si>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</si>
  <si>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</si>
  <si>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</si>
  <si>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</si>
  <si>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</si>
  <si>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</si>
  <si>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</si>
  <si>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</si>
  <si>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</si>
  <si>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</si>
  <si>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</si>
  <si>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</si>
  <si>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</si>
  <si>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</si>
  <si>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</si>
  <si>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</si>
  <si>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</si>
  <si>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</si>
  <si>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</si>
  <si>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</si>
  <si>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</si>
  <si>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</si>
  <si>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</si>
  <si>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</si>
  <si>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</si>
  <si>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</si>
  <si>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</si>
  <si>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</si>
  <si>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</si>
  <si>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</si>
  <si>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</si>
  <si>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</si>
  <si>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</si>
  <si>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</si>
  <si>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</si>
  <si>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</si>
  <si>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</si>
  <si>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</si>
  <si>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</si>
  <si>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</si>
  <si>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</si>
  <si>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</si>
  <si>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</si>
  <si>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</si>
  <si>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</si>
  <si>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</si>
  <si>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</si>
  <si>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</si>
  <si>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</si>
  <si>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</si>
  <si>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</si>
  <si>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</si>
  <si>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</si>
  <si>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</si>
  <si>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</si>
  <si>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</si>
  <si>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</si>
  <si>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</si>
  <si>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</si>
  <si>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</si>
  <si>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</si>
  <si>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</si>
  <si>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</si>
  <si>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</si>
  <si>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</si>
  <si>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</si>
  <si>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</si>
  <si>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</si>
  <si>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</si>
  <si>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</si>
  <si>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</si>
  <si>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</si>
  <si>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</si>
  <si>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</si>
  <si>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</si>
  <si>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</si>
  <si>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</si>
  <si>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</si>
  <si>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</si>
  <si>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</si>
  <si>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</si>
  <si>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</si>
  <si>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</si>
  <si>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</si>
  <si>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</si>
  <si>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</si>
  <si>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</si>
  <si>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</si>
  <si>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</si>
  <si>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</si>
  <si>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</si>
  <si>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</si>
  <si>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</si>
  <si>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</si>
  <si>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</si>
  <si>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</si>
  <si>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</si>
  <si>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</si>
  <si>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</si>
  <si>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</si>
  <si>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</si>
  <si>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</si>
  <si>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</si>
  <si>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</si>
  <si>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</si>
  <si>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</si>
  <si>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</si>
  <si>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</si>
  <si>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</si>
  <si>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</si>
  <si>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</si>
  <si>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</si>
  <si>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</si>
  <si>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</si>
  <si>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</si>
  <si>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</si>
  <si>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</si>
  <si>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</si>
  <si>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</si>
  <si>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</si>
  <si>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</si>
  <si>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</si>
  <si>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</si>
  <si>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</si>
  <si>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</si>
  <si>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</si>
  <si>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</si>
  <si>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</si>
  <si>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</si>
  <si>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</si>
  <si>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</si>
  <si>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</si>
  <si>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</si>
  <si>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</si>
  <si>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</si>
  <si>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</si>
  <si>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</si>
  <si>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</si>
  <si>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</si>
  <si>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</si>
  <si>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</si>
  <si>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</si>
  <si>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</si>
  <si>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</si>
  <si>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</si>
  <si>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</si>
  <si>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</si>
  <si>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</si>
  <si>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</si>
  <si>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</si>
  <si>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</si>
  <si>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</si>
  <si>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</si>
  <si>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</si>
  <si>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</si>
  <si>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</si>
  <si>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</si>
  <si>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</si>
  <si>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</si>
  <si>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</si>
  <si>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</si>
  <si>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</si>
  <si>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</si>
  <si>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</si>
  <si>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</si>
  <si>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</si>
  <si>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</si>
  <si>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</si>
  <si>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</si>
  <si>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</si>
  <si>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</si>
  <si>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</si>
  <si>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</si>
  <si>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</si>
  <si>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</si>
  <si>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</si>
  <si>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</si>
  <si>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</si>
  <si>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</si>
  <si>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</si>
  <si>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</si>
  <si>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</si>
  <si>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</si>
  <si>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</si>
  <si>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</si>
  <si>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</si>
  <si>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</si>
  <si>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</si>
  <si>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</si>
  <si>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</si>
  <si>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</si>
  <si>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</si>
  <si>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</si>
  <si>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</si>
  <si>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</si>
  <si>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</si>
  <si>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</si>
  <si>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</si>
  <si>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</si>
  <si>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</si>
  <si>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</si>
  <si>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</si>
  <si>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</si>
  <si>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</si>
  <si>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</si>
  <si>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</si>
  <si>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</si>
  <si>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</si>
  <si>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</si>
  <si>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</si>
  <si>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</si>
  <si>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</si>
  <si>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</si>
  <si>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</si>
  <si>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</si>
  <si>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</si>
  <si>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</si>
  <si>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</si>
  <si>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</si>
  <si>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</si>
  <si>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</si>
  <si>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</si>
  <si>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</si>
  <si>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</si>
  <si>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</si>
  <si>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</si>
  <si>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</si>
  <si>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</si>
  <si>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</si>
  <si>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</si>
  <si>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</si>
  <si>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</si>
  <si>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</si>
  <si>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</si>
  <si>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</si>
  <si>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</si>
  <si>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</si>
  <si>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</si>
  <si>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</si>
  <si>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</si>
  <si>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</si>
  <si>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</si>
  <si>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</si>
  <si>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</si>
  <si>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</si>
  <si>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</si>
  <si>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</si>
  <si>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</si>
  <si>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</si>
  <si>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</si>
  <si>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</si>
  <si>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</si>
  <si>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</si>
  <si>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</si>
  <si>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</si>
  <si>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</si>
  <si>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</si>
  <si>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</si>
  <si>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</si>
  <si>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</si>
  <si>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</si>
  <si>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</si>
  <si>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</si>
  <si>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</si>
  <si>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</si>
  <si>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</si>
  <si>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</si>
  <si>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</si>
  <si>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</si>
  <si>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</si>
  <si>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</si>
  <si>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</si>
  <si>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</si>
  <si>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</si>
  <si>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</si>
  <si>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</si>
  <si>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</si>
  <si>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</si>
  <si>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</si>
  <si>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</si>
  <si>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</si>
  <si>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</si>
  <si>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</si>
  <si>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</si>
  <si>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</si>
  <si>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</si>
  <si>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</si>
  <si>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</si>
  <si>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</si>
  <si>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</si>
  <si>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</si>
  <si>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</si>
  <si>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</si>
  <si>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</si>
  <si>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</si>
  <si>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</si>
  <si>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</si>
  <si>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</si>
  <si>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</si>
  <si>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</si>
  <si>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</si>
  <si>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</si>
  <si>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</si>
  <si>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</si>
  <si>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</si>
  <si>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</si>
  <si>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</si>
  <si>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</si>
  <si>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</si>
  <si>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</si>
  <si>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</si>
  <si>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</si>
  <si>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</si>
  <si>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</si>
  <si>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</si>
  <si>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</si>
  <si>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</si>
  <si>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</si>
  <si>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</si>
  <si>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</si>
  <si>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</si>
  <si>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</si>
  <si>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</si>
  <si>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</si>
  <si>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</si>
  <si>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</si>
  <si>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</si>
  <si>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</si>
  <si>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</si>
  <si>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</si>
  <si>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</si>
  <si>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</si>
  <si>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</si>
  <si>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</si>
  <si>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</si>
  <si>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</si>
  <si>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</si>
  <si>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</si>
  <si>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</si>
  <si>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</si>
  <si>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</si>
  <si>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</si>
  <si>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</si>
  <si>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</si>
  <si>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</si>
  <si>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</si>
  <si>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</si>
  <si>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</si>
  <si>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</si>
  <si>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</si>
  <si>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</si>
  <si>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</si>
  <si>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</si>
  <si>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</si>
  <si>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</si>
  <si>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</si>
  <si>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</si>
  <si>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</si>
  <si>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</si>
  <si>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</si>
  <si>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</si>
  <si>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</si>
  <si>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</si>
  <si>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</si>
  <si>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</si>
  <si>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</si>
  <si>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</si>
  <si>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</si>
  <si>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</si>
  <si>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</si>
  <si>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</si>
  <si>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</si>
  <si>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</si>
  <si>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</si>
  <si>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</si>
  <si>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</si>
  <si>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</si>
  <si>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</si>
  <si>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</si>
  <si>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</si>
  <si>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</si>
  <si>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</si>
  <si>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</si>
  <si>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</si>
  <si>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</si>
  <si>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</si>
  <si>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</si>
  <si>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</si>
  <si>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</si>
  <si>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</si>
  <si>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</si>
  <si>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</si>
  <si>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</si>
  <si>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</si>
  <si>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</si>
  <si>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</si>
  <si>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</si>
  <si>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</si>
  <si>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</si>
  <si>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</si>
  <si>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</si>
  <si>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</si>
  <si>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</si>
  <si>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</si>
  <si>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</si>
  <si>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</si>
  <si>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</si>
  <si>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</si>
  <si>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</si>
  <si>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</si>
  <si>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</si>
  <si>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</si>
  <si>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</si>
  <si>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</si>
  <si>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</si>
  <si>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</si>
  <si>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</si>
  <si>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</si>
  <si>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</si>
  <si>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</si>
  <si>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</si>
  <si>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</si>
  <si>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</si>
  <si>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</si>
  <si>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</si>
  <si>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</si>
  <si>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</si>
  <si>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</si>
  <si>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</si>
  <si>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</si>
  <si>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</si>
  <si>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</si>
  <si>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</si>
  <si>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</si>
  <si>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</si>
  <si>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</si>
  <si>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</si>
  <si>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</si>
  <si>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</si>
  <si>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</si>
  <si>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</si>
  <si>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</si>
  <si>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</si>
  <si>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</si>
  <si>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</si>
  <si>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</si>
  <si>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</si>
  <si>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</si>
  <si>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</si>
  <si>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</si>
  <si>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</si>
  <si>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</si>
  <si>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</si>
  <si>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</si>
  <si>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</si>
  <si>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</si>
  <si>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</si>
  <si>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</si>
  <si>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</si>
  <si>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</si>
  <si>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</si>
  <si>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</si>
  <si>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</si>
  <si>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</si>
  <si>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</si>
  <si>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</si>
  <si>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</si>
  <si>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</si>
  <si>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</si>
  <si>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</si>
  <si>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</si>
  <si>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</si>
  <si>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</si>
  <si>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</si>
  <si>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</si>
  <si>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</si>
  <si>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</si>
  <si>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</si>
  <si>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</si>
  <si>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</si>
  <si>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</si>
  <si>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</si>
  <si>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</si>
  <si>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</si>
  <si>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</si>
  <si>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</si>
  <si>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</si>
  <si>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</si>
  <si>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</si>
  <si>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</si>
  <si>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</si>
  <si>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</si>
  <si>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</si>
  <si>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</si>
  <si>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</si>
  <si>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</si>
  <si>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</si>
  <si>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</si>
  <si>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</si>
  <si>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</si>
  <si>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</si>
  <si>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</si>
  <si>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</si>
  <si>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</si>
  <si>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</si>
  <si>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</si>
  <si>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</si>
  <si>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</si>
  <si>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</si>
  <si>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</si>
  <si>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</si>
  <si>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</si>
  <si>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</si>
  <si>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</si>
  <si>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</si>
  <si>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</si>
  <si>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</si>
  <si>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</si>
  <si>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</si>
  <si>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</si>
  <si>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</si>
  <si>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</si>
  <si>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</si>
  <si>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</si>
  <si>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</si>
  <si>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</si>
  <si>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</si>
  <si>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</si>
  <si>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</si>
  <si>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</si>
  <si>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</si>
  <si>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</si>
  <si>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</si>
  <si>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</si>
  <si>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</si>
  <si>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</si>
  <si>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</si>
  <si>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</si>
  <si>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</si>
  <si>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</si>
  <si>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</si>
  <si>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</si>
  <si>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</si>
  <si>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</si>
  <si>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</si>
  <si>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</si>
  <si>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</si>
  <si>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</si>
  <si>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</si>
  <si>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</si>
  <si>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</si>
  <si>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</si>
  <si>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</si>
  <si>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</si>
  <si>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</si>
  <si>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</si>
  <si>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</si>
  <si>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</si>
  <si>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</si>
  <si>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</si>
  <si>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</si>
  <si>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</si>
  <si>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</si>
  <si>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</si>
  <si>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</si>
  <si>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</si>
  <si>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</si>
  <si>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</si>
  <si>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</si>
  <si>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</si>
  <si>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</si>
  <si>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</si>
  <si>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</si>
  <si>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</si>
  <si>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</si>
  <si>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</si>
  <si>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</si>
  <si>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</si>
  <si>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</si>
  <si>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</si>
  <si>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</si>
  <si>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</si>
  <si>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</si>
  <si>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</si>
  <si>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</si>
  <si>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</si>
  <si>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</si>
  <si>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</si>
  <si>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</si>
  <si>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</si>
  <si>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</si>
  <si>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</si>
  <si>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</si>
  <si>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</si>
  <si>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PENDIENTE2</t>
  </si>
  <si>
    <t>contar</t>
  </si>
  <si>
    <t>MOTOCICLETA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</si>
</sst>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5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6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7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D11" sqref="D11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1:11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4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topLeftCell="C1" zoomScale="90" zoomScaleNormal="90" workbookViewId="0">
      <pane ySplit="7" topLeftCell="A8" activePane="bottomLeft" state="frozen"/>
      <selection pane="bottomLeft" activeCell="H26" sqref="H26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36" t="s">
        <v>2122</v>
      </c>
      <c r="B3" s="36"/>
      <c r="C3" s="36"/>
      <c r="D3" s="36"/>
      <c r="E3" s="36"/>
      <c r="F3" s="36"/>
      <c r="G3" s="36"/>
    </row>
    <row r="4" spans="1:15" x14ac:dyDescent="0.25">
      <c r="A4" s="36"/>
      <c r="B4" s="36"/>
      <c r="C4" s="36"/>
      <c r="D4" s="36"/>
      <c r="E4" s="36"/>
      <c r="F4" s="36"/>
      <c r="G4" s="36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3" width="8.44140625" style="14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36" t="s">
        <v>2152</v>
      </c>
      <c r="B3" s="36"/>
      <c r="C3" s="36"/>
      <c r="D3" s="36"/>
      <c r="E3" s="36"/>
      <c r="F3" s="36"/>
      <c r="G3" s="36"/>
    </row>
    <row r="4" spans="1:9" x14ac:dyDescent="0.25">
      <c r="A4" s="36"/>
      <c r="B4" s="36"/>
      <c r="C4" s="36"/>
      <c r="D4" s="36"/>
      <c r="E4" s="36"/>
      <c r="F4" s="36"/>
      <c r="G4" s="36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2" priority="3"/>
  </conditionalFormatting>
  <conditionalFormatting sqref="C8:C38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64"/>
  <sheetViews>
    <sheetView tabSelected="1" zoomScale="90" zoomScaleNormal="90" workbookViewId="0">
      <pane ySplit="7" topLeftCell="A442" activePane="bottomLeft" state="frozen"/>
      <selection pane="bottomLeft" activeCell="H8" sqref="H8:H464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6" t="s">
        <v>2193</v>
      </c>
      <c r="B3" s="36"/>
      <c r="C3" s="36"/>
      <c r="D3" s="36"/>
      <c r="E3" s="36"/>
      <c r="F3" s="36"/>
    </row>
    <row r="4" spans="1:8" x14ac:dyDescent="0.25">
      <c r="A4" s="36"/>
      <c r="B4" s="36"/>
      <c r="C4" s="36"/>
      <c r="D4" s="36"/>
      <c r="E4" s="36"/>
      <c r="F4" s="36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2196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6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2196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2196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2196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2196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2196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2196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2196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2196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2196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2196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2196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6" si="2">ROW()-7</f>
        <v>66</v>
      </c>
      <c r="B73" s="6" t="s">
        <v>373</v>
      </c>
      <c r="C73" s="6" t="s">
        <v>2196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2196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2188</v>
      </c>
      <c r="C82" s="6" t="s">
        <v>2196</v>
      </c>
      <c r="D82" s="6" t="s">
        <v>129</v>
      </c>
      <c r="E82" s="6" t="s">
        <v>429</v>
      </c>
      <c r="F82" s="6" t="s">
        <v>430</v>
      </c>
      <c r="G82" s="6">
        <v>1010222069</v>
      </c>
      <c r="H82" t="str">
        <f t="shared" si="3"/>
        <v>INSERT INTO `parqueadero`.`vehiculo` (`Oid`, `Placa`, `Medio`, `Tipo`, `Marca`, `Color`, `IdConductor`) VALUES ('75','MOT-001','MOTOCICLETA','ELÉCTRICO','MOTO ELÉCTRICA ','ROSADO ','1010222069');</v>
      </c>
    </row>
    <row r="83" spans="1:8" ht="14.4" x14ac:dyDescent="0.3">
      <c r="A83" s="5">
        <f t="shared" si="2"/>
        <v>76</v>
      </c>
      <c r="B83" s="6" t="s">
        <v>435</v>
      </c>
      <c r="C83" s="6" t="s">
        <v>115</v>
      </c>
      <c r="D83" s="6" t="s">
        <v>17</v>
      </c>
      <c r="E83" s="6" t="s">
        <v>393</v>
      </c>
      <c r="F83" s="6" t="s">
        <v>44</v>
      </c>
      <c r="G83" s="6">
        <v>11350393</v>
      </c>
      <c r="H83" t="str">
        <f t="shared" si="3"/>
        <v>INSERT INTO `parqueadero`.`vehiculo` (`Oid`, `Placa`, `Medio`, `Tipo`, `Marca`, `Color`, `IdConductor`) VALUES ('76','AVF201','AUTOMÓVIL','COMBUSTIBLE','KIA RIO','ROJO','11350393');</v>
      </c>
    </row>
    <row r="84" spans="1:8" ht="14.4" x14ac:dyDescent="0.3">
      <c r="A84" s="5">
        <f t="shared" si="2"/>
        <v>77</v>
      </c>
      <c r="B84" s="17" t="s">
        <v>440</v>
      </c>
      <c r="C84" s="6" t="s">
        <v>143</v>
      </c>
      <c r="D84" s="17" t="s">
        <v>17</v>
      </c>
      <c r="E84" s="17" t="s">
        <v>439</v>
      </c>
      <c r="F84" s="17" t="s">
        <v>18</v>
      </c>
      <c r="G84" s="17">
        <v>81715332</v>
      </c>
      <c r="H84" t="str">
        <f t="shared" si="3"/>
        <v>INSERT INTO `parqueadero`.`vehiculo` (`Oid`, `Placa`, `Medio`, `Tipo`, `Marca`, `Color`, `IdConductor`) VALUES ('77','FPQ281','CAMIONETA','COMBUSTIBLE','NISSAN KICKS','AZUL','81715332');</v>
      </c>
    </row>
    <row r="85" spans="1:8" ht="14.4" x14ac:dyDescent="0.3">
      <c r="A85" s="5">
        <f t="shared" si="2"/>
        <v>78</v>
      </c>
      <c r="B85" s="6" t="s">
        <v>444</v>
      </c>
      <c r="C85" s="6" t="s">
        <v>143</v>
      </c>
      <c r="D85" s="6" t="s">
        <v>17</v>
      </c>
      <c r="E85" s="6" t="s">
        <v>443</v>
      </c>
      <c r="F85" s="6" t="s">
        <v>60</v>
      </c>
      <c r="G85" s="6">
        <v>4579016</v>
      </c>
      <c r="H85" t="str">
        <f t="shared" si="3"/>
        <v>INSERT INTO `parqueadero`.`vehiculo` (`Oid`, `Placa`, `Medio`, `Tipo`, `Marca`, `Color`, `IdConductor`) VALUES ('78','ELP818','CAMIONETA','COMBUSTIBLE','HONDA HR-V','GRIS','4579016');</v>
      </c>
    </row>
    <row r="86" spans="1:8" ht="14.4" x14ac:dyDescent="0.3">
      <c r="A86" s="5">
        <f t="shared" si="2"/>
        <v>79</v>
      </c>
      <c r="B86" s="6" t="s">
        <v>448</v>
      </c>
      <c r="C86" s="6" t="s">
        <v>143</v>
      </c>
      <c r="D86" s="6" t="s">
        <v>17</v>
      </c>
      <c r="E86" s="6" t="s">
        <v>447</v>
      </c>
      <c r="F86" s="6" t="s">
        <v>259</v>
      </c>
      <c r="G86" s="6">
        <v>52820550</v>
      </c>
      <c r="H86" t="str">
        <f t="shared" si="3"/>
        <v>INSERT INTO `parqueadero`.`vehiculo` (`Oid`, `Placa`, `Medio`, `Tipo`, `Marca`, `Color`, `IdConductor`) VALUES ('79','IVP630','CAMIONETA','COMBUSTIBLE','VOLKSWAGEN ','PLATEADO','52820550');</v>
      </c>
    </row>
    <row r="87" spans="1:8" ht="14.4" x14ac:dyDescent="0.3">
      <c r="A87" s="5">
        <f t="shared" si="2"/>
        <v>80</v>
      </c>
      <c r="B87" s="6" t="s">
        <v>453</v>
      </c>
      <c r="C87" s="6" t="s">
        <v>115</v>
      </c>
      <c r="D87" s="6" t="s">
        <v>17</v>
      </c>
      <c r="E87" s="6" t="s">
        <v>452</v>
      </c>
      <c r="F87" s="6" t="s">
        <v>146</v>
      </c>
      <c r="G87" s="6">
        <v>1026263191</v>
      </c>
      <c r="H87" t="str">
        <f t="shared" si="3"/>
        <v>INSERT INTO `parqueadero`.`vehiculo` (`Oid`, `Placa`, `Medio`, `Tipo`, `Marca`, `Color`, `IdConductor`) VALUES ('80','GBU698','AUTOMÓVIL','COMBUSTIBLE','KWID','BLANCO ','1026263191');</v>
      </c>
    </row>
    <row r="88" spans="1:8" ht="14.4" x14ac:dyDescent="0.3">
      <c r="A88" s="5">
        <f t="shared" si="2"/>
        <v>81</v>
      </c>
      <c r="B88" s="17" t="s">
        <v>457</v>
      </c>
      <c r="C88" s="6" t="s">
        <v>143</v>
      </c>
      <c r="D88" s="17" t="s">
        <v>17</v>
      </c>
      <c r="E88" s="17" t="s">
        <v>64</v>
      </c>
      <c r="F88" s="17" t="s">
        <v>66</v>
      </c>
      <c r="G88" s="17">
        <v>49606615</v>
      </c>
      <c r="H88" t="str">
        <f t="shared" si="3"/>
        <v>INSERT INTO `parqueadero`.`vehiculo` (`Oid`, `Placa`, `Medio`, `Tipo`, `Marca`, `Color`, `IdConductor`) VALUES ('81','NLV749','CAMIONETA','COMBUSTIBLE','TOYOTA','BLANCO','49606615');</v>
      </c>
    </row>
    <row r="89" spans="1:8" ht="14.4" x14ac:dyDescent="0.3">
      <c r="A89" s="5">
        <f t="shared" si="2"/>
        <v>82</v>
      </c>
      <c r="B89" s="17" t="s">
        <v>462</v>
      </c>
      <c r="C89" s="6" t="s">
        <v>115</v>
      </c>
      <c r="D89" s="17" t="s">
        <v>17</v>
      </c>
      <c r="E89" s="17" t="s">
        <v>461</v>
      </c>
      <c r="F89" s="17" t="s">
        <v>24</v>
      </c>
      <c r="G89" s="17">
        <v>1032405392</v>
      </c>
      <c r="H89" t="str">
        <f t="shared" si="3"/>
        <v>INSERT INTO `parqueadero`.`vehiculo` (`Oid`, `Placa`, `Medio`, `Tipo`, `Marca`, `Color`, `IdConductor`) VALUES ('82','RKY958','AUTOMÓVIL','COMBUSTIBLE','RENAULT FLUENCE','NEGRO','1032405392');</v>
      </c>
    </row>
    <row r="90" spans="1:8" ht="14.4" x14ac:dyDescent="0.3">
      <c r="A90" s="5">
        <f t="shared" si="2"/>
        <v>83</v>
      </c>
      <c r="B90" s="6" t="s">
        <v>466</v>
      </c>
      <c r="C90" s="6" t="s">
        <v>143</v>
      </c>
      <c r="D90" s="6" t="s">
        <v>17</v>
      </c>
      <c r="E90" s="6" t="s">
        <v>58</v>
      </c>
      <c r="F90" s="6" t="s">
        <v>467</v>
      </c>
      <c r="G90" s="6">
        <v>79620120</v>
      </c>
      <c r="H90" t="str">
        <f t="shared" si="3"/>
        <v>INSERT INTO `parqueadero`.`vehiculo` (`Oid`, `Placa`, `Medio`, `Tipo`, `Marca`, `Color`, `IdConductor`) VALUES ('83','DJO120','CAMIONETA','COMBUSTIBLE','CHEVROLET','ACERO','79620120');</v>
      </c>
    </row>
    <row r="91" spans="1:8" ht="14.4" x14ac:dyDescent="0.3">
      <c r="A91" s="5">
        <f t="shared" si="2"/>
        <v>84</v>
      </c>
      <c r="B91" s="6" t="s">
        <v>472</v>
      </c>
      <c r="C91" s="6" t="s">
        <v>115</v>
      </c>
      <c r="D91" s="6" t="s">
        <v>17</v>
      </c>
      <c r="E91" s="6" t="s">
        <v>471</v>
      </c>
      <c r="F91" s="6" t="s">
        <v>44</v>
      </c>
      <c r="G91" s="6">
        <v>53066202</v>
      </c>
      <c r="H91" t="str">
        <f t="shared" si="3"/>
        <v>INSERT INTO `parqueadero`.`vehiculo` (`Oid`, `Placa`, `Medio`, `Tipo`, `Marca`, `Color`, `IdConductor`) VALUES ('84','DZZ039','AUTOMÓVIL','COMBUSTIBLE','KIA PICANTO','ROJO','53066202');</v>
      </c>
    </row>
    <row r="92" spans="1:8" ht="14.4" x14ac:dyDescent="0.3">
      <c r="A92" s="5">
        <f t="shared" si="2"/>
        <v>85</v>
      </c>
      <c r="B92" s="6" t="s">
        <v>477</v>
      </c>
      <c r="C92" s="6" t="s">
        <v>143</v>
      </c>
      <c r="D92" s="6" t="s">
        <v>253</v>
      </c>
      <c r="E92" s="6" t="s">
        <v>476</v>
      </c>
      <c r="F92" s="6" t="s">
        <v>66</v>
      </c>
      <c r="G92" s="6">
        <v>79754530</v>
      </c>
      <c r="H92" t="str">
        <f t="shared" si="3"/>
        <v>INSERT INTO `parqueadero`.`vehiculo` (`Oid`, `Placa`, `Medio`, `Tipo`, `Marca`, `Color`, `IdConductor`) VALUES ('85','JRM107','CAMIONETA','HÍBRIDO','FORD ESCAPE','BLANCO','79754530');</v>
      </c>
    </row>
    <row r="93" spans="1:8" ht="14.4" x14ac:dyDescent="0.3">
      <c r="A93" s="5">
        <f t="shared" si="2"/>
        <v>86</v>
      </c>
      <c r="B93" s="6" t="s">
        <v>481</v>
      </c>
      <c r="C93" s="6" t="s">
        <v>143</v>
      </c>
      <c r="D93" s="6" t="s">
        <v>253</v>
      </c>
      <c r="E93" s="6" t="s">
        <v>363</v>
      </c>
      <c r="F93" s="6" t="s">
        <v>146</v>
      </c>
      <c r="G93" s="6">
        <v>53075545</v>
      </c>
      <c r="H93" t="str">
        <f t="shared" si="3"/>
        <v>INSERT INTO `parqueadero`.`vehiculo` (`Oid`, `Placa`, `Medio`, `Tipo`, `Marca`, `Color`, `IdConductor`) VALUES ('86','POT693','CAMIONETA','HÍBRIDO','SUSUKI','BLANCO ','53075545');</v>
      </c>
    </row>
    <row r="94" spans="1:8" ht="14.4" x14ac:dyDescent="0.3">
      <c r="A94" s="5">
        <f t="shared" si="2"/>
        <v>87</v>
      </c>
      <c r="B94" s="6" t="s">
        <v>486</v>
      </c>
      <c r="C94" s="6" t="s">
        <v>143</v>
      </c>
      <c r="D94" s="6" t="s">
        <v>253</v>
      </c>
      <c r="E94" s="6" t="s">
        <v>485</v>
      </c>
      <c r="F94" s="6" t="s">
        <v>487</v>
      </c>
      <c r="G94" s="6">
        <v>1026279388</v>
      </c>
      <c r="H94" t="str">
        <f t="shared" si="3"/>
        <v>INSERT INTO `parqueadero`.`vehiculo` (`Oid`, `Placa`, `Medio`, `Tipo`, `Marca`, `Color`, `IdConductor`) VALUES ('87','PHL863','CAMIONETA','HÍBRIDO','KIA SPORTAGE ','VERDE ','1026279388');</v>
      </c>
    </row>
    <row r="95" spans="1:8" ht="14.4" x14ac:dyDescent="0.3">
      <c r="A95" s="5">
        <f t="shared" si="2"/>
        <v>88</v>
      </c>
      <c r="B95" s="6" t="s">
        <v>492</v>
      </c>
      <c r="C95" s="6" t="s">
        <v>143</v>
      </c>
      <c r="D95" s="6" t="s">
        <v>17</v>
      </c>
      <c r="E95" s="6" t="s">
        <v>491</v>
      </c>
      <c r="F95" s="6" t="s">
        <v>259</v>
      </c>
      <c r="G95" s="6">
        <v>52355600</v>
      </c>
      <c r="H95" t="str">
        <f t="shared" si="3"/>
        <v>INSERT INTO `parqueadero`.`vehiculo` (`Oid`, `Placa`, `Medio`, `Tipo`, `Marca`, `Color`, `IdConductor`) VALUES ('88','JCX491','CAMIONETA','COMBUSTIBLE','RENAULT DUSTER','PLATEADO','52355600');</v>
      </c>
    </row>
    <row r="96" spans="1:8" ht="14.4" x14ac:dyDescent="0.3">
      <c r="A96" s="5">
        <f t="shared" si="2"/>
        <v>89</v>
      </c>
      <c r="B96" s="6" t="s">
        <v>496</v>
      </c>
      <c r="C96" s="6" t="s">
        <v>143</v>
      </c>
      <c r="D96" s="6" t="s">
        <v>17</v>
      </c>
      <c r="E96" s="6" t="s">
        <v>304</v>
      </c>
      <c r="F96" s="6" t="s">
        <v>66</v>
      </c>
      <c r="G96" s="6">
        <v>1010222054</v>
      </c>
      <c r="H96" t="str">
        <f t="shared" si="3"/>
        <v>INSERT INTO `parqueadero`.`vehiculo` (`Oid`, `Placa`, `Medio`, `Tipo`, `Marca`, `Color`, `IdConductor`) VALUES ('89','ELR761','CAMIONETA','COMBUSTIBLE','RENAULT','BLANCO','1010222054');</v>
      </c>
    </row>
    <row r="97" spans="1:8" ht="14.4" x14ac:dyDescent="0.3">
      <c r="A97" s="5">
        <f t="shared" si="2"/>
        <v>90</v>
      </c>
      <c r="B97" s="6" t="s">
        <v>502</v>
      </c>
      <c r="C97" s="6" t="s">
        <v>115</v>
      </c>
      <c r="D97" s="6" t="s">
        <v>17</v>
      </c>
      <c r="E97" s="6" t="s">
        <v>501</v>
      </c>
      <c r="F97" s="6" t="s">
        <v>259</v>
      </c>
      <c r="G97" s="6">
        <v>1022332783</v>
      </c>
      <c r="H97" t="str">
        <f t="shared" si="3"/>
        <v>INSERT INTO `parqueadero`.`vehiculo` (`Oid`, `Placa`, `Medio`, `Tipo`, `Marca`, `Color`, `IdConductor`) VALUES ('90','DCT374','AUTOMÓVIL','COMBUSTIBLE','NISSAN','PLATEADO','1022332783');</v>
      </c>
    </row>
    <row r="98" spans="1:8" ht="14.4" x14ac:dyDescent="0.3">
      <c r="A98" s="5">
        <f t="shared" si="2"/>
        <v>91</v>
      </c>
      <c r="B98" s="6" t="s">
        <v>507</v>
      </c>
      <c r="C98" s="6" t="s">
        <v>143</v>
      </c>
      <c r="D98" s="6" t="s">
        <v>17</v>
      </c>
      <c r="E98" s="6" t="s">
        <v>506</v>
      </c>
      <c r="F98" s="6" t="s">
        <v>24</v>
      </c>
      <c r="G98" s="6">
        <v>80723272</v>
      </c>
      <c r="H98" t="str">
        <f t="shared" si="3"/>
        <v>INSERT INTO `parqueadero`.`vehiculo` (`Oid`, `Placa`, `Medio`, `Tipo`, `Marca`, `Color`, `IdConductor`) VALUES ('91','JVS865','CAMIONETA','COMBUSTIBLE','VOLKSWAGEN TIGUAN','NEGRO','80723272');</v>
      </c>
    </row>
    <row r="99" spans="1:8" ht="14.4" x14ac:dyDescent="0.3">
      <c r="A99" s="5">
        <f t="shared" si="2"/>
        <v>92</v>
      </c>
      <c r="B99" s="6" t="s">
        <v>511</v>
      </c>
      <c r="C99" s="6" t="s">
        <v>143</v>
      </c>
      <c r="D99" s="6" t="s">
        <v>17</v>
      </c>
      <c r="E99" s="6" t="s">
        <v>56</v>
      </c>
      <c r="F99" s="6" t="s">
        <v>512</v>
      </c>
      <c r="G99" s="6">
        <v>52267468</v>
      </c>
      <c r="H99" t="str">
        <f t="shared" si="3"/>
        <v>INSERT INTO `parqueadero`.`vehiculo` (`Oid`, `Placa`, `Medio`, `Tipo`, `Marca`, `Color`, `IdConductor`) VALUES ('92','DDD459','CAMIONETA','COMBUSTIBLE','HONDA','COBRE','52267468');</v>
      </c>
    </row>
    <row r="100" spans="1:8" ht="14.4" x14ac:dyDescent="0.3">
      <c r="A100" s="5">
        <f t="shared" si="2"/>
        <v>93</v>
      </c>
      <c r="B100" s="6" t="s">
        <v>517</v>
      </c>
      <c r="C100" s="6" t="s">
        <v>2196</v>
      </c>
      <c r="D100" s="6" t="s">
        <v>17</v>
      </c>
      <c r="E100" s="6" t="s">
        <v>516</v>
      </c>
      <c r="F100" s="6" t="s">
        <v>177</v>
      </c>
      <c r="G100" s="6">
        <v>11204191</v>
      </c>
      <c r="H100" t="str">
        <f t="shared" si="3"/>
        <v>INSERT INTO `parqueadero`.`vehiculo` (`Oid`, `Placa`, `Medio`, `Tipo`, `Marca`, `Color`, `IdConductor`) VALUES ('93','OBG31E','MOTOCICLETA','COMBUSTIBLE','YAMAHA ','NEGRO ','11204191');</v>
      </c>
    </row>
    <row r="101" spans="1:8" ht="14.4" x14ac:dyDescent="0.3">
      <c r="A101" s="5">
        <f t="shared" si="2"/>
        <v>94</v>
      </c>
      <c r="B101" s="6" t="s">
        <v>521</v>
      </c>
      <c r="C101" s="6" t="s">
        <v>115</v>
      </c>
      <c r="D101" s="6" t="s">
        <v>17</v>
      </c>
      <c r="E101" s="6" t="s">
        <v>304</v>
      </c>
      <c r="F101" s="6" t="s">
        <v>24</v>
      </c>
      <c r="G101" s="6">
        <v>52096386</v>
      </c>
      <c r="H101" t="str">
        <f t="shared" si="3"/>
        <v>INSERT INTO `parqueadero`.`vehiculo` (`Oid`, `Placa`, `Medio`, `Tipo`, `Marca`, `Color`, `IdConductor`) VALUES ('94','RMM055','AUTOMÓVIL','COMBUSTIBLE','RENAULT','NEGRO','52096386');</v>
      </c>
    </row>
    <row r="102" spans="1:8" ht="14.4" x14ac:dyDescent="0.3">
      <c r="A102" s="5">
        <f t="shared" si="2"/>
        <v>95</v>
      </c>
      <c r="B102" s="6" t="s">
        <v>525</v>
      </c>
      <c r="C102" s="6" t="s">
        <v>143</v>
      </c>
      <c r="D102" s="6" t="s">
        <v>17</v>
      </c>
      <c r="E102" s="6" t="s">
        <v>524</v>
      </c>
      <c r="F102" s="6" t="s">
        <v>526</v>
      </c>
      <c r="G102" s="6">
        <v>396645660</v>
      </c>
      <c r="H102" t="str">
        <f t="shared" si="3"/>
        <v>INSERT INTO `parqueadero`.`vehiculo` (`Oid`, `Placa`, `Medio`, `Tipo`, `Marca`, `Color`, `IdConductor`) VALUES ('95','KPK172','CAMIONETA','COMBUSTIBLE','MAZDA ','GRIS OSCURO ','396645660');</v>
      </c>
    </row>
    <row r="103" spans="1:8" ht="14.4" x14ac:dyDescent="0.3">
      <c r="A103" s="5">
        <f t="shared" si="2"/>
        <v>96</v>
      </c>
      <c r="B103" s="6" t="s">
        <v>530</v>
      </c>
      <c r="C103" s="6" t="s">
        <v>143</v>
      </c>
      <c r="D103" s="6" t="s">
        <v>17</v>
      </c>
      <c r="E103" s="6" t="s">
        <v>304</v>
      </c>
      <c r="F103" s="6" t="s">
        <v>134</v>
      </c>
      <c r="G103" s="6">
        <v>1023867746</v>
      </c>
      <c r="H103" t="str">
        <f t="shared" si="3"/>
        <v>INSERT INTO `parqueadero`.`vehiculo` (`Oid`, `Placa`, `Medio`, `Tipo`, `Marca`, `Color`, `IdConductor`) VALUES ('96','JNO190','CAMIONETA','COMBUSTIBLE','RENAULT','GRIS ','1023867746');</v>
      </c>
    </row>
    <row r="104" spans="1:8" ht="14.4" x14ac:dyDescent="0.3">
      <c r="A104" s="5">
        <f t="shared" si="2"/>
        <v>97</v>
      </c>
      <c r="B104" s="6" t="s">
        <v>534</v>
      </c>
      <c r="C104" s="6" t="s">
        <v>115</v>
      </c>
      <c r="D104" s="6" t="s">
        <v>17</v>
      </c>
      <c r="E104" s="6" t="s">
        <v>75</v>
      </c>
      <c r="F104" s="6" t="s">
        <v>166</v>
      </c>
      <c r="G104" s="6">
        <v>79844430</v>
      </c>
      <c r="H104" t="str">
        <f t="shared" si="3"/>
        <v>INSERT INTO `parqueadero`.`vehiculo` (`Oid`, `Placa`, `Medio`, `Tipo`, `Marca`, `Color`, `IdConductor`) VALUES ('97','DZV347','AUTOMÓVIL','COMBUSTIBLE','MAZDA','GRIS OSCURO','79844430');</v>
      </c>
    </row>
    <row r="105" spans="1:8" ht="14.4" x14ac:dyDescent="0.3">
      <c r="A105" s="5">
        <f t="shared" si="2"/>
        <v>98</v>
      </c>
      <c r="B105" s="6" t="s">
        <v>538</v>
      </c>
      <c r="C105" s="6" t="s">
        <v>115</v>
      </c>
      <c r="D105" s="6" t="s">
        <v>17</v>
      </c>
      <c r="E105" s="6" t="s">
        <v>320</v>
      </c>
      <c r="F105" s="6" t="s">
        <v>18</v>
      </c>
      <c r="G105" s="6">
        <v>50939844</v>
      </c>
      <c r="H105" t="str">
        <f t="shared" si="3"/>
        <v>INSERT INTO `parqueadero`.`vehiculo` (`Oid`, `Placa`, `Medio`, `Tipo`, `Marca`, `Color`, `IdConductor`) VALUES ('98','DBI304','AUTOMÓVIL','COMBUSTIBLE','AUDI','AZUL','50939844');</v>
      </c>
    </row>
    <row r="106" spans="1:8" ht="14.4" x14ac:dyDescent="0.3">
      <c r="A106" s="5">
        <f t="shared" si="2"/>
        <v>99</v>
      </c>
      <c r="B106" s="17" t="s">
        <v>542</v>
      </c>
      <c r="C106" s="6" t="s">
        <v>115</v>
      </c>
      <c r="D106" s="17" t="s">
        <v>17</v>
      </c>
      <c r="E106" s="17" t="s">
        <v>202</v>
      </c>
      <c r="F106" s="17" t="s">
        <v>66</v>
      </c>
      <c r="G106" s="17">
        <v>1020834737</v>
      </c>
      <c r="H106" t="str">
        <f t="shared" si="3"/>
        <v>INSERT INTO `parqueadero`.`vehiculo` (`Oid`, `Placa`, `Medio`, `Tipo`, `Marca`, `Color`, `IdConductor`) VALUES ('99','JNQ616','AUTOMÓVIL','COMBUSTIBLE','VOLKSWAGEN','BLANCO','1020834737');</v>
      </c>
    </row>
    <row r="107" spans="1:8" ht="14.4" x14ac:dyDescent="0.3">
      <c r="A107" s="5">
        <f t="shared" si="2"/>
        <v>100</v>
      </c>
      <c r="B107" s="17" t="s">
        <v>546</v>
      </c>
      <c r="C107" s="6" t="s">
        <v>115</v>
      </c>
      <c r="D107" s="17" t="s">
        <v>17</v>
      </c>
      <c r="E107" s="17" t="s">
        <v>501</v>
      </c>
      <c r="F107" s="17" t="s">
        <v>60</v>
      </c>
      <c r="G107" s="17">
        <v>13741047</v>
      </c>
      <c r="H107" t="str">
        <f t="shared" si="3"/>
        <v>INSERT INTO `parqueadero`.`vehiculo` (`Oid`, `Placa`, `Medio`, `Tipo`, `Marca`, `Color`, `IdConductor`) VALUES ('100','JBN324','AUTOMÓVIL','COMBUSTIBLE','NISSAN','GRIS','13741047');</v>
      </c>
    </row>
    <row r="108" spans="1:8" ht="14.4" x14ac:dyDescent="0.3">
      <c r="A108" s="5">
        <f t="shared" si="2"/>
        <v>101</v>
      </c>
      <c r="B108" s="6" t="s">
        <v>555</v>
      </c>
      <c r="C108" s="6" t="s">
        <v>115</v>
      </c>
      <c r="D108" s="6" t="s">
        <v>17</v>
      </c>
      <c r="E108" s="6" t="s">
        <v>294</v>
      </c>
      <c r="F108" s="6" t="s">
        <v>60</v>
      </c>
      <c r="G108" s="6">
        <v>52715205</v>
      </c>
      <c r="H108" t="str">
        <f t="shared" si="3"/>
        <v>INSERT INTO `parqueadero`.`vehiculo` (`Oid`, `Placa`, `Medio`, `Tipo`, `Marca`, `Color`, `IdConductor`) VALUES ('101','JDV193','AUTOMÓVIL','COMBUSTIBLE','FORD','GRIS','52715205');</v>
      </c>
    </row>
    <row r="109" spans="1:8" ht="14.4" x14ac:dyDescent="0.3">
      <c r="A109" s="5">
        <f t="shared" si="2"/>
        <v>102</v>
      </c>
      <c r="B109" s="6" t="s">
        <v>560</v>
      </c>
      <c r="C109" s="6" t="s">
        <v>143</v>
      </c>
      <c r="D109" s="6" t="s">
        <v>17</v>
      </c>
      <c r="E109" s="6" t="s">
        <v>559</v>
      </c>
      <c r="F109" s="6" t="s">
        <v>60</v>
      </c>
      <c r="G109" s="6">
        <v>30393634</v>
      </c>
      <c r="H109" t="str">
        <f t="shared" si="3"/>
        <v>INSERT INTO `parqueadero`.`vehiculo` (`Oid`, `Placa`, `Medio`, `Tipo`, `Marca`, `Color`, `IdConductor`) VALUES ('102','JNK827','CAMIONETA','COMBUSTIBLE','CHEVROLET  TRACKER','GRIS','30393634');</v>
      </c>
    </row>
    <row r="110" spans="1:8" ht="14.4" x14ac:dyDescent="0.3">
      <c r="A110" s="5">
        <f t="shared" si="2"/>
        <v>103</v>
      </c>
      <c r="B110" s="6" t="s">
        <v>564</v>
      </c>
      <c r="C110" s="6" t="s">
        <v>115</v>
      </c>
      <c r="D110" s="6" t="s">
        <v>17</v>
      </c>
      <c r="E110" s="6" t="s">
        <v>524</v>
      </c>
      <c r="F110" s="6" t="s">
        <v>259</v>
      </c>
      <c r="G110" s="6">
        <v>79950133</v>
      </c>
      <c r="H110" t="str">
        <f t="shared" si="3"/>
        <v>INSERT INTO `parqueadero`.`vehiculo` (`Oid`, `Placa`, `Medio`, `Tipo`, `Marca`, `Color`, `IdConductor`) VALUES ('103','BYR110','AUTOMÓVIL','COMBUSTIBLE','MAZDA ','PLATEADO','79950133');</v>
      </c>
    </row>
    <row r="111" spans="1:8" ht="14.4" x14ac:dyDescent="0.3">
      <c r="A111" s="5">
        <f t="shared" si="2"/>
        <v>104</v>
      </c>
      <c r="B111" s="6" t="s">
        <v>569</v>
      </c>
      <c r="C111" s="6" t="s">
        <v>143</v>
      </c>
      <c r="D111" s="6" t="s">
        <v>17</v>
      </c>
      <c r="E111" s="6" t="s">
        <v>568</v>
      </c>
      <c r="F111" s="6" t="s">
        <v>570</v>
      </c>
      <c r="G111" s="6">
        <v>1030589207</v>
      </c>
      <c r="H111" t="str">
        <f t="shared" si="3"/>
        <v>INSERT INTO `parqueadero`.`vehiculo` (`Oid`, `Placa`, `Medio`, `Tipo`, `Marca`, `Color`, `IdConductor`) VALUES ('104','LNP411','CAMIONETA','COMBUSTIBLE','VOLKSWAGEN TCROSS','AZUL ','1030589207');</v>
      </c>
    </row>
    <row r="112" spans="1:8" ht="14.4" x14ac:dyDescent="0.3">
      <c r="A112" s="5">
        <f t="shared" si="2"/>
        <v>105</v>
      </c>
      <c r="B112" s="6" t="s">
        <v>573</v>
      </c>
      <c r="C112" s="6" t="s">
        <v>2196</v>
      </c>
      <c r="D112" s="6" t="s">
        <v>17</v>
      </c>
      <c r="E112" s="6" t="s">
        <v>516</v>
      </c>
      <c r="F112" s="6" t="s">
        <v>570</v>
      </c>
      <c r="G112" s="6">
        <v>1019060772</v>
      </c>
      <c r="H112" t="str">
        <f t="shared" si="3"/>
        <v>INSERT INTO `parqueadero`.`vehiculo` (`Oid`, `Placa`, `Medio`, `Tipo`, `Marca`, `Color`, `IdConductor`) VALUES ('105','EHM75F','MOTOCICLETA','COMBUSTIBLE','YAMAHA ','AZUL ','1019060772');</v>
      </c>
    </row>
    <row r="113" spans="1:8" ht="14.4" x14ac:dyDescent="0.3">
      <c r="A113" s="5">
        <f t="shared" si="2"/>
        <v>106</v>
      </c>
      <c r="B113" s="6" t="s">
        <v>577</v>
      </c>
      <c r="C113" s="6" t="s">
        <v>115</v>
      </c>
      <c r="D113" s="6" t="s">
        <v>129</v>
      </c>
      <c r="E113" s="6" t="s">
        <v>22</v>
      </c>
      <c r="F113" s="6" t="s">
        <v>578</v>
      </c>
      <c r="G113" s="6">
        <v>79938373</v>
      </c>
      <c r="H113" t="str">
        <f t="shared" si="3"/>
        <v>INSERT INTO `parqueadero`.`vehiculo` (`Oid`, `Placa`, `Medio`, `Tipo`, `Marca`, `Color`, `IdConductor`) VALUES ('106','NIU313','AUTOMÓVIL','ELÉCTRICO','BYD','GRIS CHAMPAÑA','79938373');</v>
      </c>
    </row>
    <row r="114" spans="1:8" ht="14.4" x14ac:dyDescent="0.3">
      <c r="A114" s="5">
        <f t="shared" si="2"/>
        <v>107</v>
      </c>
      <c r="B114" s="17" t="s">
        <v>583</v>
      </c>
      <c r="C114" s="6" t="s">
        <v>2196</v>
      </c>
      <c r="D114" s="17" t="s">
        <v>17</v>
      </c>
      <c r="E114" s="17" t="s">
        <v>582</v>
      </c>
      <c r="F114" s="17" t="s">
        <v>44</v>
      </c>
      <c r="G114" s="17">
        <v>85203798</v>
      </c>
      <c r="H114" t="str">
        <f t="shared" si="3"/>
        <v>INSERT INTO `parqueadero`.`vehiculo` (`Oid`, `Placa`, `Medio`, `Tipo`, `Marca`, `Color`, `IdConductor`) VALUES ('107','BHT12C','MOTOCICLETA','COMBUSTIBLE','HONDA ','ROJO','85203798');</v>
      </c>
    </row>
    <row r="115" spans="1:8" ht="14.4" x14ac:dyDescent="0.3">
      <c r="A115" s="5">
        <f t="shared" si="2"/>
        <v>108</v>
      </c>
      <c r="B115" s="17" t="s">
        <v>588</v>
      </c>
      <c r="C115" s="6" t="s">
        <v>143</v>
      </c>
      <c r="D115" s="17" t="s">
        <v>17</v>
      </c>
      <c r="E115" s="17" t="s">
        <v>164</v>
      </c>
      <c r="F115" s="17" t="s">
        <v>589</v>
      </c>
      <c r="G115" s="17">
        <v>1001090013</v>
      </c>
      <c r="H115" t="str">
        <f t="shared" si="3"/>
        <v>INSERT INTO `parqueadero`.`vehiculo` (`Oid`, `Placa`, `Medio`, `Tipo`, `Marca`, `Color`, `IdConductor`) VALUES ('108','UBZ404','CAMIONETA','COMBUSTIBLE','KIA','GRIS OBSCURO','1001090013');</v>
      </c>
    </row>
    <row r="116" spans="1:8" ht="14.4" x14ac:dyDescent="0.3">
      <c r="A116" s="5">
        <f t="shared" si="2"/>
        <v>109</v>
      </c>
      <c r="B116" s="6" t="s">
        <v>593</v>
      </c>
      <c r="C116" s="6" t="s">
        <v>143</v>
      </c>
      <c r="D116" s="6" t="s">
        <v>17</v>
      </c>
      <c r="E116" s="6" t="s">
        <v>294</v>
      </c>
      <c r="F116" s="6" t="s">
        <v>66</v>
      </c>
      <c r="G116" s="6">
        <v>1049616323</v>
      </c>
      <c r="H116" t="str">
        <f t="shared" si="3"/>
        <v>INSERT INTO `parqueadero`.`vehiculo` (`Oid`, `Placa`, `Medio`, `Tipo`, `Marca`, `Color`, `IdConductor`) VALUES ('109','DAX652','CAMIONETA','COMBUSTIBLE','FORD','BLANCO','1049616323');</v>
      </c>
    </row>
    <row r="117" spans="1:8" ht="14.4" x14ac:dyDescent="0.3">
      <c r="A117" s="5">
        <f t="shared" si="2"/>
        <v>110</v>
      </c>
      <c r="B117" s="6" t="s">
        <v>597</v>
      </c>
      <c r="C117" s="6" t="s">
        <v>115</v>
      </c>
      <c r="D117" s="6" t="s">
        <v>253</v>
      </c>
      <c r="E117" s="6" t="s">
        <v>64</v>
      </c>
      <c r="F117" s="6" t="s">
        <v>66</v>
      </c>
      <c r="G117" s="6">
        <v>1015461189</v>
      </c>
      <c r="H117" t="str">
        <f t="shared" si="3"/>
        <v>INSERT INTO `parqueadero`.`vehiculo` (`Oid`, `Placa`, `Medio`, `Tipo`, `Marca`, `Color`, `IdConductor`) VALUES ('110','JVT391','AUTOMÓVIL','HÍBRIDO','TOYOTA','BLANCO','1015461189');</v>
      </c>
    </row>
    <row r="118" spans="1:8" ht="14.4" x14ac:dyDescent="0.3">
      <c r="A118" s="5">
        <f t="shared" si="2"/>
        <v>111</v>
      </c>
      <c r="B118" s="6" t="s">
        <v>601</v>
      </c>
      <c r="C118" s="6" t="s">
        <v>115</v>
      </c>
      <c r="D118" s="6" t="s">
        <v>253</v>
      </c>
      <c r="E118" s="6" t="s">
        <v>75</v>
      </c>
      <c r="F118" s="6" t="s">
        <v>602</v>
      </c>
      <c r="G118" s="6">
        <v>1032400206</v>
      </c>
      <c r="H118" t="str">
        <f t="shared" si="3"/>
        <v>INSERT INTO `parqueadero`.`vehiculo` (`Oid`, `Placa`, `Medio`, `Tipo`, `Marca`, `Color`, `IdConductor`) VALUES ('111','PCU762','AUTOMÓVIL','HÍBRIDO','MAZDA','GRIS AERO','1032400206');</v>
      </c>
    </row>
    <row r="119" spans="1:8" ht="14.4" x14ac:dyDescent="0.3">
      <c r="A119" s="5">
        <f t="shared" si="2"/>
        <v>112</v>
      </c>
      <c r="B119" s="17" t="s">
        <v>607</v>
      </c>
      <c r="C119" s="6" t="s">
        <v>2196</v>
      </c>
      <c r="D119" s="17" t="s">
        <v>17</v>
      </c>
      <c r="E119" s="17" t="s">
        <v>606</v>
      </c>
      <c r="F119" s="17" t="s">
        <v>608</v>
      </c>
      <c r="G119" s="17">
        <v>80505613</v>
      </c>
      <c r="H119" t="str">
        <f t="shared" si="3"/>
        <v>INSERT INTO `parqueadero`.`vehiculo` (`Oid`, `Placa`, `Medio`, `Tipo`, `Marca`, `Color`, `IdConductor`) VALUES ('112','KJJ76G','MOTOCICLETA','COMBUSTIBLE','ROYAL ENFIEL SCRAM','GRIS, NEGRO AZUL','80505613');</v>
      </c>
    </row>
    <row r="120" spans="1:8" ht="14.4" x14ac:dyDescent="0.3">
      <c r="A120" s="5">
        <f t="shared" si="2"/>
        <v>113</v>
      </c>
      <c r="B120" s="6" t="s">
        <v>612</v>
      </c>
      <c r="C120" s="6" t="s">
        <v>115</v>
      </c>
      <c r="D120" s="6" t="s">
        <v>17</v>
      </c>
      <c r="E120" s="6" t="s">
        <v>116</v>
      </c>
      <c r="F120" s="6" t="s">
        <v>66</v>
      </c>
      <c r="G120" s="6">
        <v>1015444843</v>
      </c>
      <c r="H120" t="str">
        <f t="shared" si="3"/>
        <v>INSERT INTO `parqueadero`.`vehiculo` (`Oid`, `Placa`, `Medio`, `Tipo`, `Marca`, `Color`, `IdConductor`) VALUES ('113','UTQ561','AUTOMÓVIL','COMBUSTIBLE','HYUNDAI','BLANCO','1015444843');</v>
      </c>
    </row>
    <row r="121" spans="1:8" ht="14.4" x14ac:dyDescent="0.3">
      <c r="A121" s="5">
        <f t="shared" si="2"/>
        <v>114</v>
      </c>
      <c r="B121" s="6" t="s">
        <v>617</v>
      </c>
      <c r="C121" s="6" t="s">
        <v>115</v>
      </c>
      <c r="D121" s="6" t="s">
        <v>253</v>
      </c>
      <c r="E121" s="6" t="s">
        <v>616</v>
      </c>
      <c r="F121" s="6" t="s">
        <v>618</v>
      </c>
      <c r="G121" s="6">
        <v>39698825</v>
      </c>
      <c r="H121" t="str">
        <f t="shared" si="3"/>
        <v>INSERT INTO `parqueadero`.`vehiculo` (`Oid`, `Placa`, `Medio`, `Tipo`, `Marca`, `Color`, `IdConductor`) VALUES ('114','KWZ109','AUTOMÓVIL','HÍBRIDO','SUZUKI ','ROJO NEGRO ','39698825');</v>
      </c>
    </row>
    <row r="122" spans="1:8" ht="14.4" x14ac:dyDescent="0.3">
      <c r="A122" s="5">
        <f t="shared" si="2"/>
        <v>115</v>
      </c>
      <c r="B122" s="6" t="s">
        <v>621</v>
      </c>
      <c r="C122" s="6" t="s">
        <v>143</v>
      </c>
      <c r="D122" s="6" t="s">
        <v>253</v>
      </c>
      <c r="E122" s="6" t="s">
        <v>64</v>
      </c>
      <c r="F122" s="6" t="s">
        <v>18</v>
      </c>
      <c r="G122" s="6">
        <v>53047446</v>
      </c>
      <c r="H122" t="str">
        <f t="shared" si="3"/>
        <v>INSERT INTO `parqueadero`.`vehiculo` (`Oid`, `Placa`, `Medio`, `Tipo`, `Marca`, `Color`, `IdConductor`) VALUES ('115','KXR481','CAMIONETA','HÍBRIDO','TOYOTA','AZUL','53047446');</v>
      </c>
    </row>
    <row r="123" spans="1:8" ht="14.4" x14ac:dyDescent="0.3">
      <c r="A123" s="5">
        <f t="shared" si="2"/>
        <v>116</v>
      </c>
      <c r="B123" s="6" t="s">
        <v>625</v>
      </c>
      <c r="C123" s="6" t="s">
        <v>2196</v>
      </c>
      <c r="D123" s="6" t="s">
        <v>17</v>
      </c>
      <c r="E123" s="6" t="s">
        <v>276</v>
      </c>
      <c r="F123" s="6" t="s">
        <v>157</v>
      </c>
      <c r="G123" s="6">
        <v>1019104675</v>
      </c>
      <c r="H123" t="str">
        <f t="shared" si="3"/>
        <v>INSERT INTO `parqueadero`.`vehiculo` (`Oid`, `Placa`, `Medio`, `Tipo`, `Marca`, `Color`, `IdConductor`) VALUES ('116','SCX09F','MOTOCICLETA','COMBUSTIBLE','SUZUKI','NEGRA','1019104675');</v>
      </c>
    </row>
    <row r="124" spans="1:8" ht="14.4" x14ac:dyDescent="0.3">
      <c r="A124" s="5">
        <f t="shared" si="2"/>
        <v>117</v>
      </c>
      <c r="B124" s="6" t="s">
        <v>629</v>
      </c>
      <c r="C124" s="6" t="s">
        <v>115</v>
      </c>
      <c r="D124" s="6" t="s">
        <v>17</v>
      </c>
      <c r="E124" s="6" t="s">
        <v>75</v>
      </c>
      <c r="F124" s="6" t="s">
        <v>630</v>
      </c>
      <c r="G124" s="6">
        <v>19325842</v>
      </c>
      <c r="H124" t="str">
        <f t="shared" si="3"/>
        <v>INSERT INTO `parqueadero`.`vehiculo` (`Oid`, `Placa`, `Medio`, `Tipo`, `Marca`, `Color`, `IdConductor`) VALUES ('117','CSF967','AUTOMÓVIL','COMBUSTIBLE','MAZDA','ROJO CONTINENTAL','19325842');</v>
      </c>
    </row>
    <row r="125" spans="1:8" ht="14.4" x14ac:dyDescent="0.3">
      <c r="A125" s="5">
        <f t="shared" si="2"/>
        <v>118</v>
      </c>
      <c r="B125" s="6" t="s">
        <v>634</v>
      </c>
      <c r="C125" s="6" t="s">
        <v>143</v>
      </c>
      <c r="D125" s="6" t="s">
        <v>253</v>
      </c>
      <c r="E125" s="6" t="s">
        <v>116</v>
      </c>
      <c r="F125" s="6" t="s">
        <v>146</v>
      </c>
      <c r="G125" s="6">
        <v>1031156687</v>
      </c>
      <c r="H125" t="str">
        <f t="shared" si="3"/>
        <v>INSERT INTO `parqueadero`.`vehiculo` (`Oid`, `Placa`, `Medio`, `Tipo`, `Marca`, `Color`, `IdConductor`) VALUES ('118','PCM045','CAMIONETA','HÍBRIDO','HYUNDAI','BLANCO ','1031156687');</v>
      </c>
    </row>
    <row r="126" spans="1:8" ht="14.4" x14ac:dyDescent="0.3">
      <c r="A126" s="5">
        <f t="shared" si="2"/>
        <v>119</v>
      </c>
      <c r="B126" s="17" t="s">
        <v>639</v>
      </c>
      <c r="C126" s="6" t="s">
        <v>143</v>
      </c>
      <c r="D126" s="6" t="s">
        <v>253</v>
      </c>
      <c r="E126" s="17" t="s">
        <v>638</v>
      </c>
      <c r="F126" s="17" t="s">
        <v>259</v>
      </c>
      <c r="G126" s="17">
        <v>52453674</v>
      </c>
      <c r="H126" t="str">
        <f t="shared" si="3"/>
        <v>INSERT INTO `parqueadero`.`vehiculo` (`Oid`, `Placa`, `Medio`, `Tipo`, `Marca`, `Color`, `IdConductor`) VALUES ('119','LWM872','CAMIONETA','HÍBRIDO','TOYOTA CROSS ','PLATEADO','52453674');</v>
      </c>
    </row>
    <row r="127" spans="1:8" ht="14.4" x14ac:dyDescent="0.3">
      <c r="A127" s="5">
        <f t="shared" si="2"/>
        <v>120</v>
      </c>
      <c r="B127" s="6" t="s">
        <v>643</v>
      </c>
      <c r="C127" s="6" t="s">
        <v>2196</v>
      </c>
      <c r="D127" s="6" t="s">
        <v>17</v>
      </c>
      <c r="E127" s="6" t="s">
        <v>175</v>
      </c>
      <c r="F127" s="6" t="s">
        <v>60</v>
      </c>
      <c r="G127" s="6">
        <v>1023943099</v>
      </c>
      <c r="H127" t="str">
        <f t="shared" si="3"/>
        <v>INSERT INTO `parqueadero`.`vehiculo` (`Oid`, `Placa`, `Medio`, `Tipo`, `Marca`, `Color`, `IdConductor`) VALUES ('120','MYL89H','MOTOCICLETA','COMBUSTIBLE','AKT','GRIS','1023943099');</v>
      </c>
    </row>
    <row r="128" spans="1:8" ht="14.4" x14ac:dyDescent="0.3">
      <c r="A128" s="5">
        <f t="shared" si="2"/>
        <v>121</v>
      </c>
      <c r="B128" s="6" t="s">
        <v>647</v>
      </c>
      <c r="C128" s="6" t="s">
        <v>143</v>
      </c>
      <c r="D128" s="6" t="s">
        <v>17</v>
      </c>
      <c r="E128" s="6" t="s">
        <v>276</v>
      </c>
      <c r="F128" s="6" t="s">
        <v>146</v>
      </c>
      <c r="G128" s="6">
        <v>1020833621</v>
      </c>
      <c r="H128" t="str">
        <f t="shared" si="3"/>
        <v>INSERT INTO `parqueadero`.`vehiculo` (`Oid`, `Placa`, `Medio`, `Tipo`, `Marca`, `Color`, `IdConductor`) VALUES ('121','LMZ504','CAMIONETA','COMBUSTIBLE','SUZUKI','BLANCO ','1020833621');</v>
      </c>
    </row>
    <row r="129" spans="1:8" ht="14.4" x14ac:dyDescent="0.3">
      <c r="A129" s="5">
        <f t="shared" si="2"/>
        <v>122</v>
      </c>
      <c r="B129" s="6" t="s">
        <v>652</v>
      </c>
      <c r="C129" s="6" t="s">
        <v>115</v>
      </c>
      <c r="D129" s="6" t="s">
        <v>17</v>
      </c>
      <c r="E129" s="6" t="s">
        <v>651</v>
      </c>
      <c r="F129" s="6" t="s">
        <v>653</v>
      </c>
      <c r="G129" s="6">
        <v>1032464919</v>
      </c>
      <c r="H129" t="str">
        <f t="shared" si="3"/>
        <v>INSERT INTO `parqueadero`.`vehiculo` (`Oid`, `Placa`, `Medio`, `Tipo`, `Marca`, `Color`, `IdConductor`) VALUES ('122','MJW540','AUTOMÓVIL','COMBUSTIBLE','RENAULT SANDERO ','VINOTINTO','1032464919');</v>
      </c>
    </row>
    <row r="130" spans="1:8" ht="14.4" x14ac:dyDescent="0.3">
      <c r="A130" s="5">
        <f t="shared" si="2"/>
        <v>123</v>
      </c>
      <c r="B130" s="6" t="s">
        <v>658</v>
      </c>
      <c r="C130" s="6" t="s">
        <v>143</v>
      </c>
      <c r="D130" s="6" t="s">
        <v>17</v>
      </c>
      <c r="E130" s="6" t="s">
        <v>657</v>
      </c>
      <c r="F130" s="6" t="s">
        <v>60</v>
      </c>
      <c r="G130" s="6">
        <v>1070306077</v>
      </c>
      <c r="H130" t="str">
        <f t="shared" si="3"/>
        <v>INSERT INTO `parqueadero`.`vehiculo` (`Oid`, `Placa`, `Medio`, `Tipo`, `Marca`, `Color`, `IdConductor`) VALUES ('123','LWM992','CAMIONETA','COMBUSTIBLE','MITSUBISHI ','GRIS','1070306077');</v>
      </c>
    </row>
    <row r="131" spans="1:8" ht="14.4" x14ac:dyDescent="0.3">
      <c r="A131" s="5">
        <f t="shared" si="2"/>
        <v>124</v>
      </c>
      <c r="B131" s="17" t="s">
        <v>662</v>
      </c>
      <c r="C131" s="6" t="s">
        <v>2196</v>
      </c>
      <c r="D131" s="17" t="s">
        <v>17</v>
      </c>
      <c r="E131" s="17" t="s">
        <v>582</v>
      </c>
      <c r="F131" s="17" t="s">
        <v>18</v>
      </c>
      <c r="G131" s="17">
        <v>1075282666</v>
      </c>
      <c r="H131" t="str">
        <f t="shared" si="3"/>
        <v>INSERT INTO `parqueadero`.`vehiculo` (`Oid`, `Placa`, `Medio`, `Tipo`, `Marca`, `Color`, `IdConductor`) VALUES ('124','MLJ42','MOTOCICLETA','COMBUSTIBLE','HONDA ','AZUL','1075282666');</v>
      </c>
    </row>
    <row r="132" spans="1:8" ht="14.4" x14ac:dyDescent="0.3">
      <c r="A132" s="5">
        <f t="shared" si="2"/>
        <v>125</v>
      </c>
      <c r="B132" s="6" t="s">
        <v>666</v>
      </c>
      <c r="C132" s="6" t="s">
        <v>115</v>
      </c>
      <c r="D132" s="6" t="s">
        <v>17</v>
      </c>
      <c r="E132" s="6" t="s">
        <v>116</v>
      </c>
      <c r="F132" s="6" t="s">
        <v>60</v>
      </c>
      <c r="G132" s="6">
        <v>1019023084</v>
      </c>
      <c r="H132" t="str">
        <f t="shared" si="3"/>
        <v>INSERT INTO `parqueadero`.`vehiculo` (`Oid`, `Placa`, `Medio`, `Tipo`, `Marca`, `Color`, `IdConductor`) VALUES ('125','KYZ718','AUTOMÓVIL','COMBUSTIBLE','HYUNDAI','GRIS','1019023084');</v>
      </c>
    </row>
    <row r="133" spans="1:8" ht="14.4" x14ac:dyDescent="0.3">
      <c r="A133" s="5">
        <f t="shared" si="2"/>
        <v>126</v>
      </c>
      <c r="B133" s="6" t="s">
        <v>671</v>
      </c>
      <c r="C133" s="6" t="s">
        <v>2196</v>
      </c>
      <c r="D133" s="6" t="s">
        <v>17</v>
      </c>
      <c r="E133" s="6" t="s">
        <v>670</v>
      </c>
      <c r="F133" s="6" t="s">
        <v>672</v>
      </c>
      <c r="G133" s="6">
        <v>1022356860</v>
      </c>
      <c r="H133" t="str">
        <f t="shared" si="3"/>
        <v>INSERT INTO `parqueadero`.`vehiculo` (`Oid`, `Placa`, `Medio`, `Tipo`, `Marca`, `Color`, `IdConductor`) VALUES ('126','FUA84H','MOTOCICLETA','COMBUSTIBLE','TRIUMPH','GRIS NARANJA ','1022356860');</v>
      </c>
    </row>
    <row r="134" spans="1:8" ht="14.4" x14ac:dyDescent="0.3">
      <c r="A134" s="5">
        <f t="shared" si="2"/>
        <v>127</v>
      </c>
      <c r="B134" s="6" t="s">
        <v>677</v>
      </c>
      <c r="C134" s="6" t="s">
        <v>115</v>
      </c>
      <c r="D134" s="6" t="s">
        <v>253</v>
      </c>
      <c r="E134" s="6" t="s">
        <v>676</v>
      </c>
      <c r="F134" s="6" t="s">
        <v>60</v>
      </c>
      <c r="G134" s="6">
        <v>51974917</v>
      </c>
      <c r="H134" t="str">
        <f t="shared" si="3"/>
        <v>INSERT INTO `parqueadero`.`vehiculo` (`Oid`, `Placa`, `Medio`, `Tipo`, `Marca`, `Color`, `IdConductor`) VALUES ('127','KXQ945','AUTOMÓVIL','HÍBRIDO','SWIFT ','GRIS','51974917');</v>
      </c>
    </row>
    <row r="135" spans="1:8" ht="14.4" x14ac:dyDescent="0.3">
      <c r="A135" s="5">
        <f t="shared" si="2"/>
        <v>128</v>
      </c>
      <c r="B135" s="6" t="s">
        <v>682</v>
      </c>
      <c r="C135" s="6" t="s">
        <v>115</v>
      </c>
      <c r="D135" s="6" t="s">
        <v>17</v>
      </c>
      <c r="E135" s="6" t="s">
        <v>681</v>
      </c>
      <c r="F135" s="6" t="s">
        <v>683</v>
      </c>
      <c r="G135" s="6">
        <v>1233895766</v>
      </c>
      <c r="H135" t="str">
        <f t="shared" si="3"/>
        <v>INSERT INTO `parqueadero`.`vehiculo` (`Oid`, `Placa`, `Medio`, `Tipo`, `Marca`, `Color`, `IdConductor`) VALUES ('128','JLK455','AUTOMÓVIL','COMBUSTIBLE','MAZDA 2','GRIS MACHINE','1233895766');</v>
      </c>
    </row>
    <row r="136" spans="1:8" ht="14.4" x14ac:dyDescent="0.3">
      <c r="A136" s="5">
        <f t="shared" si="2"/>
        <v>129</v>
      </c>
      <c r="B136" s="6" t="s">
        <v>687</v>
      </c>
      <c r="C136" s="6" t="s">
        <v>115</v>
      </c>
      <c r="D136" s="6" t="s">
        <v>17</v>
      </c>
      <c r="E136" s="6" t="s">
        <v>337</v>
      </c>
      <c r="F136" s="6" t="s">
        <v>248</v>
      </c>
      <c r="G136" s="6">
        <v>10288931</v>
      </c>
      <c r="H136" t="str">
        <f t="shared" si="3"/>
        <v>INSERT INTO `parqueadero`.`vehiculo` (`Oid`, `Placa`, `Medio`, `Tipo`, `Marca`, `Color`, `IdConductor`) VALUES ('129','JDN117','AUTOMÓVIL','COMBUSTIBLE','MERCEDES BENZ','GRIS PLATA','10288931');</v>
      </c>
    </row>
    <row r="137" spans="1:8" ht="14.4" x14ac:dyDescent="0.3">
      <c r="A137" s="5">
        <f t="shared" ref="A137:A200" si="4">ROW()-7</f>
        <v>130</v>
      </c>
      <c r="B137" s="6" t="s">
        <v>692</v>
      </c>
      <c r="C137" s="6" t="s">
        <v>115</v>
      </c>
      <c r="D137" s="6" t="s">
        <v>17</v>
      </c>
      <c r="E137" s="6" t="s">
        <v>691</v>
      </c>
      <c r="F137" s="6" t="s">
        <v>693</v>
      </c>
      <c r="G137" s="6">
        <v>228042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('130','CYT553','AUTOMÓVIL','COMBUSTIBLE','RENAULT SCENIC','GRIS ECLIPSE','228042');</v>
      </c>
    </row>
    <row r="138" spans="1:8" ht="14.4" x14ac:dyDescent="0.3">
      <c r="A138" s="5">
        <f t="shared" si="4"/>
        <v>131</v>
      </c>
      <c r="B138" s="6" t="s">
        <v>697</v>
      </c>
      <c r="C138" s="6" t="s">
        <v>143</v>
      </c>
      <c r="D138" s="6" t="s">
        <v>17</v>
      </c>
      <c r="E138" s="6" t="s">
        <v>696</v>
      </c>
      <c r="F138" s="6" t="s">
        <v>60</v>
      </c>
      <c r="G138" s="6">
        <v>7217591</v>
      </c>
      <c r="H138" t="str">
        <f t="shared" si="5"/>
        <v>INSERT INTO `parqueadero`.`vehiculo` (`Oid`, `Placa`, `Medio`, `Tipo`, `Marca`, `Color`, `IdConductor`) VALUES ('131','HSQ116','CAMIONETA','COMBUSTIBLE','SUZUKI GRAN VITARA','GRIS','7217591');</v>
      </c>
    </row>
    <row r="139" spans="1:8" ht="14.4" x14ac:dyDescent="0.3">
      <c r="A139" s="5">
        <f t="shared" si="4"/>
        <v>132</v>
      </c>
      <c r="B139" s="6" t="s">
        <v>702</v>
      </c>
      <c r="C139" s="6" t="s">
        <v>2196</v>
      </c>
      <c r="D139" s="6" t="s">
        <v>17</v>
      </c>
      <c r="E139" s="6" t="s">
        <v>701</v>
      </c>
      <c r="F139" s="6" t="s">
        <v>703</v>
      </c>
      <c r="G139" s="6">
        <v>80154998</v>
      </c>
      <c r="H139" t="str">
        <f t="shared" si="5"/>
        <v>INSERT INTO `parqueadero`.`vehiculo` (`Oid`, `Placa`, `Medio`, `Tipo`, `Marca`, `Color`, `IdConductor`) VALUES ('132','ODK66E','MOTOCICLETA','COMBUSTIBLE','YAMAHA','GRIS Y NEGRO','80154998');</v>
      </c>
    </row>
    <row r="140" spans="1:8" ht="14.4" x14ac:dyDescent="0.3">
      <c r="A140" s="5">
        <f t="shared" si="4"/>
        <v>133</v>
      </c>
      <c r="B140" s="6" t="s">
        <v>707</v>
      </c>
      <c r="C140" s="6" t="s">
        <v>143</v>
      </c>
      <c r="D140" s="6" t="s">
        <v>17</v>
      </c>
      <c r="E140" s="6" t="s">
        <v>398</v>
      </c>
      <c r="F140" s="6" t="s">
        <v>708</v>
      </c>
      <c r="G140" s="6">
        <v>51769687</v>
      </c>
      <c r="H140" t="str">
        <f t="shared" si="5"/>
        <v>INSERT INTO `parqueadero`.`vehiculo` (`Oid`, `Placa`, `Medio`, `Tipo`, `Marca`, `Color`, `IdConductor`) VALUES ('133','HIU615','CAMIONETA','COMBUSTIBLE','RENAULT ','GRIS COMET','51769687');</v>
      </c>
    </row>
    <row r="141" spans="1:8" ht="14.4" x14ac:dyDescent="0.3">
      <c r="A141" s="5">
        <f t="shared" si="4"/>
        <v>134</v>
      </c>
      <c r="B141" s="6" t="s">
        <v>713</v>
      </c>
      <c r="C141" s="6" t="s">
        <v>143</v>
      </c>
      <c r="D141" s="6" t="s">
        <v>17</v>
      </c>
      <c r="E141" s="6" t="s">
        <v>712</v>
      </c>
      <c r="F141" s="6" t="s">
        <v>339</v>
      </c>
      <c r="G141" s="6">
        <v>1024496377</v>
      </c>
      <c r="H141" t="str">
        <f t="shared" si="5"/>
        <v>INSERT INTO `parqueadero`.`vehiculo` (`Oid`, `Placa`, `Medio`, `Tipo`, `Marca`, `Color`, `IdConductor`) VALUES ('134','NDX070','CAMIONETA','COMBUSTIBLE','FORD SCAPE ','GRIS PLATA ','1024496377');</v>
      </c>
    </row>
    <row r="142" spans="1:8" ht="14.4" x14ac:dyDescent="0.3">
      <c r="A142" s="5">
        <f t="shared" si="4"/>
        <v>135</v>
      </c>
      <c r="B142" s="17" t="s">
        <v>717</v>
      </c>
      <c r="C142" s="6" t="s">
        <v>2196</v>
      </c>
      <c r="D142" s="17" t="s">
        <v>17</v>
      </c>
      <c r="E142" s="17" t="s">
        <v>56</v>
      </c>
      <c r="F142" s="17" t="s">
        <v>166</v>
      </c>
      <c r="G142" s="17">
        <v>1012330327</v>
      </c>
      <c r="H142" t="str">
        <f t="shared" si="5"/>
        <v>INSERT INTO `parqueadero`.`vehiculo` (`Oid`, `Placa`, `Medio`, `Tipo`, `Marca`, `Color`, `IdConductor`) VALUES ('135','ZAD20G','MOTOCICLETA','COMBUSTIBLE','HONDA','GRIS OSCURO','1012330327');</v>
      </c>
    </row>
    <row r="143" spans="1:8" ht="14.4" x14ac:dyDescent="0.3">
      <c r="A143" s="5">
        <f t="shared" si="4"/>
        <v>136</v>
      </c>
      <c r="B143" s="6" t="s">
        <v>720</v>
      </c>
      <c r="C143" s="6" t="s">
        <v>115</v>
      </c>
      <c r="D143" s="6" t="s">
        <v>17</v>
      </c>
      <c r="E143" s="6" t="s">
        <v>144</v>
      </c>
      <c r="F143" s="6" t="s">
        <v>60</v>
      </c>
      <c r="G143" s="6">
        <v>11204730</v>
      </c>
      <c r="H143" t="str">
        <f t="shared" si="5"/>
        <v>INSERT INTO `parqueadero`.`vehiculo` (`Oid`, `Placa`, `Medio`, `Tipo`, `Marca`, `Color`, `IdConductor`) VALUES ('136','HJN091','AUTOMÓVIL','COMBUSTIBLE','FORD ','GRIS','11204730');</v>
      </c>
    </row>
    <row r="144" spans="1:8" ht="14.4" x14ac:dyDescent="0.3">
      <c r="A144" s="5">
        <f t="shared" si="4"/>
        <v>137</v>
      </c>
      <c r="B144" s="6" t="s">
        <v>724</v>
      </c>
      <c r="C144" s="6" t="s">
        <v>143</v>
      </c>
      <c r="D144" s="6" t="s">
        <v>17</v>
      </c>
      <c r="E144" s="6" t="s">
        <v>524</v>
      </c>
      <c r="F144" s="6" t="s">
        <v>725</v>
      </c>
      <c r="G144" s="6">
        <v>5710812</v>
      </c>
      <c r="H144" t="str">
        <f t="shared" si="5"/>
        <v>INSERT INTO `parqueadero`.`vehiculo` (`Oid`, `Placa`, `Medio`, `Tipo`, `Marca`, `Color`, `IdConductor`) VALUES ('137','GFN340','CAMIONETA','COMBUSTIBLE','MAZDA ','ROJO ','5710812');</v>
      </c>
    </row>
    <row r="145" spans="1:8" ht="14.4" x14ac:dyDescent="0.3">
      <c r="A145" s="5">
        <f t="shared" si="4"/>
        <v>138</v>
      </c>
      <c r="B145" s="6" t="s">
        <v>729</v>
      </c>
      <c r="C145" s="6" t="s">
        <v>115</v>
      </c>
      <c r="D145" s="6" t="s">
        <v>17</v>
      </c>
      <c r="E145" s="6" t="s">
        <v>164</v>
      </c>
      <c r="F145" s="6" t="s">
        <v>60</v>
      </c>
      <c r="G145" s="6">
        <v>52777129</v>
      </c>
      <c r="H145" t="str">
        <f t="shared" si="5"/>
        <v>INSERT INTO `parqueadero`.`vehiculo` (`Oid`, `Placa`, `Medio`, `Tipo`, `Marca`, `Color`, `IdConductor`) VALUES ('138','FOO895','AUTOMÓVIL','COMBUSTIBLE','KIA','GRIS','52777129');</v>
      </c>
    </row>
    <row r="146" spans="1:8" ht="14.4" x14ac:dyDescent="0.3">
      <c r="A146" s="5">
        <f t="shared" si="4"/>
        <v>139</v>
      </c>
      <c r="B146" s="6" t="s">
        <v>733</v>
      </c>
      <c r="C146" s="6" t="s">
        <v>2196</v>
      </c>
      <c r="D146" s="6" t="s">
        <v>17</v>
      </c>
      <c r="E146" s="6" t="s">
        <v>56</v>
      </c>
      <c r="F146" s="6" t="s">
        <v>734</v>
      </c>
      <c r="G146" s="6">
        <v>1019132150</v>
      </c>
      <c r="H146" t="str">
        <f t="shared" si="5"/>
        <v>INSERT INTO `parqueadero`.`vehiculo` (`Oid`, `Placa`, `Medio`, `Tipo`, `Marca`, `Color`, `IdConductor`) VALUES ('139','SCP49F','MOTOCICLETA','COMBUSTIBLE','HONDA','AZUL CLARO','1019132150');</v>
      </c>
    </row>
    <row r="147" spans="1:8" ht="14.4" x14ac:dyDescent="0.3">
      <c r="A147" s="5">
        <f t="shared" si="4"/>
        <v>140</v>
      </c>
      <c r="B147" s="6" t="s">
        <v>738</v>
      </c>
      <c r="C147" s="6" t="s">
        <v>115</v>
      </c>
      <c r="D147" s="6" t="s">
        <v>17</v>
      </c>
      <c r="E147" s="6" t="s">
        <v>196</v>
      </c>
      <c r="F147" s="6" t="s">
        <v>24</v>
      </c>
      <c r="G147" s="6">
        <v>79328182</v>
      </c>
      <c r="H147" t="str">
        <f t="shared" si="5"/>
        <v>INSERT INTO `parqueadero`.`vehiculo` (`Oid`, `Placa`, `Medio`, `Tipo`, `Marca`, `Color`, `IdConductor`) VALUES ('140','JDZ500','AUTOMÓVIL','COMBUSTIBLE','NISSAN VERSA','NEGRO','79328182');</v>
      </c>
    </row>
    <row r="148" spans="1:8" ht="14.4" x14ac:dyDescent="0.3">
      <c r="A148" s="5">
        <f t="shared" si="4"/>
        <v>141</v>
      </c>
      <c r="B148" s="6" t="s">
        <v>744</v>
      </c>
      <c r="C148" s="6" t="s">
        <v>115</v>
      </c>
      <c r="D148" s="6" t="s">
        <v>17</v>
      </c>
      <c r="E148" s="6" t="s">
        <v>743</v>
      </c>
      <c r="F148" s="6" t="s">
        <v>44</v>
      </c>
      <c r="G148" s="6">
        <v>51940883</v>
      </c>
      <c r="H148" t="str">
        <f t="shared" si="5"/>
        <v>INSERT INTO `parqueadero`.`vehiculo` (`Oid`, `Placa`, `Medio`, `Tipo`, `Marca`, `Color`, `IdConductor`) VALUES ('141','FNQ384','AUTOMÓVIL','COMBUSTIBLE','VOLSWAGEN','ROJO','51940883');</v>
      </c>
    </row>
    <row r="149" spans="1:8" ht="14.4" x14ac:dyDescent="0.3">
      <c r="A149" s="5">
        <f t="shared" si="4"/>
        <v>142</v>
      </c>
      <c r="B149" s="6" t="s">
        <v>748</v>
      </c>
      <c r="C149" s="6" t="s">
        <v>115</v>
      </c>
      <c r="D149" s="6" t="s">
        <v>253</v>
      </c>
      <c r="E149" s="6" t="s">
        <v>348</v>
      </c>
      <c r="F149" s="6" t="s">
        <v>146</v>
      </c>
      <c r="G149" s="6">
        <v>67023991</v>
      </c>
      <c r="H149" t="str">
        <f t="shared" si="5"/>
        <v>INSERT INTO `parqueadero`.`vehiculo` (`Oid`, `Placa`, `Medio`, `Tipo`, `Marca`, `Color`, `IdConductor`) VALUES ('142','JMV160','AUTOMÓVIL','HÍBRIDO','TOYOTA ','BLANCO ','67023991');</v>
      </c>
    </row>
    <row r="150" spans="1:8" ht="14.4" x14ac:dyDescent="0.3">
      <c r="A150" s="5">
        <f t="shared" si="4"/>
        <v>143</v>
      </c>
      <c r="B150" s="6" t="s">
        <v>752</v>
      </c>
      <c r="C150" s="6" t="s">
        <v>143</v>
      </c>
      <c r="D150" s="6" t="s">
        <v>17</v>
      </c>
      <c r="E150" s="6" t="s">
        <v>751</v>
      </c>
      <c r="F150" s="6" t="s">
        <v>248</v>
      </c>
      <c r="G150" s="6">
        <v>11433116</v>
      </c>
      <c r="H150" t="str">
        <f t="shared" si="5"/>
        <v>INSERT INTO `parqueadero`.`vehiculo` (`Oid`, `Placa`, `Medio`, `Tipo`, `Marca`, `Color`, `IdConductor`) VALUES ('143','RMZ758','CAMIONETA','COMBUSTIBLE','DODGE JOURNEY','GRIS PLATA','11433116');</v>
      </c>
    </row>
    <row r="151" spans="1:8" ht="14.4" x14ac:dyDescent="0.3">
      <c r="A151" s="5">
        <f t="shared" si="4"/>
        <v>144</v>
      </c>
      <c r="B151" s="6" t="s">
        <v>755</v>
      </c>
      <c r="C151" s="6" t="s">
        <v>2196</v>
      </c>
      <c r="D151" s="6" t="s">
        <v>17</v>
      </c>
      <c r="E151" s="6" t="s">
        <v>754</v>
      </c>
      <c r="F151" s="6" t="s">
        <v>24</v>
      </c>
      <c r="G151" s="6">
        <v>91495511</v>
      </c>
      <c r="H151" t="str">
        <f t="shared" si="5"/>
        <v>INSERT INTO `parqueadero`.`vehiculo` (`Oid`, `Placa`, `Medio`, `Tipo`, `Marca`, `Color`, `IdConductor`) VALUES ('144','DIP89H','MOTOCICLETA','COMBUSTIBLE','BENELLI','NEGRO','91495511');</v>
      </c>
    </row>
    <row r="152" spans="1:8" ht="14.4" x14ac:dyDescent="0.3">
      <c r="A152" s="5">
        <f t="shared" si="4"/>
        <v>145</v>
      </c>
      <c r="B152" s="6" t="s">
        <v>759</v>
      </c>
      <c r="C152" s="6" t="s">
        <v>143</v>
      </c>
      <c r="D152" s="6" t="s">
        <v>253</v>
      </c>
      <c r="E152" s="6" t="s">
        <v>408</v>
      </c>
      <c r="F152" s="6" t="s">
        <v>60</v>
      </c>
      <c r="G152" s="6">
        <v>79908099</v>
      </c>
      <c r="H152" t="str">
        <f t="shared" si="5"/>
        <v>INSERT INTO `parqueadero`.`vehiculo` (`Oid`, `Placa`, `Medio`, `Tipo`, `Marca`, `Color`, `IdConductor`) VALUES ('145','KPM490','CAMIONETA','HÍBRIDO','WOLKSWAGEN','GRIS','79908099');</v>
      </c>
    </row>
    <row r="153" spans="1:8" ht="14.4" x14ac:dyDescent="0.3">
      <c r="A153" s="5">
        <f t="shared" si="4"/>
        <v>146</v>
      </c>
      <c r="B153" s="6" t="s">
        <v>763</v>
      </c>
      <c r="C153" s="6" t="s">
        <v>143</v>
      </c>
      <c r="D153" s="6" t="s">
        <v>17</v>
      </c>
      <c r="E153" s="6" t="s">
        <v>64</v>
      </c>
      <c r="F153" s="6" t="s">
        <v>66</v>
      </c>
      <c r="G153" s="6">
        <v>80543468</v>
      </c>
      <c r="H153" t="str">
        <f t="shared" si="5"/>
        <v>INSERT INTO `parqueadero`.`vehiculo` (`Oid`, `Placa`, `Medio`, `Tipo`, `Marca`, `Color`, `IdConductor`) VALUES ('146','JJP900','CAMIONETA','COMBUSTIBLE','TOYOTA','BLANCO','80543468');</v>
      </c>
    </row>
    <row r="154" spans="1:8" ht="14.4" x14ac:dyDescent="0.3">
      <c r="A154" s="5">
        <f t="shared" si="4"/>
        <v>147</v>
      </c>
      <c r="B154" s="6" t="s">
        <v>767</v>
      </c>
      <c r="C154" s="6" t="s">
        <v>115</v>
      </c>
      <c r="D154" s="6" t="s">
        <v>17</v>
      </c>
      <c r="E154" s="6" t="s">
        <v>616</v>
      </c>
      <c r="F154" s="6" t="s">
        <v>146</v>
      </c>
      <c r="G154" s="6">
        <v>1010206263</v>
      </c>
      <c r="H154" t="str">
        <f t="shared" si="5"/>
        <v>INSERT INTO `parqueadero`.`vehiculo` (`Oid`, `Placa`, `Medio`, `Tipo`, `Marca`, `Color`, `IdConductor`) VALUES ('147','MRZ989','AUTOMÓVIL','COMBUSTIBLE','SUZUKI ','BLANCO ','1010206263');</v>
      </c>
    </row>
    <row r="155" spans="1:8" ht="14.4" x14ac:dyDescent="0.3">
      <c r="A155" s="5">
        <f t="shared" si="4"/>
        <v>148</v>
      </c>
      <c r="B155" s="6" t="s">
        <v>772</v>
      </c>
      <c r="C155" s="6" t="s">
        <v>143</v>
      </c>
      <c r="D155" s="6" t="s">
        <v>17</v>
      </c>
      <c r="E155" s="6" t="s">
        <v>771</v>
      </c>
      <c r="F155" s="6" t="s">
        <v>773</v>
      </c>
      <c r="G155" s="6">
        <v>1020722791</v>
      </c>
      <c r="H155" t="str">
        <f t="shared" si="5"/>
        <v>INSERT INTO `parqueadero`.`vehiculo` (`Oid`, `Placa`, `Medio`, `Tipo`, `Marca`, `Color`, `IdConductor`) VALUES ('148','NOM978','CAMIONETA','COMBUSTIBLE','CITROEN C3','GRIS GRAFITO','1020722791');</v>
      </c>
    </row>
    <row r="156" spans="1:8" ht="14.4" x14ac:dyDescent="0.3">
      <c r="A156" s="5">
        <f t="shared" si="4"/>
        <v>149</v>
      </c>
      <c r="B156" s="6" t="s">
        <v>778</v>
      </c>
      <c r="C156" s="6" t="s">
        <v>143</v>
      </c>
      <c r="D156" s="6" t="s">
        <v>17</v>
      </c>
      <c r="E156" s="6" t="s">
        <v>777</v>
      </c>
      <c r="F156" s="6" t="s">
        <v>725</v>
      </c>
      <c r="G156" s="6">
        <v>1026568929</v>
      </c>
      <c r="H156" t="str">
        <f t="shared" si="5"/>
        <v>INSERT INTO `parqueadero`.`vehiculo` (`Oid`, `Placa`, `Medio`, `Tipo`, `Marca`, `Color`, `IdConductor`) VALUES ('149','FXY022','CAMIONETA','COMBUSTIBLE','KIA SPORTAGE','ROJO ','1026568929');</v>
      </c>
    </row>
    <row r="157" spans="1:8" ht="14.4" x14ac:dyDescent="0.3">
      <c r="A157" s="5">
        <f t="shared" si="4"/>
        <v>150</v>
      </c>
      <c r="B157" s="6" t="s">
        <v>782</v>
      </c>
      <c r="C157" s="6" t="s">
        <v>115</v>
      </c>
      <c r="D157" s="6" t="s">
        <v>17</v>
      </c>
      <c r="E157" s="6" t="s">
        <v>781</v>
      </c>
      <c r="F157" s="6" t="s">
        <v>66</v>
      </c>
      <c r="G157" s="6">
        <v>80121497</v>
      </c>
      <c r="H157" t="str">
        <f t="shared" si="5"/>
        <v>INSERT INTO `parqueadero`.`vehiculo` (`Oid`, `Placa`, `Medio`, `Tipo`, `Marca`, `Color`, `IdConductor`) VALUES ('150','URX028','AUTOMÓVIL','COMBUSTIBLE','CHEVROLET SONIC','BLANCO','80121497');</v>
      </c>
    </row>
    <row r="158" spans="1:8" ht="14.4" x14ac:dyDescent="0.3">
      <c r="A158" s="5">
        <f t="shared" si="4"/>
        <v>151</v>
      </c>
      <c r="B158" s="17" t="s">
        <v>786</v>
      </c>
      <c r="C158" s="6" t="s">
        <v>143</v>
      </c>
      <c r="D158" s="17" t="s">
        <v>17</v>
      </c>
      <c r="E158" s="17" t="s">
        <v>58</v>
      </c>
      <c r="F158" s="17" t="s">
        <v>52</v>
      </c>
      <c r="G158" s="17">
        <v>1020716220</v>
      </c>
      <c r="H158" t="str">
        <f t="shared" si="5"/>
        <v>INSERT INTO `parqueadero`.`vehiculo` (`Oid`, `Placa`, `Medio`, `Tipo`, `Marca`, `Color`, `IdConductor`) VALUES ('151','LMQ898','CAMIONETA','COMBUSTIBLE','CHEVROLET','PLATA','1020716220');</v>
      </c>
    </row>
    <row r="159" spans="1:8" ht="14.4" x14ac:dyDescent="0.3">
      <c r="A159" s="5">
        <f t="shared" si="4"/>
        <v>152</v>
      </c>
      <c r="B159" s="6" t="s">
        <v>791</v>
      </c>
      <c r="C159" s="6" t="s">
        <v>143</v>
      </c>
      <c r="D159" s="6" t="s">
        <v>17</v>
      </c>
      <c r="E159" s="6" t="s">
        <v>790</v>
      </c>
      <c r="F159" s="6" t="s">
        <v>66</v>
      </c>
      <c r="G159" s="6">
        <v>80766953</v>
      </c>
      <c r="H159" t="str">
        <f t="shared" si="5"/>
        <v>INSERT INTO `parqueadero`.`vehiculo` (`Oid`, `Placa`, `Medio`, `Tipo`, `Marca`, `Color`, `IdConductor`) VALUES ('152','NJX700','CAMIONETA','COMBUSTIBLE','CHEVROLETE TRACKER','BLANCO','80766953');</v>
      </c>
    </row>
    <row r="160" spans="1:8" ht="14.4" x14ac:dyDescent="0.3">
      <c r="A160" s="5">
        <f t="shared" si="4"/>
        <v>153</v>
      </c>
      <c r="B160" s="6" t="s">
        <v>796</v>
      </c>
      <c r="C160" s="6" t="s">
        <v>2196</v>
      </c>
      <c r="D160" s="6" t="s">
        <v>17</v>
      </c>
      <c r="E160" s="6" t="s">
        <v>795</v>
      </c>
      <c r="F160" s="6" t="s">
        <v>797</v>
      </c>
      <c r="G160" s="6">
        <v>80060504</v>
      </c>
      <c r="H160" t="str">
        <f t="shared" si="5"/>
        <v>INSERT INTO `parqueadero`.`vehiculo` (`Oid`, `Placa`, `Medio`, `Tipo`, `Marca`, `Color`, `IdConductor`) VALUES ('153','DCL80E','MOTOCICLETA','COMBUSTIBLE','DISCOVER','ROJO - NEGRO','80060504');</v>
      </c>
    </row>
    <row r="161" spans="1:8" ht="14.4" x14ac:dyDescent="0.3">
      <c r="A161" s="5">
        <f t="shared" si="4"/>
        <v>154</v>
      </c>
      <c r="B161" s="6" t="s">
        <v>801</v>
      </c>
      <c r="C161" s="6" t="s">
        <v>115</v>
      </c>
      <c r="D161" s="6" t="s">
        <v>17</v>
      </c>
      <c r="E161" s="6" t="s">
        <v>164</v>
      </c>
      <c r="F161" s="6" t="s">
        <v>60</v>
      </c>
      <c r="G161" s="6">
        <v>5770982</v>
      </c>
      <c r="H161" t="str">
        <f t="shared" si="5"/>
        <v>INSERT INTO `parqueadero`.`vehiculo` (`Oid`, `Placa`, `Medio`, `Tipo`, `Marca`, `Color`, `IdConductor`) VALUES ('154','JLQ291','AUTOMÓVIL','COMBUSTIBLE','KIA','GRIS','5770982');</v>
      </c>
    </row>
    <row r="162" spans="1:8" ht="14.4" x14ac:dyDescent="0.3">
      <c r="A162" s="5">
        <f t="shared" si="4"/>
        <v>155</v>
      </c>
      <c r="B162" s="17" t="s">
        <v>806</v>
      </c>
      <c r="C162" s="6" t="s">
        <v>2196</v>
      </c>
      <c r="D162" s="17" t="s">
        <v>17</v>
      </c>
      <c r="E162" s="17" t="s">
        <v>805</v>
      </c>
      <c r="F162" s="17" t="s">
        <v>24</v>
      </c>
      <c r="G162" s="17">
        <v>52494966</v>
      </c>
      <c r="H162" t="str">
        <f t="shared" si="5"/>
        <v>INSERT INTO `parqueadero`.`vehiculo` (`Oid`, `Placa`, `Medio`, `Tipo`, `Marca`, `Color`, `IdConductor`) VALUES ('155','RPK84E','MOTOCICLETA','COMBUSTIBLE','KYMCO','NEGRO','52494966');</v>
      </c>
    </row>
    <row r="163" spans="1:8" ht="14.4" x14ac:dyDescent="0.3">
      <c r="A163" s="5">
        <f t="shared" si="4"/>
        <v>156</v>
      </c>
      <c r="B163" s="6" t="s">
        <v>811</v>
      </c>
      <c r="C163" s="6" t="s">
        <v>143</v>
      </c>
      <c r="D163" s="6" t="s">
        <v>253</v>
      </c>
      <c r="E163" s="6" t="s">
        <v>810</v>
      </c>
      <c r="F163" s="6" t="s">
        <v>166</v>
      </c>
      <c r="G163" s="6">
        <v>28483877</v>
      </c>
      <c r="H163" t="str">
        <f t="shared" si="5"/>
        <v>INSERT INTO `parqueadero`.`vehiculo` (`Oid`, `Placa`, `Medio`, `Tipo`, `Marca`, `Color`, `IdConductor`) VALUES ('156','NJZ832','CAMIONETA','HÍBRIDO','AUDI Q5','GRIS OSCURO','28483877');</v>
      </c>
    </row>
    <row r="164" spans="1:8" ht="14.4" x14ac:dyDescent="0.3">
      <c r="A164" s="5">
        <f t="shared" si="4"/>
        <v>157</v>
      </c>
      <c r="B164" s="17" t="s">
        <v>30</v>
      </c>
      <c r="C164" s="6" t="s">
        <v>115</v>
      </c>
      <c r="D164" s="17" t="s">
        <v>17</v>
      </c>
      <c r="E164" s="17" t="s">
        <v>815</v>
      </c>
      <c r="F164" s="17" t="s">
        <v>66</v>
      </c>
      <c r="G164" s="17">
        <v>1140882919</v>
      </c>
      <c r="H164" t="str">
        <f t="shared" si="5"/>
        <v>INSERT INTO `parqueadero`.`vehiculo` (`Oid`, `Placa`, `Medio`, `Tipo`, `Marca`, `Color`, `IdConductor`) VALUES ('157','PENDIENTE','AUTOMÓVIL','COMBUSTIBLE','HWM','BLANCO','1140882919');</v>
      </c>
    </row>
    <row r="165" spans="1:8" ht="14.4" x14ac:dyDescent="0.3">
      <c r="A165" s="5">
        <f t="shared" si="4"/>
        <v>158</v>
      </c>
      <c r="B165" s="6" t="s">
        <v>818</v>
      </c>
      <c r="C165" s="6" t="s">
        <v>143</v>
      </c>
      <c r="D165" s="6" t="s">
        <v>17</v>
      </c>
      <c r="E165" s="6" t="s">
        <v>337</v>
      </c>
      <c r="F165" s="6" t="s">
        <v>60</v>
      </c>
      <c r="G165" s="6">
        <v>1026271116</v>
      </c>
      <c r="H165" t="str">
        <f t="shared" si="5"/>
        <v>INSERT INTO `parqueadero`.`vehiculo` (`Oid`, `Placa`, `Medio`, `Tipo`, `Marca`, `Color`, `IdConductor`) VALUES ('158','INK096','CAMIONETA','COMBUSTIBLE','MERCEDES BENZ','GRIS','1026271116');</v>
      </c>
    </row>
    <row r="166" spans="1:8" ht="14.4" x14ac:dyDescent="0.3">
      <c r="A166" s="5">
        <f t="shared" si="4"/>
        <v>159</v>
      </c>
      <c r="B166" s="17" t="s">
        <v>822</v>
      </c>
      <c r="C166" s="6" t="s">
        <v>115</v>
      </c>
      <c r="D166" s="17" t="s">
        <v>17</v>
      </c>
      <c r="E166" s="17" t="s">
        <v>681</v>
      </c>
      <c r="F166" s="17" t="s">
        <v>66</v>
      </c>
      <c r="G166" s="17">
        <v>1121869677</v>
      </c>
      <c r="H166" t="str">
        <f t="shared" si="5"/>
        <v>INSERT INTO `parqueadero`.`vehiculo` (`Oid`, `Placa`, `Medio`, `Tipo`, `Marca`, `Color`, `IdConductor`) VALUES ('159','NBW294','AUTOMÓVIL','COMBUSTIBLE','MAZDA 2','BLANCO','1121869677');</v>
      </c>
    </row>
    <row r="167" spans="1:8" ht="14.4" x14ac:dyDescent="0.3">
      <c r="A167" s="5">
        <f t="shared" si="4"/>
        <v>160</v>
      </c>
      <c r="B167" s="6" t="s">
        <v>826</v>
      </c>
      <c r="C167" s="6" t="s">
        <v>143</v>
      </c>
      <c r="D167" s="6" t="s">
        <v>253</v>
      </c>
      <c r="E167" s="6" t="s">
        <v>75</v>
      </c>
      <c r="F167" s="6" t="s">
        <v>44</v>
      </c>
      <c r="G167" s="6">
        <v>1020731626</v>
      </c>
      <c r="H167" t="str">
        <f t="shared" si="5"/>
        <v>INSERT INTO `parqueadero`.`vehiculo` (`Oid`, `Placa`, `Medio`, `Tipo`, `Marca`, `Color`, `IdConductor`) VALUES ('160','PZV518','CAMIONETA','HÍBRIDO','MAZDA','ROJO','1020731626');</v>
      </c>
    </row>
    <row r="168" spans="1:8" ht="14.4" x14ac:dyDescent="0.3">
      <c r="A168" s="5">
        <f t="shared" si="4"/>
        <v>161</v>
      </c>
      <c r="B168" s="6" t="s">
        <v>831</v>
      </c>
      <c r="C168" s="6" t="s">
        <v>143</v>
      </c>
      <c r="D168" s="6" t="s">
        <v>17</v>
      </c>
      <c r="E168" s="6" t="s">
        <v>830</v>
      </c>
      <c r="F168" s="6" t="s">
        <v>44</v>
      </c>
      <c r="G168" s="6">
        <v>52907657</v>
      </c>
      <c r="H168" t="str">
        <f t="shared" si="5"/>
        <v>INSERT INTO `parqueadero`.`vehiculo` (`Oid`, `Placa`, `Medio`, `Tipo`, `Marca`, `Color`, `IdConductor`) VALUES ('161','DQO942','CAMIONETA','COMBUSTIBLE','JEEP','ROJO','52907657');</v>
      </c>
    </row>
    <row r="169" spans="1:8" ht="14.4" x14ac:dyDescent="0.3">
      <c r="A169" s="5">
        <f t="shared" si="4"/>
        <v>162</v>
      </c>
      <c r="B169" s="6" t="s">
        <v>835</v>
      </c>
      <c r="C169" s="6" t="s">
        <v>2196</v>
      </c>
      <c r="D169" s="6" t="s">
        <v>17</v>
      </c>
      <c r="E169" s="6" t="s">
        <v>701</v>
      </c>
      <c r="F169" s="6" t="s">
        <v>24</v>
      </c>
      <c r="G169" s="6">
        <v>1030579980</v>
      </c>
      <c r="H169" t="str">
        <f t="shared" si="5"/>
        <v>INSERT INTO `parqueadero`.`vehiculo` (`Oid`, `Placa`, `Medio`, `Tipo`, `Marca`, `Color`, `IdConductor`) VALUES ('162','QTN58C','MOTOCICLETA','COMBUSTIBLE','YAMAHA','NEGRO','1030579980');</v>
      </c>
    </row>
    <row r="170" spans="1:8" ht="14.4" x14ac:dyDescent="0.3">
      <c r="A170" s="5">
        <f t="shared" si="4"/>
        <v>163</v>
      </c>
      <c r="B170" s="6" t="s">
        <v>839</v>
      </c>
      <c r="C170" s="6" t="s">
        <v>115</v>
      </c>
      <c r="D170" s="6" t="s">
        <v>17</v>
      </c>
      <c r="E170" s="6" t="s">
        <v>246</v>
      </c>
      <c r="F170" s="6" t="s">
        <v>166</v>
      </c>
      <c r="G170" s="6">
        <v>79798056</v>
      </c>
      <c r="H170" t="str">
        <f t="shared" si="5"/>
        <v>INSERT INTO `parqueadero`.`vehiculo` (`Oid`, `Placa`, `Medio`, `Tipo`, `Marca`, `Color`, `IdConductor`) VALUES ('163','BZL830','AUTOMÓVIL','COMBUSTIBLE','CHEVROLET AVEO','GRIS OSCURO','79798056');</v>
      </c>
    </row>
    <row r="171" spans="1:8" ht="14.4" x14ac:dyDescent="0.3">
      <c r="A171" s="5">
        <f t="shared" si="4"/>
        <v>164</v>
      </c>
      <c r="B171" s="6" t="s">
        <v>844</v>
      </c>
      <c r="C171" s="6" t="s">
        <v>115</v>
      </c>
      <c r="D171" s="6" t="s">
        <v>17</v>
      </c>
      <c r="E171" s="6" t="s">
        <v>843</v>
      </c>
      <c r="F171" s="6" t="s">
        <v>845</v>
      </c>
      <c r="G171" s="6">
        <v>52152263</v>
      </c>
      <c r="H171" t="str">
        <f t="shared" si="5"/>
        <v>INSERT INTO `parqueadero`.`vehiculo` (`Oid`, `Placa`, `Medio`, `Tipo`, `Marca`, `Color`, `IdConductor`) VALUES ('164','CXU008','AUTOMÓVIL','COMBUSTIBLE','PEUGEOT ','METALIZADO GRIS CENDRE','52152263');</v>
      </c>
    </row>
    <row r="172" spans="1:8" ht="14.4" x14ac:dyDescent="0.3">
      <c r="A172" s="5">
        <f t="shared" si="4"/>
        <v>165</v>
      </c>
      <c r="B172" s="6" t="s">
        <v>850</v>
      </c>
      <c r="C172" s="6" t="s">
        <v>2196</v>
      </c>
      <c r="D172" s="6" t="s">
        <v>17</v>
      </c>
      <c r="E172" s="6" t="s">
        <v>849</v>
      </c>
      <c r="F172" s="6" t="s">
        <v>851</v>
      </c>
      <c r="G172" s="6">
        <v>1073152672</v>
      </c>
      <c r="H172" t="str">
        <f t="shared" si="5"/>
        <v>INSERT INTO `parqueadero`.`vehiculo` (`Oid`, `Placa`, `Medio`, `Tipo`, `Marca`, `Color`, `IdConductor`) VALUES ('165','JWN05G','MOTOCICLETA','COMBUSTIBLE','VICTORY-AUTECO','GRIS PIEDRA NEGRO MATE','1073152672');</v>
      </c>
    </row>
    <row r="173" spans="1:8" ht="14.4" x14ac:dyDescent="0.3">
      <c r="A173" s="5">
        <f t="shared" si="4"/>
        <v>166</v>
      </c>
      <c r="B173" s="6" t="s">
        <v>854</v>
      </c>
      <c r="C173" s="6" t="s">
        <v>115</v>
      </c>
      <c r="D173" s="6" t="s">
        <v>17</v>
      </c>
      <c r="E173" s="6" t="s">
        <v>144</v>
      </c>
      <c r="F173" s="6" t="s">
        <v>339</v>
      </c>
      <c r="G173" s="6">
        <v>6769668</v>
      </c>
      <c r="H173" t="str">
        <f t="shared" si="5"/>
        <v>INSERT INTO `parqueadero`.`vehiculo` (`Oid`, `Placa`, `Medio`, `Tipo`, `Marca`, `Color`, `IdConductor`) VALUES ('166','ZYX282','AUTOMÓVIL','COMBUSTIBLE','FORD ','GRIS PLATA ','6769668');</v>
      </c>
    </row>
    <row r="174" spans="1:8" ht="14.4" x14ac:dyDescent="0.3">
      <c r="A174" s="5">
        <f t="shared" si="4"/>
        <v>167</v>
      </c>
      <c r="B174" s="6" t="s">
        <v>858</v>
      </c>
      <c r="C174" s="6" t="s">
        <v>115</v>
      </c>
      <c r="D174" s="6" t="s">
        <v>17</v>
      </c>
      <c r="E174" s="6" t="s">
        <v>202</v>
      </c>
      <c r="F174" s="6" t="s">
        <v>859</v>
      </c>
      <c r="G174" s="6">
        <v>52028400</v>
      </c>
      <c r="H174" t="str">
        <f t="shared" si="5"/>
        <v>INSERT INTO `parqueadero`.`vehiculo` (`Oid`, `Placa`, `Medio`, `Tipo`, `Marca`, `Color`, `IdConductor`) VALUES ('167','GPP291','AUTOMÓVIL','COMBUSTIBLE','VOLKSWAGEN','PLATASIRIUS METALICO ','52028400');</v>
      </c>
    </row>
    <row r="175" spans="1:8" ht="14.4" x14ac:dyDescent="0.3">
      <c r="A175" s="5">
        <f t="shared" si="4"/>
        <v>168</v>
      </c>
      <c r="B175" s="17" t="s">
        <v>863</v>
      </c>
      <c r="C175" s="6" t="s">
        <v>115</v>
      </c>
      <c r="D175" s="17" t="s">
        <v>17</v>
      </c>
      <c r="E175" s="17" t="s">
        <v>337</v>
      </c>
      <c r="F175" s="17" t="s">
        <v>248</v>
      </c>
      <c r="G175" s="17">
        <v>29120343</v>
      </c>
      <c r="H175" t="str">
        <f t="shared" si="5"/>
        <v>INSERT INTO `parqueadero`.`vehiculo` (`Oid`, `Placa`, `Medio`, `Tipo`, `Marca`, `Color`, `IdConductor`) VALUES ('168','JLW677','AUTOMÓVIL','COMBUSTIBLE','MERCEDES BENZ','GRIS PLATA','29120343');</v>
      </c>
    </row>
    <row r="176" spans="1:8" ht="14.4" x14ac:dyDescent="0.3">
      <c r="A176" s="5">
        <f t="shared" si="4"/>
        <v>169</v>
      </c>
      <c r="B176" s="6" t="s">
        <v>867</v>
      </c>
      <c r="C176" s="6" t="s">
        <v>143</v>
      </c>
      <c r="D176" s="6" t="s">
        <v>17</v>
      </c>
      <c r="E176" s="6" t="s">
        <v>132</v>
      </c>
      <c r="F176" s="6" t="s">
        <v>60</v>
      </c>
      <c r="G176" s="6">
        <v>1010196659</v>
      </c>
      <c r="H176" t="str">
        <f t="shared" si="5"/>
        <v>INSERT INTO `parqueadero`.`vehiculo` (`Oid`, `Placa`, `Medio`, `Tipo`, `Marca`, `Color`, `IdConductor`) VALUES ('169','EJL040','CAMIONETA','COMBUSTIBLE','BMW','GRIS','1010196659');</v>
      </c>
    </row>
    <row r="177" spans="1:8" ht="14.4" x14ac:dyDescent="0.3">
      <c r="A177" s="5">
        <f t="shared" si="4"/>
        <v>170</v>
      </c>
      <c r="B177" s="17" t="s">
        <v>870</v>
      </c>
      <c r="C177" s="6" t="s">
        <v>143</v>
      </c>
      <c r="D177" s="6" t="s">
        <v>253</v>
      </c>
      <c r="E177" s="17" t="s">
        <v>294</v>
      </c>
      <c r="F177" s="17" t="s">
        <v>60</v>
      </c>
      <c r="G177" s="17">
        <v>80239647</v>
      </c>
      <c r="H177" t="str">
        <f t="shared" si="5"/>
        <v>INSERT INTO `parqueadero`.`vehiculo` (`Oid`, `Placa`, `Medio`, `Tipo`, `Marca`, `Color`, `IdConductor`) VALUES ('170','NKX356','CAMIONETA','HÍBRIDO','FORD','GRIS','80239647');</v>
      </c>
    </row>
    <row r="178" spans="1:8" ht="14.4" x14ac:dyDescent="0.3">
      <c r="A178" s="5">
        <f t="shared" si="4"/>
        <v>171</v>
      </c>
      <c r="B178" s="17" t="s">
        <v>874</v>
      </c>
      <c r="C178" s="6" t="s">
        <v>2196</v>
      </c>
      <c r="D178" s="17" t="s">
        <v>17</v>
      </c>
      <c r="E178" s="17" t="s">
        <v>56</v>
      </c>
      <c r="F178" s="17" t="s">
        <v>146</v>
      </c>
      <c r="G178" s="17">
        <v>1030543652</v>
      </c>
      <c r="H178" t="str">
        <f t="shared" si="5"/>
        <v>INSERT INTO `parqueadero`.`vehiculo` (`Oid`, `Placa`, `Medio`, `Tipo`, `Marca`, `Color`, `IdConductor`) VALUES ('171','XCP05C','MOTOCICLETA','COMBUSTIBLE','HONDA','BLANCO ','1030543652');</v>
      </c>
    </row>
    <row r="179" spans="1:8" ht="14.4" x14ac:dyDescent="0.3">
      <c r="A179" s="5">
        <f t="shared" si="4"/>
        <v>172</v>
      </c>
      <c r="B179" s="6" t="s">
        <v>879</v>
      </c>
      <c r="C179" s="6" t="s">
        <v>2196</v>
      </c>
      <c r="D179" s="6" t="s">
        <v>17</v>
      </c>
      <c r="E179" s="6" t="s">
        <v>878</v>
      </c>
      <c r="F179" s="6" t="s">
        <v>880</v>
      </c>
      <c r="G179" s="6">
        <v>1010247161</v>
      </c>
      <c r="H179" t="str">
        <f t="shared" si="5"/>
        <v>INSERT INTO `parqueadero`.`vehiculo` (`Oid`, `Placa`, `Medio`, `Tipo`, `Marca`, `Color`, `IdConductor`) VALUES ('172','UDD71H','MOTOCICLETA','COMBUSTIBLE','SYM','MULTICOLOR','1010247161');</v>
      </c>
    </row>
    <row r="180" spans="1:8" ht="14.4" x14ac:dyDescent="0.3">
      <c r="A180" s="5">
        <f t="shared" si="4"/>
        <v>173</v>
      </c>
      <c r="B180" s="6" t="s">
        <v>884</v>
      </c>
      <c r="C180" s="6" t="s">
        <v>115</v>
      </c>
      <c r="D180" s="6" t="s">
        <v>17</v>
      </c>
      <c r="E180" s="6" t="s">
        <v>304</v>
      </c>
      <c r="F180" s="6" t="s">
        <v>44</v>
      </c>
      <c r="G180" s="6">
        <v>6070137</v>
      </c>
      <c r="H180" t="str">
        <f t="shared" si="5"/>
        <v>INSERT INTO `parqueadero`.`vehiculo` (`Oid`, `Placa`, `Medio`, `Tipo`, `Marca`, `Color`, `IdConductor`) VALUES ('173','LNL046','AUTOMÓVIL','COMBUSTIBLE','RENAULT','ROJO','6070137');</v>
      </c>
    </row>
    <row r="181" spans="1:8" ht="14.4" x14ac:dyDescent="0.3">
      <c r="A181" s="5">
        <f t="shared" si="4"/>
        <v>174</v>
      </c>
      <c r="B181" s="6" t="s">
        <v>888</v>
      </c>
      <c r="C181" s="6" t="s">
        <v>115</v>
      </c>
      <c r="D181" s="6" t="s">
        <v>17</v>
      </c>
      <c r="E181" s="6" t="s">
        <v>304</v>
      </c>
      <c r="F181" s="6" t="s">
        <v>66</v>
      </c>
      <c r="G181" s="6">
        <v>10305307</v>
      </c>
      <c r="H181" t="str">
        <f t="shared" si="5"/>
        <v>INSERT INTO `parqueadero`.`vehiculo` (`Oid`, `Placa`, `Medio`, `Tipo`, `Marca`, `Color`, `IdConductor`) VALUES ('174','DXT697','AUTOMÓVIL','COMBUSTIBLE','RENAULT','BLANCO','10305307');</v>
      </c>
    </row>
    <row r="182" spans="1:8" ht="14.4" x14ac:dyDescent="0.3">
      <c r="A182" s="5">
        <f t="shared" si="4"/>
        <v>175</v>
      </c>
      <c r="B182" s="6" t="s">
        <v>893</v>
      </c>
      <c r="C182" s="6" t="s">
        <v>143</v>
      </c>
      <c r="D182" s="6" t="s">
        <v>17</v>
      </c>
      <c r="E182" s="6" t="s">
        <v>892</v>
      </c>
      <c r="F182" s="6" t="s">
        <v>248</v>
      </c>
      <c r="G182" s="6">
        <v>1110494882</v>
      </c>
      <c r="H182" t="str">
        <f t="shared" si="5"/>
        <v>INSERT INTO `parqueadero`.`vehiculo` (`Oid`, `Placa`, `Medio`, `Tipo`, `Marca`, `Color`, `IdConductor`) VALUES ('175','GSQ121','CAMIONETA','COMBUSTIBLE','FORD EDGE','GRIS PLATA','1110494882');</v>
      </c>
    </row>
    <row r="183" spans="1:8" ht="14.4" x14ac:dyDescent="0.3">
      <c r="A183" s="5">
        <f t="shared" si="4"/>
        <v>176</v>
      </c>
      <c r="B183" s="17" t="s">
        <v>897</v>
      </c>
      <c r="C183" s="6" t="s">
        <v>143</v>
      </c>
      <c r="D183" s="17" t="s">
        <v>17</v>
      </c>
      <c r="E183" s="17" t="s">
        <v>58</v>
      </c>
      <c r="F183" s="17" t="s">
        <v>60</v>
      </c>
      <c r="G183" s="17">
        <v>39707570</v>
      </c>
      <c r="H183" t="str">
        <f t="shared" si="5"/>
        <v>INSERT INTO `parqueadero`.`vehiculo` (`Oid`, `Placa`, `Medio`, `Tipo`, `Marca`, `Color`, `IdConductor`) VALUES ('176','JCU242','CAMIONETA','COMBUSTIBLE','CHEVROLET','GRIS','39707570');</v>
      </c>
    </row>
    <row r="184" spans="1:8" ht="14.4" x14ac:dyDescent="0.3">
      <c r="A184" s="5">
        <f t="shared" si="4"/>
        <v>177</v>
      </c>
      <c r="B184" s="6" t="s">
        <v>901</v>
      </c>
      <c r="C184" s="6" t="s">
        <v>143</v>
      </c>
      <c r="D184" s="6" t="s">
        <v>17</v>
      </c>
      <c r="E184" s="6" t="s">
        <v>58</v>
      </c>
      <c r="F184" s="6" t="s">
        <v>653</v>
      </c>
      <c r="G184" s="6">
        <v>51563303</v>
      </c>
      <c r="H184" t="str">
        <f t="shared" si="5"/>
        <v>INSERT INTO `parqueadero`.`vehiculo` (`Oid`, `Placa`, `Medio`, `Tipo`, `Marca`, `Color`, `IdConductor`) VALUES ('177','UDY304','CAMIONETA','COMBUSTIBLE','CHEVROLET','VINOTINTO','51563303');</v>
      </c>
    </row>
    <row r="185" spans="1:8" ht="14.4" x14ac:dyDescent="0.3">
      <c r="A185" s="5">
        <f t="shared" si="4"/>
        <v>178</v>
      </c>
      <c r="B185" s="6" t="s">
        <v>906</v>
      </c>
      <c r="C185" s="6" t="s">
        <v>115</v>
      </c>
      <c r="D185" s="6" t="s">
        <v>17</v>
      </c>
      <c r="E185" s="6" t="s">
        <v>905</v>
      </c>
      <c r="F185" s="6" t="s">
        <v>66</v>
      </c>
      <c r="G185" s="6">
        <v>4978456</v>
      </c>
      <c r="H185" t="str">
        <f t="shared" si="5"/>
        <v>INSERT INTO `parqueadero`.`vehiculo` (`Oid`, `Placa`, `Medio`, `Tipo`, `Marca`, `Color`, `IdConductor`) VALUES ('178','MKU320','AUTOMÓVIL','COMBUSTIBLE','KIA CERATO FORTE','BLANCO','4978456');</v>
      </c>
    </row>
    <row r="186" spans="1:8" ht="14.4" x14ac:dyDescent="0.3">
      <c r="A186" s="5">
        <f t="shared" si="4"/>
        <v>179</v>
      </c>
      <c r="B186" s="6" t="s">
        <v>910</v>
      </c>
      <c r="C186" s="6" t="s">
        <v>2196</v>
      </c>
      <c r="D186" s="6" t="s">
        <v>17</v>
      </c>
      <c r="E186" s="6" t="s">
        <v>616</v>
      </c>
      <c r="F186" s="6" t="s">
        <v>911</v>
      </c>
      <c r="G186" s="6">
        <v>1000008186</v>
      </c>
      <c r="H186" t="str">
        <f t="shared" si="5"/>
        <v>INSERT INTO `parqueadero`.`vehiculo` (`Oid`, `Placa`, `Medio`, `Tipo`, `Marca`, `Color`, `IdConductor`) VALUES ('179','UDK33H','MOTOCICLETA','COMBUSTIBLE','SUZUKI ','AZUL CON BLANCO ','1000008186');</v>
      </c>
    </row>
    <row r="187" spans="1:8" ht="14.4" x14ac:dyDescent="0.3">
      <c r="A187" s="5">
        <f t="shared" si="4"/>
        <v>180</v>
      </c>
      <c r="B187" s="6" t="s">
        <v>915</v>
      </c>
      <c r="C187" s="6" t="s">
        <v>115</v>
      </c>
      <c r="D187" s="6" t="s">
        <v>17</v>
      </c>
      <c r="E187" s="6" t="s">
        <v>75</v>
      </c>
      <c r="F187" s="6" t="s">
        <v>725</v>
      </c>
      <c r="G187" s="6">
        <v>80129534</v>
      </c>
      <c r="H187" t="str">
        <f t="shared" si="5"/>
        <v>INSERT INTO `parqueadero`.`vehiculo` (`Oid`, `Placa`, `Medio`, `Tipo`, `Marca`, `Color`, `IdConductor`) VALUES ('180','FNM864','AUTOMÓVIL','COMBUSTIBLE','MAZDA','ROJO ','80129534');</v>
      </c>
    </row>
    <row r="188" spans="1:8" ht="14.4" x14ac:dyDescent="0.3">
      <c r="A188" s="5">
        <f t="shared" si="4"/>
        <v>181</v>
      </c>
      <c r="B188" s="6" t="s">
        <v>920</v>
      </c>
      <c r="C188" s="6" t="s">
        <v>115</v>
      </c>
      <c r="D188" s="6" t="s">
        <v>17</v>
      </c>
      <c r="E188" s="6" t="s">
        <v>919</v>
      </c>
      <c r="F188" s="6" t="s">
        <v>921</v>
      </c>
      <c r="G188" s="6">
        <v>53021213</v>
      </c>
      <c r="H188" t="str">
        <f t="shared" si="5"/>
        <v>INSERT INTO `parqueadero`.`vehiculo` (`Oid`, `Placa`, `Medio`, `Tipo`, `Marca`, `Color`, `IdConductor`) VALUES ('181','BLD160','AUTOMÓVIL','COMBUSTIBLE','CHEVROLET WAGON','VERDE ESMERALDA ','53021213');</v>
      </c>
    </row>
    <row r="189" spans="1:8" ht="14.4" x14ac:dyDescent="0.3">
      <c r="A189" s="5">
        <f t="shared" si="4"/>
        <v>182</v>
      </c>
      <c r="B189" s="6" t="s">
        <v>925</v>
      </c>
      <c r="C189" s="6" t="s">
        <v>115</v>
      </c>
      <c r="D189" s="6" t="s">
        <v>17</v>
      </c>
      <c r="E189" s="6" t="s">
        <v>354</v>
      </c>
      <c r="F189" s="6" t="s">
        <v>34</v>
      </c>
      <c r="G189" s="6">
        <v>80401214</v>
      </c>
      <c r="H189" t="str">
        <f t="shared" si="5"/>
        <v>INSERT INTO `parqueadero`.`vehiculo` (`Oid`, `Placa`, `Medio`, `Tipo`, `Marca`, `Color`, `IdConductor`) VALUES ('182','KAM927','AUTOMÓVIL','COMBUSTIBLE','NISSAN ','BEIGE','80401214');</v>
      </c>
    </row>
    <row r="190" spans="1:8" ht="14.4" x14ac:dyDescent="0.3">
      <c r="A190" s="5">
        <f t="shared" si="4"/>
        <v>183</v>
      </c>
      <c r="B190" s="6" t="s">
        <v>930</v>
      </c>
      <c r="C190" s="6" t="s">
        <v>143</v>
      </c>
      <c r="D190" s="6" t="s">
        <v>17</v>
      </c>
      <c r="E190" s="6" t="s">
        <v>929</v>
      </c>
      <c r="F190" s="6" t="s">
        <v>931</v>
      </c>
      <c r="G190" s="6">
        <v>79881307</v>
      </c>
      <c r="H190" t="str">
        <f t="shared" si="5"/>
        <v>INSERT INTO `parqueadero`.`vehiculo` (`Oid`, `Placa`, `Medio`, `Tipo`, `Marca`, `Color`, `IdConductor`) VALUES ('183','JNU529','CAMIONETA','COMBUSTIBLE','CITRÖEN','BLANCO NACAR NEGRO','79881307');</v>
      </c>
    </row>
    <row r="191" spans="1:8" ht="14.4" x14ac:dyDescent="0.3">
      <c r="A191" s="5">
        <f t="shared" si="4"/>
        <v>184</v>
      </c>
      <c r="B191" s="6" t="s">
        <v>935</v>
      </c>
      <c r="C191" s="6" t="s">
        <v>115</v>
      </c>
      <c r="D191" s="6" t="s">
        <v>129</v>
      </c>
      <c r="E191" s="6" t="s">
        <v>22</v>
      </c>
      <c r="F191" s="6" t="s">
        <v>38</v>
      </c>
      <c r="G191" s="6">
        <v>80213841</v>
      </c>
      <c r="H191" t="str">
        <f t="shared" si="5"/>
        <v>INSERT INTO `parqueadero`.`vehiculo` (`Oid`, `Placa`, `Medio`, `Tipo`, `Marca`, `Color`, `IdConductor`) VALUES ('184','NJV828','AUTOMÓVIL','ELÉCTRICO','BYD','VERDE','80213841');</v>
      </c>
    </row>
    <row r="192" spans="1:8" ht="14.4" x14ac:dyDescent="0.3">
      <c r="A192" s="5">
        <f t="shared" si="4"/>
        <v>185</v>
      </c>
      <c r="B192" s="6" t="s">
        <v>938</v>
      </c>
      <c r="C192" s="6" t="s">
        <v>143</v>
      </c>
      <c r="D192" s="6" t="s">
        <v>253</v>
      </c>
      <c r="E192" s="6" t="s">
        <v>75</v>
      </c>
      <c r="F192" s="6" t="s">
        <v>66</v>
      </c>
      <c r="G192" s="6">
        <v>79265641</v>
      </c>
      <c r="H192" t="str">
        <f t="shared" si="5"/>
        <v>INSERT INTO `parqueadero`.`vehiculo` (`Oid`, `Placa`, `Medio`, `Tipo`, `Marca`, `Color`, `IdConductor`) VALUES ('185','NGK802','CAMIONETA','HÍBRIDO','MAZDA','BLANCO','79265641');</v>
      </c>
    </row>
    <row r="193" spans="1:8" ht="14.4" x14ac:dyDescent="0.3">
      <c r="A193" s="5">
        <f t="shared" si="4"/>
        <v>186</v>
      </c>
      <c r="B193" s="6" t="s">
        <v>942</v>
      </c>
      <c r="C193" s="6" t="s">
        <v>115</v>
      </c>
      <c r="D193" s="6" t="s">
        <v>17</v>
      </c>
      <c r="E193" s="6" t="s">
        <v>398</v>
      </c>
      <c r="F193" s="6" t="s">
        <v>943</v>
      </c>
      <c r="G193" s="6">
        <v>1140847934</v>
      </c>
      <c r="H193" t="str">
        <f t="shared" si="5"/>
        <v>INSERT INTO `parqueadero`.`vehiculo` (`Oid`, `Placa`, `Medio`, `Tipo`, `Marca`, `Color`, `IdConductor`) VALUES ('186','KHY698','AUTOMÓVIL','COMBUSTIBLE','RENAULT ','GRIS ESTRELLA ','1140847934');</v>
      </c>
    </row>
    <row r="194" spans="1:8" ht="14.4" x14ac:dyDescent="0.3">
      <c r="A194" s="5">
        <f t="shared" si="4"/>
        <v>187</v>
      </c>
      <c r="B194" s="6" t="s">
        <v>947</v>
      </c>
      <c r="C194" s="6" t="s">
        <v>2196</v>
      </c>
      <c r="D194" s="6" t="s">
        <v>17</v>
      </c>
      <c r="E194" s="6" t="s">
        <v>56</v>
      </c>
      <c r="F194" s="6" t="s">
        <v>725</v>
      </c>
      <c r="G194" s="6">
        <v>1000596077</v>
      </c>
      <c r="H194" t="str">
        <f t="shared" si="5"/>
        <v>INSERT INTO `parqueadero`.`vehiculo` (`Oid`, `Placa`, `Medio`, `Tipo`, `Marca`, `Color`, `IdConductor`) VALUES ('187','QPE41H','MOTOCICLETA','COMBUSTIBLE','HONDA','ROJO ','1000596077');</v>
      </c>
    </row>
    <row r="195" spans="1:8" ht="14.4" x14ac:dyDescent="0.3">
      <c r="A195" s="5">
        <f t="shared" si="4"/>
        <v>188</v>
      </c>
      <c r="B195" s="6" t="s">
        <v>951</v>
      </c>
      <c r="C195" s="6" t="s">
        <v>115</v>
      </c>
      <c r="D195" s="6" t="s">
        <v>17</v>
      </c>
      <c r="E195" s="6" t="s">
        <v>447</v>
      </c>
      <c r="F195" s="6" t="s">
        <v>134</v>
      </c>
      <c r="G195" s="6">
        <v>53140489</v>
      </c>
      <c r="H195" t="str">
        <f t="shared" si="5"/>
        <v>INSERT INTO `parqueadero`.`vehiculo` (`Oid`, `Placa`, `Medio`, `Tipo`, `Marca`, `Color`, `IdConductor`) VALUES ('188','KPM313','AUTOMÓVIL','COMBUSTIBLE','VOLKSWAGEN ','GRIS ','53140489');</v>
      </c>
    </row>
    <row r="196" spans="1:8" ht="14.4" x14ac:dyDescent="0.3">
      <c r="A196" s="5">
        <f t="shared" si="4"/>
        <v>189</v>
      </c>
      <c r="B196" s="6" t="s">
        <v>955</v>
      </c>
      <c r="C196" s="6" t="s">
        <v>115</v>
      </c>
      <c r="D196" s="6" t="s">
        <v>17</v>
      </c>
      <c r="E196" s="6" t="s">
        <v>320</v>
      </c>
      <c r="F196" s="6" t="s">
        <v>956</v>
      </c>
      <c r="G196" s="6">
        <v>13745497</v>
      </c>
      <c r="H196" t="str">
        <f t="shared" si="5"/>
        <v>INSERT INTO `parqueadero`.`vehiculo` (`Oid`, `Placa`, `Medio`, `Tipo`, `Marca`, `Color`, `IdConductor`) VALUES ('189','ZZQ044','AUTOMÓVIL','COMBUSTIBLE','AUDI','AZUL SCUBA CON PLATA HIELO','13745497');</v>
      </c>
    </row>
    <row r="197" spans="1:8" ht="14.4" x14ac:dyDescent="0.3">
      <c r="A197" s="5">
        <f t="shared" si="4"/>
        <v>190</v>
      </c>
      <c r="B197" s="6" t="s">
        <v>960</v>
      </c>
      <c r="C197" s="6" t="s">
        <v>115</v>
      </c>
      <c r="D197" s="6" t="s">
        <v>17</v>
      </c>
      <c r="E197" s="6" t="s">
        <v>116</v>
      </c>
      <c r="F197" s="6" t="s">
        <v>44</v>
      </c>
      <c r="G197" s="6">
        <v>52855892</v>
      </c>
      <c r="H197" t="str">
        <f t="shared" si="5"/>
        <v>INSERT INTO `parqueadero`.`vehiculo` (`Oid`, `Placa`, `Medio`, `Tipo`, `Marca`, `Color`, `IdConductor`) VALUES ('190','EBN363','AUTOMÓVIL','COMBUSTIBLE','HYUNDAI','ROJO','52855892');</v>
      </c>
    </row>
    <row r="198" spans="1:8" ht="14.4" x14ac:dyDescent="0.3">
      <c r="A198" s="5">
        <f t="shared" si="4"/>
        <v>191</v>
      </c>
      <c r="B198" s="6" t="s">
        <v>964</v>
      </c>
      <c r="C198" s="6" t="s">
        <v>2196</v>
      </c>
      <c r="D198" s="6" t="s">
        <v>17</v>
      </c>
      <c r="E198" s="6" t="s">
        <v>701</v>
      </c>
      <c r="F198" s="6" t="s">
        <v>24</v>
      </c>
      <c r="G198" s="6">
        <v>1001114395</v>
      </c>
      <c r="H198" t="str">
        <f t="shared" si="5"/>
        <v>INSERT INTO `parqueadero`.`vehiculo` (`Oid`, `Placa`, `Medio`, `Tipo`, `Marca`, `Color`, `IdConductor`) VALUES ('191','DLF53C','MOTOCICLETA','COMBUSTIBLE','YAMAHA','NEGRO','1001114395');</v>
      </c>
    </row>
    <row r="199" spans="1:8" ht="14.4" x14ac:dyDescent="0.3">
      <c r="A199" s="5">
        <f t="shared" si="4"/>
        <v>192</v>
      </c>
      <c r="B199" s="6" t="s">
        <v>968</v>
      </c>
      <c r="C199" s="6" t="s">
        <v>143</v>
      </c>
      <c r="D199" s="6" t="s">
        <v>17</v>
      </c>
      <c r="E199" s="6" t="s">
        <v>64</v>
      </c>
      <c r="F199" s="6" t="s">
        <v>66</v>
      </c>
      <c r="G199" s="6">
        <v>1049640375</v>
      </c>
      <c r="H199" t="str">
        <f t="shared" si="5"/>
        <v>INSERT INTO `parqueadero`.`vehiculo` (`Oid`, `Placa`, `Medio`, `Tipo`, `Marca`, `Color`, `IdConductor`) VALUES ('192','FLM749','CAMIONETA','COMBUSTIBLE','TOYOTA','BLANCO','1049640375');</v>
      </c>
    </row>
    <row r="200" spans="1:8" ht="14.4" x14ac:dyDescent="0.3">
      <c r="A200" s="5">
        <f t="shared" si="4"/>
        <v>193</v>
      </c>
      <c r="B200" s="17" t="s">
        <v>972</v>
      </c>
      <c r="C200" s="6" t="s">
        <v>115</v>
      </c>
      <c r="D200" s="17" t="s">
        <v>17</v>
      </c>
      <c r="E200" s="17" t="s">
        <v>304</v>
      </c>
      <c r="F200" s="17" t="s">
        <v>973</v>
      </c>
      <c r="G200" s="17">
        <v>31422496</v>
      </c>
      <c r="H200" t="str">
        <f t="shared" si="5"/>
        <v>INSERT INTO `parqueadero`.`vehiculo` (`Oid`, `Placa`, `Medio`, `Tipo`, `Marca`, `Color`, `IdConductor`) VALUES ('193','HIS237','AUTOMÓVIL','COMBUSTIBLE','RENAULT','GRIS BEIGE','31422496');</v>
      </c>
    </row>
    <row r="201" spans="1:8" ht="14.4" x14ac:dyDescent="0.3">
      <c r="A201" s="5">
        <f t="shared" ref="A201:A264" si="6">ROW()-7</f>
        <v>194</v>
      </c>
      <c r="B201" s="6" t="s">
        <v>977</v>
      </c>
      <c r="C201" s="6" t="s">
        <v>115</v>
      </c>
      <c r="D201" s="6" t="s">
        <v>17</v>
      </c>
      <c r="E201" s="6" t="s">
        <v>337</v>
      </c>
      <c r="F201" s="6" t="s">
        <v>24</v>
      </c>
      <c r="G201" s="6">
        <v>1019131919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('194','NDW570','AUTOMÓVIL','COMBUSTIBLE','MERCEDES BENZ','NEGRO','1019131919');</v>
      </c>
    </row>
    <row r="202" spans="1:8" ht="14.4" x14ac:dyDescent="0.3">
      <c r="A202" s="5">
        <f t="shared" si="6"/>
        <v>195</v>
      </c>
      <c r="B202" s="17" t="s">
        <v>981</v>
      </c>
      <c r="C202" s="6" t="s">
        <v>115</v>
      </c>
      <c r="D202" s="17" t="s">
        <v>17</v>
      </c>
      <c r="E202" s="17" t="s">
        <v>202</v>
      </c>
      <c r="F202" s="17" t="s">
        <v>44</v>
      </c>
      <c r="G202" s="17">
        <v>1020806493</v>
      </c>
      <c r="H202" t="str">
        <f t="shared" si="7"/>
        <v>INSERT INTO `parqueadero`.`vehiculo` (`Oid`, `Placa`, `Medio`, `Tipo`, `Marca`, `Color`, `IdConductor`) VALUES ('195','IXR377','AUTOMÓVIL','COMBUSTIBLE','VOLKSWAGEN','ROJO','1020806493');</v>
      </c>
    </row>
    <row r="203" spans="1:8" ht="14.4" x14ac:dyDescent="0.3">
      <c r="A203" s="5">
        <f t="shared" si="6"/>
        <v>196</v>
      </c>
      <c r="B203" s="6" t="s">
        <v>984</v>
      </c>
      <c r="C203" s="6" t="s">
        <v>115</v>
      </c>
      <c r="D203" s="6" t="s">
        <v>17</v>
      </c>
      <c r="E203" s="6" t="s">
        <v>75</v>
      </c>
      <c r="F203" s="6" t="s">
        <v>985</v>
      </c>
      <c r="G203" s="6">
        <v>79802867</v>
      </c>
      <c r="H203" t="str">
        <f t="shared" si="7"/>
        <v>INSERT INTO `parqueadero`.`vehiculo` (`Oid`, `Placa`, `Medio`, `Tipo`, `Marca`, `Color`, `IdConductor`) VALUES ('196','RCU484','AUTOMÓVIL','COMBUSTIBLE','MAZDA','GRIS METROPOLITANO','79802867');</v>
      </c>
    </row>
    <row r="204" spans="1:8" ht="14.4" x14ac:dyDescent="0.3">
      <c r="A204" s="5">
        <f t="shared" si="6"/>
        <v>197</v>
      </c>
      <c r="B204" s="6" t="s">
        <v>989</v>
      </c>
      <c r="C204" s="6" t="s">
        <v>115</v>
      </c>
      <c r="D204" s="6" t="s">
        <v>17</v>
      </c>
      <c r="E204" s="6" t="s">
        <v>988</v>
      </c>
      <c r="F204" s="6" t="s">
        <v>990</v>
      </c>
      <c r="G204" s="6">
        <v>1023893878</v>
      </c>
      <c r="H204" t="str">
        <f t="shared" si="7"/>
        <v>INSERT INTO `parqueadero`.`vehiculo` (`Oid`, `Placa`, `Medio`, `Tipo`, `Marca`, `Color`, `IdConductor`) VALUES ('197','MBM740','AUTOMÓVIL','COMBUSTIBLE','JEEP WRANGLER ','ROJO FLAMA','1023893878');</v>
      </c>
    </row>
    <row r="205" spans="1:8" ht="14.4" x14ac:dyDescent="0.3">
      <c r="A205" s="5">
        <f t="shared" si="6"/>
        <v>198</v>
      </c>
      <c r="B205" s="6" t="s">
        <v>2189</v>
      </c>
      <c r="C205" s="6" t="s">
        <v>2196</v>
      </c>
      <c r="D205" s="6" t="s">
        <v>129</v>
      </c>
      <c r="E205" s="6" t="s">
        <v>994</v>
      </c>
      <c r="F205" s="6" t="s">
        <v>60</v>
      </c>
      <c r="G205" s="6">
        <v>1010033134</v>
      </c>
      <c r="H205" t="str">
        <f t="shared" si="7"/>
        <v>INSERT INTO `parqueadero`.`vehiculo` (`Oid`, `Placa`, `Medio`, `Tipo`, `Marca`, `Color`, `IdConductor`) VALUES ('198','MOT-002','MOTOCICLETA','ELÉCTRICO','LUCIERNAGAS','GRIS','1010033134');</v>
      </c>
    </row>
    <row r="206" spans="1:8" ht="14.4" x14ac:dyDescent="0.3">
      <c r="A206" s="5">
        <f t="shared" si="6"/>
        <v>199</v>
      </c>
      <c r="B206" s="6" t="s">
        <v>998</v>
      </c>
      <c r="C206" s="6" t="s">
        <v>115</v>
      </c>
      <c r="D206" s="6" t="s">
        <v>17</v>
      </c>
      <c r="E206" s="6" t="s">
        <v>398</v>
      </c>
      <c r="F206" s="6" t="s">
        <v>66</v>
      </c>
      <c r="G206" s="6">
        <v>1078347237</v>
      </c>
      <c r="H206" t="str">
        <f t="shared" si="7"/>
        <v>INSERT INTO `parqueadero`.`vehiculo` (`Oid`, `Placa`, `Medio`, `Tipo`, `Marca`, `Color`, `IdConductor`) VALUES ('199','LRX282','AUTOMÓVIL','COMBUSTIBLE','RENAULT ','BLANCO','1078347237');</v>
      </c>
    </row>
    <row r="207" spans="1:8" ht="14.4" x14ac:dyDescent="0.3">
      <c r="A207" s="5">
        <f t="shared" si="6"/>
        <v>200</v>
      </c>
      <c r="B207" s="6" t="s">
        <v>1002</v>
      </c>
      <c r="C207" s="6" t="s">
        <v>115</v>
      </c>
      <c r="D207" s="6" t="s">
        <v>17</v>
      </c>
      <c r="E207" s="6" t="s">
        <v>132</v>
      </c>
      <c r="F207" s="6" t="s">
        <v>259</v>
      </c>
      <c r="G207" s="6">
        <v>80085952</v>
      </c>
      <c r="H207" t="str">
        <f t="shared" si="7"/>
        <v>INSERT INTO `parqueadero`.`vehiculo` (`Oid`, `Placa`, `Medio`, `Tipo`, `Marca`, `Color`, `IdConductor`) VALUES ('200','HKS838','AUTOMÓVIL','COMBUSTIBLE','BMW','PLATEADO','80085952');</v>
      </c>
    </row>
    <row r="208" spans="1:8" ht="14.4" x14ac:dyDescent="0.3">
      <c r="A208" s="5">
        <f t="shared" si="6"/>
        <v>201</v>
      </c>
      <c r="B208" s="6" t="s">
        <v>1007</v>
      </c>
      <c r="C208" s="6" t="s">
        <v>2196</v>
      </c>
      <c r="D208" s="6" t="s">
        <v>17</v>
      </c>
      <c r="E208" s="6" t="s">
        <v>175</v>
      </c>
      <c r="F208" s="6" t="s">
        <v>24</v>
      </c>
      <c r="G208" s="6">
        <v>1015479089</v>
      </c>
      <c r="H208" t="str">
        <f t="shared" si="7"/>
        <v>INSERT INTO `parqueadero`.`vehiculo` (`Oid`, `Placa`, `Medio`, `Tipo`, `Marca`, `Color`, `IdConductor`) VALUES ('201','FVK55H','MOTOCICLETA','COMBUSTIBLE','AKT','NEGRO','1015479089');</v>
      </c>
    </row>
    <row r="209" spans="1:8" ht="14.4" x14ac:dyDescent="0.3">
      <c r="A209" s="5">
        <f t="shared" si="6"/>
        <v>202</v>
      </c>
      <c r="B209" s="6" t="s">
        <v>1011</v>
      </c>
      <c r="C209" s="6" t="s">
        <v>115</v>
      </c>
      <c r="D209" s="6" t="s">
        <v>253</v>
      </c>
      <c r="E209" s="6" t="s">
        <v>616</v>
      </c>
      <c r="F209" s="6" t="s">
        <v>60</v>
      </c>
      <c r="G209" s="6">
        <v>1072072690</v>
      </c>
      <c r="H209" t="str">
        <f t="shared" si="7"/>
        <v>INSERT INTO `parqueadero`.`vehiculo` (`Oid`, `Placa`, `Medio`, `Tipo`, `Marca`, `Color`, `IdConductor`) VALUES ('202','LNQ539','AUTOMÓVIL','HÍBRIDO','SUZUKI ','GRIS','1072072690');</v>
      </c>
    </row>
    <row r="210" spans="1:8" ht="14.4" x14ac:dyDescent="0.3">
      <c r="A210" s="5">
        <f t="shared" si="6"/>
        <v>203</v>
      </c>
      <c r="B210" s="6" t="s">
        <v>1015</v>
      </c>
      <c r="C210" s="6" t="s">
        <v>2196</v>
      </c>
      <c r="D210" s="6" t="s">
        <v>17</v>
      </c>
      <c r="E210" s="6" t="s">
        <v>701</v>
      </c>
      <c r="F210" s="6" t="s">
        <v>880</v>
      </c>
      <c r="G210" s="6">
        <v>1018482735</v>
      </c>
      <c r="H210" t="str">
        <f t="shared" si="7"/>
        <v>INSERT INTO `parqueadero`.`vehiculo` (`Oid`, `Placa`, `Medio`, `Tipo`, `Marca`, `Color`, `IdConductor`) VALUES ('203','QLT32G','MOTOCICLETA','COMBUSTIBLE','YAMAHA','MULTICOLOR','1018482735');</v>
      </c>
    </row>
    <row r="211" spans="1:8" ht="14.4" x14ac:dyDescent="0.3">
      <c r="A211" s="5">
        <f t="shared" si="6"/>
        <v>204</v>
      </c>
      <c r="B211" s="6" t="s">
        <v>1020</v>
      </c>
      <c r="C211" s="6" t="s">
        <v>115</v>
      </c>
      <c r="D211" s="6" t="s">
        <v>253</v>
      </c>
      <c r="E211" s="6" t="s">
        <v>1019</v>
      </c>
      <c r="F211" s="6" t="s">
        <v>1021</v>
      </c>
      <c r="G211" s="6">
        <v>1016070278</v>
      </c>
      <c r="H211" t="str">
        <f t="shared" si="7"/>
        <v>INSERT INTO `parqueadero`.`vehiculo` (`Oid`, `Placa`, `Medio`, `Tipo`, `Marca`, `Color`, `IdConductor`) VALUES ('204','PCV468','AUTOMÓVIL','HÍBRIDO','MAZDA 3','BLANCO PERLADO','1016070278');</v>
      </c>
    </row>
    <row r="212" spans="1:8" ht="14.4" x14ac:dyDescent="0.3">
      <c r="A212" s="5">
        <f t="shared" si="6"/>
        <v>205</v>
      </c>
      <c r="B212" s="6" t="s">
        <v>1025</v>
      </c>
      <c r="C212" s="6" t="s">
        <v>115</v>
      </c>
      <c r="D212" s="6" t="s">
        <v>17</v>
      </c>
      <c r="E212" s="6" t="s">
        <v>304</v>
      </c>
      <c r="F212" s="6" t="s">
        <v>66</v>
      </c>
      <c r="G212" s="6">
        <v>1019005047</v>
      </c>
      <c r="H212" t="str">
        <f t="shared" si="7"/>
        <v>INSERT INTO `parqueadero`.`vehiculo` (`Oid`, `Placa`, `Medio`, `Tipo`, `Marca`, `Color`, `IdConductor`) VALUES ('205','RKN115','AUTOMÓVIL','COMBUSTIBLE','RENAULT','BLANCO','1019005047');</v>
      </c>
    </row>
    <row r="213" spans="1:8" ht="14.4" x14ac:dyDescent="0.3">
      <c r="A213" s="5">
        <f t="shared" si="6"/>
        <v>206</v>
      </c>
      <c r="B213" s="6" t="s">
        <v>1029</v>
      </c>
      <c r="C213" s="6" t="s">
        <v>2196</v>
      </c>
      <c r="D213" s="6" t="s">
        <v>17</v>
      </c>
      <c r="E213" s="6" t="s">
        <v>56</v>
      </c>
      <c r="F213" s="6" t="s">
        <v>24</v>
      </c>
      <c r="G213" s="6">
        <v>1030636071</v>
      </c>
      <c r="H213" t="str">
        <f t="shared" si="7"/>
        <v>INSERT INTO `parqueadero`.`vehiculo` (`Oid`, `Placa`, `Medio`, `Tipo`, `Marca`, `Color`, `IdConductor`) VALUES ('206','NAF95H','MOTOCICLETA','COMBUSTIBLE','HONDA','NEGRO','1030636071');</v>
      </c>
    </row>
    <row r="214" spans="1:8" ht="14.4" x14ac:dyDescent="0.3">
      <c r="A214" s="5">
        <f t="shared" si="6"/>
        <v>207</v>
      </c>
      <c r="B214" s="6" t="s">
        <v>1032</v>
      </c>
      <c r="C214" s="6" t="s">
        <v>115</v>
      </c>
      <c r="D214" s="6" t="s">
        <v>253</v>
      </c>
      <c r="E214" s="6" t="s">
        <v>64</v>
      </c>
      <c r="F214" s="6" t="s">
        <v>526</v>
      </c>
      <c r="G214" s="6">
        <v>1019111965</v>
      </c>
      <c r="H214" t="str">
        <f t="shared" si="7"/>
        <v>INSERT INTO `parqueadero`.`vehiculo` (`Oid`, `Placa`, `Medio`, `Tipo`, `Marca`, `Color`, `IdConductor`) VALUES ('207','KMY552','AUTOMÓVIL','HÍBRIDO','TOYOTA','GRIS OSCURO ','1019111965');</v>
      </c>
    </row>
    <row r="215" spans="1:8" ht="14.4" x14ac:dyDescent="0.3">
      <c r="A215" s="5">
        <f t="shared" si="6"/>
        <v>208</v>
      </c>
      <c r="B215" s="6" t="s">
        <v>1037</v>
      </c>
      <c r="C215" s="6" t="s">
        <v>143</v>
      </c>
      <c r="D215" s="6" t="s">
        <v>253</v>
      </c>
      <c r="E215" s="6" t="s">
        <v>1036</v>
      </c>
      <c r="F215" s="6" t="s">
        <v>60</v>
      </c>
      <c r="G215" s="6">
        <v>79793117</v>
      </c>
      <c r="H215" t="str">
        <f t="shared" si="7"/>
        <v>INSERT INTO `parqueadero`.`vehiculo` (`Oid`, `Placa`, `Medio`, `Tipo`, `Marca`, `Color`, `IdConductor`) VALUES ('208','NSU353','CAMIONETA','HÍBRIDO','SUBARU','GRIS','79793117');</v>
      </c>
    </row>
    <row r="216" spans="1:8" ht="15.9" customHeight="1" x14ac:dyDescent="0.3">
      <c r="A216" s="5">
        <f t="shared" si="6"/>
        <v>209</v>
      </c>
      <c r="B216" s="17" t="s">
        <v>1042</v>
      </c>
      <c r="C216" s="6" t="s">
        <v>115</v>
      </c>
      <c r="D216" s="17" t="s">
        <v>17</v>
      </c>
      <c r="E216" s="17" t="s">
        <v>304</v>
      </c>
      <c r="F216" s="17" t="s">
        <v>1043</v>
      </c>
      <c r="G216" s="17">
        <v>1000604330</v>
      </c>
      <c r="H216" t="str">
        <f t="shared" si="7"/>
        <v>INSERT INTO `parqueadero`.`vehiculo` (`Oid`, `Placa`, `Medio`, `Tipo`, `Marca`, `Color`, `IdConductor`) VALUES ('209','IVU685','AUTOMÓVIL','COMBUSTIBLE','RENAULT','NEGRO NACARADO','1000604330');</v>
      </c>
    </row>
    <row r="217" spans="1:8" ht="14.4" x14ac:dyDescent="0.3">
      <c r="A217" s="5">
        <f t="shared" si="6"/>
        <v>210</v>
      </c>
      <c r="B217" s="17" t="s">
        <v>1047</v>
      </c>
      <c r="C217" s="6" t="s">
        <v>2196</v>
      </c>
      <c r="D217" s="17" t="s">
        <v>17</v>
      </c>
      <c r="E217" s="17" t="s">
        <v>582</v>
      </c>
      <c r="F217" s="17" t="s">
        <v>1048</v>
      </c>
      <c r="G217" s="17">
        <v>1075257769</v>
      </c>
      <c r="H217" t="str">
        <f t="shared" si="7"/>
        <v>INSERT INTO `parqueadero`.`vehiculo` (`Oid`, `Placa`, `Medio`, `Tipo`, `Marca`, `Color`, `IdConductor`) VALUES ('210','WRI85H','MOTOCICLETA','COMBUSTIBLE','HONDA ','NEGRO BLANCO ROJO ','1075257769');</v>
      </c>
    </row>
    <row r="218" spans="1:8" ht="14.4" x14ac:dyDescent="0.3">
      <c r="A218" s="5">
        <f t="shared" si="6"/>
        <v>211</v>
      </c>
      <c r="B218" s="6" t="s">
        <v>1052</v>
      </c>
      <c r="C218" s="6" t="s">
        <v>115</v>
      </c>
      <c r="D218" s="6" t="s">
        <v>129</v>
      </c>
      <c r="E218" s="6" t="s">
        <v>22</v>
      </c>
      <c r="F218" s="6" t="s">
        <v>146</v>
      </c>
      <c r="G218" s="6">
        <v>1018477650</v>
      </c>
      <c r="H218" t="str">
        <f t="shared" si="7"/>
        <v>INSERT INTO `parqueadero`.`vehiculo` (`Oid`, `Placa`, `Medio`, `Tipo`, `Marca`, `Color`, `IdConductor`) VALUES ('211','PZT247','AUTOMÓVIL','ELÉCTRICO','BYD','BLANCO ','1018477650');</v>
      </c>
    </row>
    <row r="219" spans="1:8" ht="14.4" x14ac:dyDescent="0.3">
      <c r="A219" s="5">
        <f t="shared" si="6"/>
        <v>212</v>
      </c>
      <c r="B219" s="6" t="s">
        <v>1056</v>
      </c>
      <c r="C219" s="6" t="s">
        <v>115</v>
      </c>
      <c r="D219" s="6" t="s">
        <v>17</v>
      </c>
      <c r="E219" s="6" t="s">
        <v>343</v>
      </c>
      <c r="F219" s="6" t="s">
        <v>693</v>
      </c>
      <c r="G219" s="6">
        <v>52821918</v>
      </c>
      <c r="H219" t="str">
        <f t="shared" si="7"/>
        <v>INSERT INTO `parqueadero`.`vehiculo` (`Oid`, `Placa`, `Medio`, `Tipo`, `Marca`, `Color`, `IdConductor`) VALUES ('212','CZY815','AUTOMÓVIL','COMBUSTIBLE','RENAULT TWINGO','GRIS ECLIPSE','52821918');</v>
      </c>
    </row>
    <row r="220" spans="1:8" ht="14.4" x14ac:dyDescent="0.3">
      <c r="A220" s="5">
        <f t="shared" si="6"/>
        <v>213</v>
      </c>
      <c r="B220" s="6" t="s">
        <v>1060</v>
      </c>
      <c r="C220" s="6" t="s">
        <v>115</v>
      </c>
      <c r="D220" s="6" t="s">
        <v>17</v>
      </c>
      <c r="E220" s="6" t="s">
        <v>132</v>
      </c>
      <c r="F220" s="6" t="s">
        <v>66</v>
      </c>
      <c r="G220" s="6">
        <v>1026302740</v>
      </c>
      <c r="H220" t="str">
        <f t="shared" si="7"/>
        <v>INSERT INTO `parqueadero`.`vehiculo` (`Oid`, `Placa`, `Medio`, `Tipo`, `Marca`, `Color`, `IdConductor`) VALUES ('213','NCL288','AUTOMÓVIL','COMBUSTIBLE','BMW','BLANCO','1026302740');</v>
      </c>
    </row>
    <row r="221" spans="1:8" ht="14.4" x14ac:dyDescent="0.3">
      <c r="A221" s="5">
        <f t="shared" si="6"/>
        <v>214</v>
      </c>
      <c r="B221" s="6" t="s">
        <v>1065</v>
      </c>
      <c r="C221" s="6" t="s">
        <v>115</v>
      </c>
      <c r="D221" s="6" t="s">
        <v>17</v>
      </c>
      <c r="E221" s="6" t="s">
        <v>1064</v>
      </c>
      <c r="F221" s="6" t="s">
        <v>44</v>
      </c>
      <c r="G221" s="6">
        <v>24731198</v>
      </c>
      <c r="H221" t="str">
        <f t="shared" si="7"/>
        <v>INSERT INTO `parqueadero`.`vehiculo` (`Oid`, `Placa`, `Medio`, `Tipo`, `Marca`, `Color`, `IdConductor`) VALUES ('214','EFL237','AUTOMÓVIL','COMBUSTIBLE','RENUOL','ROJO','24731198');</v>
      </c>
    </row>
    <row r="222" spans="1:8" ht="14.4" x14ac:dyDescent="0.3">
      <c r="A222" s="5">
        <f t="shared" si="6"/>
        <v>215</v>
      </c>
      <c r="B222" s="6" t="s">
        <v>1070</v>
      </c>
      <c r="C222" s="6" t="s">
        <v>143</v>
      </c>
      <c r="D222" s="6" t="s">
        <v>17</v>
      </c>
      <c r="E222" s="6" t="s">
        <v>1069</v>
      </c>
      <c r="F222" s="6" t="s">
        <v>44</v>
      </c>
      <c r="G222" s="6">
        <v>1022360944</v>
      </c>
      <c r="H222" t="str">
        <f t="shared" si="7"/>
        <v>INSERT INTO `parqueadero`.`vehiculo` (`Oid`, `Placa`, `Medio`, `Tipo`, `Marca`, `Color`, `IdConductor`) VALUES ('215','JVT888','CAMIONETA','COMBUSTIBLE','BRONCO','ROJO','1022360944');</v>
      </c>
    </row>
    <row r="223" spans="1:8" ht="14.4" x14ac:dyDescent="0.3">
      <c r="A223" s="5">
        <f t="shared" si="6"/>
        <v>216</v>
      </c>
      <c r="B223" s="6" t="s">
        <v>1074</v>
      </c>
      <c r="C223" s="6" t="s">
        <v>115</v>
      </c>
      <c r="D223" s="6" t="s">
        <v>17</v>
      </c>
      <c r="E223" s="6" t="s">
        <v>1073</v>
      </c>
      <c r="F223" s="6" t="s">
        <v>60</v>
      </c>
      <c r="G223" s="6">
        <v>3181809</v>
      </c>
      <c r="H223" t="str">
        <f t="shared" si="7"/>
        <v>INSERT INTO `parqueadero`.`vehiculo` (`Oid`, `Placa`, `Medio`, `Tipo`, `Marca`, `Color`, `IdConductor`) VALUES ('216','LLR904','AUTOMÓVIL','COMBUSTIBLE','WOLKSVAGEN ','GRIS','3181809');</v>
      </c>
    </row>
    <row r="224" spans="1:8" ht="14.4" x14ac:dyDescent="0.3">
      <c r="A224" s="5">
        <f t="shared" si="6"/>
        <v>217</v>
      </c>
      <c r="B224" s="6" t="s">
        <v>1078</v>
      </c>
      <c r="C224" s="6" t="s">
        <v>115</v>
      </c>
      <c r="D224" s="6" t="s">
        <v>17</v>
      </c>
      <c r="E224" s="6" t="s">
        <v>164</v>
      </c>
      <c r="F224" s="6" t="s">
        <v>60</v>
      </c>
      <c r="G224" s="6">
        <v>1010184160</v>
      </c>
      <c r="H224" t="str">
        <f t="shared" si="7"/>
        <v>INSERT INTO `parqueadero`.`vehiculo` (`Oid`, `Placa`, `Medio`, `Tipo`, `Marca`, `Color`, `IdConductor`) VALUES ('217','ZXS854','AUTOMÓVIL','COMBUSTIBLE','KIA','GRIS','1010184160');</v>
      </c>
    </row>
    <row r="225" spans="1:8" ht="14.4" x14ac:dyDescent="0.3">
      <c r="A225" s="5">
        <f t="shared" si="6"/>
        <v>218</v>
      </c>
      <c r="B225" s="6" t="s">
        <v>1082</v>
      </c>
      <c r="C225" s="6" t="s">
        <v>143</v>
      </c>
      <c r="D225" s="6" t="s">
        <v>17</v>
      </c>
      <c r="E225" s="6" t="s">
        <v>214</v>
      </c>
      <c r="F225" s="6" t="s">
        <v>1083</v>
      </c>
      <c r="G225" s="6">
        <v>80268446</v>
      </c>
      <c r="H225" t="str">
        <f t="shared" si="7"/>
        <v>INSERT INTO `parqueadero`.`vehiculo` (`Oid`, `Placa`, `Medio`, `Tipo`, `Marca`, `Color`, `IdConductor`) VALUES ('218','UCT114','CAMIONETA','COMBUSTIBLE','CHEVROLET TRACKER','GRIS TECHNO','80268446');</v>
      </c>
    </row>
    <row r="226" spans="1:8" ht="14.4" x14ac:dyDescent="0.3">
      <c r="A226" s="5">
        <f t="shared" si="6"/>
        <v>219</v>
      </c>
      <c r="B226" s="17" t="s">
        <v>1088</v>
      </c>
      <c r="C226" s="6" t="s">
        <v>115</v>
      </c>
      <c r="D226" s="17" t="s">
        <v>17</v>
      </c>
      <c r="E226" s="17" t="s">
        <v>1087</v>
      </c>
      <c r="F226" s="17" t="s">
        <v>66</v>
      </c>
      <c r="G226" s="17">
        <v>1140821506</v>
      </c>
      <c r="H226" t="str">
        <f t="shared" si="7"/>
        <v>INSERT INTO `parqueadero`.`vehiculo` (`Oid`, `Placa`, `Medio`, `Tipo`, `Marca`, `Color`, `IdConductor`) VALUES ('219','HWM047','AUTOMÓVIL','COMBUSTIBLE','RENAULT - SANDERO','BLANCO','1140821506');</v>
      </c>
    </row>
    <row r="227" spans="1:8" ht="14.4" x14ac:dyDescent="0.3">
      <c r="A227" s="5">
        <f t="shared" si="6"/>
        <v>220</v>
      </c>
      <c r="B227" s="6" t="s">
        <v>1092</v>
      </c>
      <c r="C227" s="6" t="s">
        <v>143</v>
      </c>
      <c r="D227" s="6" t="s">
        <v>17</v>
      </c>
      <c r="E227" s="6" t="s">
        <v>1036</v>
      </c>
      <c r="F227" s="6" t="s">
        <v>1093</v>
      </c>
      <c r="G227" s="6">
        <v>52146673</v>
      </c>
      <c r="H227" t="str">
        <f t="shared" si="7"/>
        <v>INSERT INTO `parqueadero`.`vehiculo` (`Oid`, `Placa`, `Medio`, `Tipo`, `Marca`, `Color`, `IdConductor`) VALUES ('220','GPX812','CAMIONETA','COMBUSTIBLE','SUBARU','TUGSTENO','52146673');</v>
      </c>
    </row>
    <row r="228" spans="1:8" ht="14.4" x14ac:dyDescent="0.3">
      <c r="A228" s="5">
        <f t="shared" si="6"/>
        <v>221</v>
      </c>
      <c r="B228" s="6" t="s">
        <v>1097</v>
      </c>
      <c r="C228" s="6" t="s">
        <v>115</v>
      </c>
      <c r="D228" s="6" t="s">
        <v>17</v>
      </c>
      <c r="E228" s="6" t="s">
        <v>398</v>
      </c>
      <c r="F228" s="6" t="s">
        <v>248</v>
      </c>
      <c r="G228" s="6">
        <v>52353521</v>
      </c>
      <c r="H228" t="str">
        <f t="shared" si="7"/>
        <v>INSERT INTO `parqueadero`.`vehiculo` (`Oid`, `Placa`, `Medio`, `Tipo`, `Marca`, `Color`, `IdConductor`) VALUES ('221','RGN450','AUTOMÓVIL','COMBUSTIBLE','RENAULT ','GRIS PLATA','52353521');</v>
      </c>
    </row>
    <row r="229" spans="1:8" ht="14.4" x14ac:dyDescent="0.3">
      <c r="A229" s="5">
        <f t="shared" si="6"/>
        <v>222</v>
      </c>
      <c r="B229" s="17" t="s">
        <v>1102</v>
      </c>
      <c r="C229" s="6" t="s">
        <v>115</v>
      </c>
      <c r="D229" s="6" t="s">
        <v>253</v>
      </c>
      <c r="E229" s="17" t="s">
        <v>1101</v>
      </c>
      <c r="F229" s="17" t="s">
        <v>248</v>
      </c>
      <c r="G229" s="17">
        <v>53178070</v>
      </c>
      <c r="H229" t="str">
        <f t="shared" si="7"/>
        <v>INSERT INTO `parqueadero`.`vehiculo` (`Oid`, `Placa`, `Medio`, `Tipo`, `Marca`, `Color`, `IdConductor`) VALUES ('222','PCN272','AUTOMÓVIL','HÍBRIDO','CHERY TIGO','GRIS PLATA','53178070');</v>
      </c>
    </row>
    <row r="230" spans="1:8" ht="14.4" x14ac:dyDescent="0.3">
      <c r="A230" s="5">
        <f t="shared" si="6"/>
        <v>223</v>
      </c>
      <c r="B230" s="6" t="s">
        <v>1106</v>
      </c>
      <c r="C230" s="6" t="s">
        <v>143</v>
      </c>
      <c r="D230" s="6" t="s">
        <v>17</v>
      </c>
      <c r="E230" s="6" t="s">
        <v>501</v>
      </c>
      <c r="F230" s="6" t="s">
        <v>52</v>
      </c>
      <c r="G230" s="6">
        <v>79867029</v>
      </c>
      <c r="H230" t="str">
        <f t="shared" si="7"/>
        <v>INSERT INTO `parqueadero`.`vehiculo` (`Oid`, `Placa`, `Medio`, `Tipo`, `Marca`, `Color`, `IdConductor`) VALUES ('223','HVU392','CAMIONETA','COMBUSTIBLE','NISSAN','PLATA','79867029');</v>
      </c>
    </row>
    <row r="231" spans="1:8" ht="14.4" x14ac:dyDescent="0.3">
      <c r="A231" s="5">
        <f t="shared" si="6"/>
        <v>224</v>
      </c>
      <c r="B231" s="6" t="s">
        <v>1110</v>
      </c>
      <c r="C231" s="6" t="s">
        <v>115</v>
      </c>
      <c r="D231" s="6" t="s">
        <v>17</v>
      </c>
      <c r="E231" s="6" t="s">
        <v>294</v>
      </c>
      <c r="F231" s="6" t="s">
        <v>24</v>
      </c>
      <c r="G231" s="6">
        <v>79944990</v>
      </c>
      <c r="H231" t="str">
        <f t="shared" si="7"/>
        <v>INSERT INTO `parqueadero`.`vehiculo` (`Oid`, `Placa`, `Medio`, `Tipo`, `Marca`, `Color`, `IdConductor`) VALUES ('224','FYO593','AUTOMÓVIL','COMBUSTIBLE','FORD','NEGRO','79944990');</v>
      </c>
    </row>
    <row r="232" spans="1:8" ht="14.4" x14ac:dyDescent="0.3">
      <c r="A232" s="5">
        <f t="shared" si="6"/>
        <v>225</v>
      </c>
      <c r="B232" s="17" t="s">
        <v>1114</v>
      </c>
      <c r="C232" s="6" t="s">
        <v>143</v>
      </c>
      <c r="D232" s="17" t="s">
        <v>17</v>
      </c>
      <c r="E232" s="17" t="s">
        <v>408</v>
      </c>
      <c r="F232" s="17" t="s">
        <v>44</v>
      </c>
      <c r="G232" s="17">
        <v>79328078</v>
      </c>
      <c r="H232" t="str">
        <f t="shared" si="7"/>
        <v>INSERT INTO `parqueadero`.`vehiculo` (`Oid`, `Placa`, `Medio`, `Tipo`, `Marca`, `Color`, `IdConductor`) VALUES ('225','NUS236','CAMIONETA','COMBUSTIBLE','WOLKSWAGEN','ROJO','79328078');</v>
      </c>
    </row>
    <row r="233" spans="1:8" ht="14.4" x14ac:dyDescent="0.3">
      <c r="A233" s="5">
        <f t="shared" si="6"/>
        <v>226</v>
      </c>
      <c r="B233" s="17" t="s">
        <v>1118</v>
      </c>
      <c r="C233" s="6" t="s">
        <v>2196</v>
      </c>
      <c r="D233" s="17" t="s">
        <v>17</v>
      </c>
      <c r="E233" s="17" t="s">
        <v>276</v>
      </c>
      <c r="F233" s="17" t="s">
        <v>24</v>
      </c>
      <c r="G233" s="17">
        <v>1014279715</v>
      </c>
      <c r="H233" t="str">
        <f t="shared" si="7"/>
        <v>INSERT INTO `parqueadero`.`vehiculo` (`Oid`, `Placa`, `Medio`, `Tipo`, `Marca`, `Color`, `IdConductor`) VALUES ('226','LUM74G','MOTOCICLETA','COMBUSTIBLE','SUZUKI','NEGRO','1014279715');</v>
      </c>
    </row>
    <row r="234" spans="1:8" ht="14.4" x14ac:dyDescent="0.3">
      <c r="A234" s="5">
        <f t="shared" si="6"/>
        <v>227</v>
      </c>
      <c r="B234" s="6" t="s">
        <v>1123</v>
      </c>
      <c r="C234" s="6" t="s">
        <v>115</v>
      </c>
      <c r="D234" s="6" t="s">
        <v>17</v>
      </c>
      <c r="E234" s="6" t="s">
        <v>1122</v>
      </c>
      <c r="F234" s="6" t="s">
        <v>60</v>
      </c>
      <c r="G234" s="6">
        <v>1026302501</v>
      </c>
      <c r="H234" t="str">
        <f t="shared" si="7"/>
        <v>INSERT INTO `parqueadero`.`vehiculo` (`Oid`, `Placa`, `Medio`, `Tipo`, `Marca`, `Color`, `IdConductor`) VALUES ('227','ZXY753','AUTOMÓVIL','COMBUSTIBLE','DODGE','GRIS','1026302501');</v>
      </c>
    </row>
    <row r="235" spans="1:8" ht="14.4" x14ac:dyDescent="0.3">
      <c r="A235" s="5">
        <f t="shared" si="6"/>
        <v>228</v>
      </c>
      <c r="B235" s="6" t="s">
        <v>1128</v>
      </c>
      <c r="C235" s="6" t="s">
        <v>143</v>
      </c>
      <c r="D235" s="6" t="s">
        <v>17</v>
      </c>
      <c r="E235" s="6" t="s">
        <v>1127</v>
      </c>
      <c r="F235" s="6" t="s">
        <v>18</v>
      </c>
      <c r="G235" s="6">
        <v>1110473907</v>
      </c>
      <c r="H235" t="str">
        <f t="shared" si="7"/>
        <v>INSERT INTO `parqueadero`.`vehiculo` (`Oid`, `Placa`, `Medio`, `Tipo`, `Marca`, `Color`, `IdConductor`) VALUES ('228','JXV942','CAMIONETA','COMBUSTIBLE','AUDI Q3','AZUL','1110473907');</v>
      </c>
    </row>
    <row r="236" spans="1:8" ht="14.4" x14ac:dyDescent="0.3">
      <c r="A236" s="5">
        <f t="shared" si="6"/>
        <v>229</v>
      </c>
      <c r="B236" s="6" t="s">
        <v>1132</v>
      </c>
      <c r="C236" s="6" t="s">
        <v>115</v>
      </c>
      <c r="D236" s="6" t="s">
        <v>17</v>
      </c>
      <c r="E236" s="6" t="s">
        <v>1131</v>
      </c>
      <c r="F236" s="6" t="s">
        <v>1133</v>
      </c>
      <c r="G236" s="6">
        <v>79867042</v>
      </c>
      <c r="H236" t="str">
        <f t="shared" si="7"/>
        <v>INSERT INTO `parqueadero`.`vehiculo` (`Oid`, `Placa`, `Medio`, `Tipo`, `Marca`, `Color`, `IdConductor`) VALUES ('229','JUW580','AUTOMÓVIL','COMBUSTIBLE','RENAULT  LOGAN','GRIS ESTRELLA','79867042');</v>
      </c>
    </row>
    <row r="237" spans="1:8" ht="14.4" x14ac:dyDescent="0.3">
      <c r="A237" s="5">
        <f t="shared" si="6"/>
        <v>230</v>
      </c>
      <c r="B237" s="6" t="s">
        <v>1137</v>
      </c>
      <c r="C237" s="6" t="s">
        <v>2196</v>
      </c>
      <c r="D237" s="6" t="s">
        <v>17</v>
      </c>
      <c r="E237" s="6" t="s">
        <v>56</v>
      </c>
      <c r="F237" s="6" t="s">
        <v>24</v>
      </c>
      <c r="G237" s="6">
        <v>1049632235</v>
      </c>
      <c r="H237" t="str">
        <f t="shared" si="7"/>
        <v>INSERT INTO `parqueadero`.`vehiculo` (`Oid`, `Placa`, `Medio`, `Tipo`, `Marca`, `Color`, `IdConductor`) VALUES ('230','BTD47G','MOTOCICLETA','COMBUSTIBLE','HONDA','NEGRO','1049632235');</v>
      </c>
    </row>
    <row r="238" spans="1:8" ht="14.4" x14ac:dyDescent="0.3">
      <c r="A238" s="5">
        <f t="shared" si="6"/>
        <v>231</v>
      </c>
      <c r="B238" s="6" t="s">
        <v>1142</v>
      </c>
      <c r="C238" s="6" t="s">
        <v>2196</v>
      </c>
      <c r="D238" s="6" t="s">
        <v>17</v>
      </c>
      <c r="E238" s="6" t="s">
        <v>1141</v>
      </c>
      <c r="F238" s="6" t="s">
        <v>24</v>
      </c>
      <c r="G238" s="6">
        <v>1018492612</v>
      </c>
      <c r="H238" t="str">
        <f t="shared" si="7"/>
        <v>INSERT INTO `parqueadero`.`vehiculo` (`Oid`, `Placa`, `Medio`, `Tipo`, `Marca`, `Color`, `IdConductor`) VALUES ('231','IBM82G','MOTOCICLETA','COMBUSTIBLE','SUSUKI ','NEGRO','1018492612');</v>
      </c>
    </row>
    <row r="239" spans="1:8" ht="14.4" x14ac:dyDescent="0.3">
      <c r="A239" s="5">
        <f t="shared" si="6"/>
        <v>232</v>
      </c>
      <c r="B239" s="6" t="s">
        <v>1147</v>
      </c>
      <c r="C239" s="6" t="s">
        <v>115</v>
      </c>
      <c r="D239" s="6" t="s">
        <v>17</v>
      </c>
      <c r="E239" s="6" t="s">
        <v>1146</v>
      </c>
      <c r="F239" s="6" t="s">
        <v>221</v>
      </c>
      <c r="G239" s="6">
        <v>52226898</v>
      </c>
      <c r="H239" t="str">
        <f t="shared" si="7"/>
        <v>INSERT INTO `parqueadero`.`vehiculo` (`Oid`, `Placa`, `Medio`, `Tipo`, `Marca`, `Color`, `IdConductor`) VALUES ('232','LNL250','AUTOMÓVIL','COMBUSTIBLE','RENAULT LOGAN ','GRIS CASIOPE','52226898');</v>
      </c>
    </row>
    <row r="240" spans="1:8" ht="14.4" x14ac:dyDescent="0.3">
      <c r="A240" s="5">
        <f t="shared" si="6"/>
        <v>233</v>
      </c>
      <c r="B240" s="6" t="s">
        <v>1157</v>
      </c>
      <c r="C240" s="6" t="s">
        <v>115</v>
      </c>
      <c r="D240" s="6" t="s">
        <v>17</v>
      </c>
      <c r="E240" s="6" t="s">
        <v>1156</v>
      </c>
      <c r="F240" s="6" t="s">
        <v>66</v>
      </c>
      <c r="G240" s="6">
        <v>1002524810</v>
      </c>
      <c r="H240" t="str">
        <f t="shared" si="7"/>
        <v>INSERT INTO `parqueadero`.`vehiculo` (`Oid`, `Placa`, `Medio`, `Tipo`, `Marca`, `Color`, `IdConductor`) VALUES ('233','FNY049','AUTOMÓVIL','COMBUSTIBLE','CHEVROLET SPARK','BLANCO','1002524810');</v>
      </c>
    </row>
    <row r="241" spans="1:8" ht="14.4" x14ac:dyDescent="0.3">
      <c r="A241" s="5">
        <f t="shared" si="6"/>
        <v>234</v>
      </c>
      <c r="B241" s="6" t="s">
        <v>1162</v>
      </c>
      <c r="C241" s="6" t="s">
        <v>2196</v>
      </c>
      <c r="D241" s="6" t="s">
        <v>17</v>
      </c>
      <c r="E241" s="6" t="s">
        <v>1161</v>
      </c>
      <c r="F241" s="6" t="s">
        <v>24</v>
      </c>
      <c r="G241" s="6">
        <v>1020828035</v>
      </c>
      <c r="H241" t="str">
        <f t="shared" si="7"/>
        <v>INSERT INTO `parqueadero`.`vehiculo` (`Oid`, `Placa`, `Medio`, `Tipo`, `Marca`, `Color`, `IdConductor`) VALUES ('234','KXE25G','MOTOCICLETA','COMBUSTIBLE','VICTORY','NEGRO','1020828035');</v>
      </c>
    </row>
    <row r="242" spans="1:8" ht="14.4" x14ac:dyDescent="0.3">
      <c r="A242" s="5">
        <f t="shared" si="6"/>
        <v>235</v>
      </c>
      <c r="B242" s="17" t="s">
        <v>1167</v>
      </c>
      <c r="C242" s="6" t="s">
        <v>143</v>
      </c>
      <c r="D242" s="6" t="s">
        <v>253</v>
      </c>
      <c r="E242" s="17" t="s">
        <v>1166</v>
      </c>
      <c r="F242" s="17" t="s">
        <v>773</v>
      </c>
      <c r="G242" s="17">
        <v>1136888167</v>
      </c>
      <c r="H242" t="str">
        <f t="shared" si="7"/>
        <v>INSERT INTO `parqueadero`.`vehiculo` (`Oid`, `Placa`, `Medio`, `Tipo`, `Marca`, `Color`, `IdConductor`) VALUES ('235','PAX983','CAMIONETA','HÍBRIDO','CHANGAN','GRIS GRAFITO','1136888167');</v>
      </c>
    </row>
    <row r="243" spans="1:8" ht="14.4" x14ac:dyDescent="0.3">
      <c r="A243" s="5">
        <f t="shared" si="6"/>
        <v>236</v>
      </c>
      <c r="B243" s="6" t="s">
        <v>1170</v>
      </c>
      <c r="C243" s="6" t="s">
        <v>115</v>
      </c>
      <c r="D243" s="6" t="s">
        <v>17</v>
      </c>
      <c r="E243" s="6" t="s">
        <v>1087</v>
      </c>
      <c r="F243" s="6" t="s">
        <v>1171</v>
      </c>
      <c r="G243" s="6">
        <v>52084821</v>
      </c>
      <c r="H243" t="str">
        <f t="shared" si="7"/>
        <v>INSERT INTO `parqueadero`.`vehiculo` (`Oid`, `Placa`, `Medio`, `Tipo`, `Marca`, `Color`, `IdConductor`) VALUES ('236','GCQ531','AUTOMÓVIL','COMBUSTIBLE','RENAULT - SANDERO','GRIS PERLA','52084821');</v>
      </c>
    </row>
    <row r="244" spans="1:8" ht="14.4" x14ac:dyDescent="0.3">
      <c r="A244" s="5">
        <f t="shared" si="6"/>
        <v>237</v>
      </c>
      <c r="B244" s="17" t="s">
        <v>1179</v>
      </c>
      <c r="C244" s="6" t="s">
        <v>2196</v>
      </c>
      <c r="D244" s="17" t="s">
        <v>17</v>
      </c>
      <c r="E244" s="17" t="s">
        <v>701</v>
      </c>
      <c r="F244" s="17" t="s">
        <v>66</v>
      </c>
      <c r="G244" s="17">
        <v>80897139</v>
      </c>
      <c r="H244" t="str">
        <f t="shared" si="7"/>
        <v>INSERT INTO `parqueadero`.`vehiculo` (`Oid`, `Placa`, `Medio`, `Tipo`, `Marca`, `Color`, `IdConductor`) VALUES ('237','QVH56C','MOTOCICLETA','COMBUSTIBLE','YAMAHA','BLANCO','80897139');</v>
      </c>
    </row>
    <row r="245" spans="1:8" ht="14.4" x14ac:dyDescent="0.3">
      <c r="A245" s="5">
        <f t="shared" si="6"/>
        <v>238</v>
      </c>
      <c r="B245" s="6" t="s">
        <v>1182</v>
      </c>
      <c r="C245" s="6" t="s">
        <v>143</v>
      </c>
      <c r="D245" s="6" t="s">
        <v>17</v>
      </c>
      <c r="E245" s="6" t="s">
        <v>202</v>
      </c>
      <c r="F245" s="6" t="s">
        <v>96</v>
      </c>
      <c r="G245" s="6">
        <v>51736627</v>
      </c>
      <c r="H245" t="str">
        <f t="shared" si="7"/>
        <v>INSERT INTO `parqueadero`.`vehiculo` (`Oid`, `Placa`, `Medio`, `Tipo`, `Marca`, `Color`, `IdConductor`) VALUES ('238','FPV215','CAMIONETA','COMBUSTIBLE','VOLKSWAGEN','GRIS PLATINO METALICO','51736627');</v>
      </c>
    </row>
    <row r="246" spans="1:8" ht="14.4" x14ac:dyDescent="0.3">
      <c r="A246" s="5">
        <f t="shared" si="6"/>
        <v>239</v>
      </c>
      <c r="B246" s="6" t="s">
        <v>1186</v>
      </c>
      <c r="C246" s="6" t="s">
        <v>115</v>
      </c>
      <c r="D246" s="6" t="s">
        <v>17</v>
      </c>
      <c r="E246" s="6" t="s">
        <v>781</v>
      </c>
      <c r="F246" s="6" t="s">
        <v>166</v>
      </c>
      <c r="G246" s="6">
        <v>51655384</v>
      </c>
      <c r="H246" t="str">
        <f t="shared" si="7"/>
        <v>INSERT INTO `parqueadero`.`vehiculo` (`Oid`, `Placa`, `Medio`, `Tipo`, `Marca`, `Color`, `IdConductor`) VALUES ('239','IJL691','AUTOMÓVIL','COMBUSTIBLE','CHEVROLET SONIC','GRIS OSCURO','51655384');</v>
      </c>
    </row>
    <row r="247" spans="1:8" ht="14.4" x14ac:dyDescent="0.3">
      <c r="A247" s="5">
        <f t="shared" si="6"/>
        <v>240</v>
      </c>
      <c r="B247" s="6" t="s">
        <v>1191</v>
      </c>
      <c r="C247" s="6" t="s">
        <v>115</v>
      </c>
      <c r="D247" s="6" t="s">
        <v>17</v>
      </c>
      <c r="E247" s="6" t="s">
        <v>1190</v>
      </c>
      <c r="F247" s="6" t="s">
        <v>1192</v>
      </c>
      <c r="G247" s="6">
        <v>19366198</v>
      </c>
      <c r="H247" t="str">
        <f t="shared" si="7"/>
        <v>INSERT INTO `parqueadero`.`vehiculo` (`Oid`, `Placa`, `Medio`, `Tipo`, `Marca`, `Color`, `IdConductor`) VALUES ('240','KOV035','AUTOMÓVIL','COMBUSTIBLE','CHEVROLET JOY','GRIS SATIN','19366198');</v>
      </c>
    </row>
    <row r="248" spans="1:8" ht="14.4" x14ac:dyDescent="0.3">
      <c r="A248" s="5">
        <f t="shared" si="6"/>
        <v>241</v>
      </c>
      <c r="B248" s="17" t="s">
        <v>1196</v>
      </c>
      <c r="C248" s="6" t="s">
        <v>143</v>
      </c>
      <c r="D248" s="17" t="s">
        <v>17</v>
      </c>
      <c r="E248" s="17" t="s">
        <v>75</v>
      </c>
      <c r="F248" s="17" t="s">
        <v>66</v>
      </c>
      <c r="G248" s="17">
        <v>1010185027</v>
      </c>
      <c r="H248" t="str">
        <f t="shared" si="7"/>
        <v>INSERT INTO `parqueadero`.`vehiculo` (`Oid`, `Placa`, `Medio`, `Tipo`, `Marca`, `Color`, `IdConductor`) VALUES ('241','FQP716','CAMIONETA','COMBUSTIBLE','MAZDA','BLANCO','1010185027');</v>
      </c>
    </row>
    <row r="249" spans="1:8" ht="14.4" x14ac:dyDescent="0.3">
      <c r="A249" s="5">
        <f t="shared" si="6"/>
        <v>242</v>
      </c>
      <c r="B249" s="17" t="s">
        <v>1201</v>
      </c>
      <c r="C249" s="6" t="s">
        <v>143</v>
      </c>
      <c r="D249" s="17" t="s">
        <v>17</v>
      </c>
      <c r="E249" s="17" t="s">
        <v>1200</v>
      </c>
      <c r="F249" s="17" t="s">
        <v>66</v>
      </c>
      <c r="G249" s="17">
        <v>1019025949</v>
      </c>
      <c r="H249" t="str">
        <f t="shared" si="7"/>
        <v>INSERT INTO `parqueadero`.`vehiculo` (`Oid`, `Placa`, `Medio`, `Tipo`, `Marca`, `Color`, `IdConductor`) VALUES ('242','RKP236','CAMIONETA','COMBUSTIBLE','CHEVROLET CAPTIVA','BLANCO','1019025949');</v>
      </c>
    </row>
    <row r="250" spans="1:8" ht="14.4" x14ac:dyDescent="0.3">
      <c r="A250" s="5">
        <f t="shared" si="6"/>
        <v>243</v>
      </c>
      <c r="B250" s="17" t="s">
        <v>1205</v>
      </c>
      <c r="C250" s="6" t="s">
        <v>115</v>
      </c>
      <c r="D250" s="17" t="s">
        <v>17</v>
      </c>
      <c r="E250" s="17" t="s">
        <v>196</v>
      </c>
      <c r="F250" s="17" t="s">
        <v>1206</v>
      </c>
      <c r="G250" s="17">
        <v>79967484</v>
      </c>
      <c r="H250" t="str">
        <f t="shared" si="7"/>
        <v>INSERT INTO `parqueadero`.`vehiculo` (`Oid`, `Placa`, `Medio`, `Tipo`, `Marca`, `Color`, `IdConductor`) VALUES ('243','JWY962','AUTOMÓVIL','COMBUSTIBLE','NISSAN VERSA','AZUL COBALTO','79967484');</v>
      </c>
    </row>
    <row r="251" spans="1:8" ht="14.4" x14ac:dyDescent="0.3">
      <c r="A251" s="5">
        <f t="shared" si="6"/>
        <v>244</v>
      </c>
      <c r="B251" s="17" t="s">
        <v>1210</v>
      </c>
      <c r="C251" s="6" t="s">
        <v>115</v>
      </c>
      <c r="D251" s="17" t="s">
        <v>17</v>
      </c>
      <c r="E251" s="17" t="s">
        <v>304</v>
      </c>
      <c r="F251" s="17" t="s">
        <v>24</v>
      </c>
      <c r="G251" s="17">
        <v>74370778</v>
      </c>
      <c r="H251" t="str">
        <f t="shared" si="7"/>
        <v>INSERT INTO `parqueadero`.`vehiculo` (`Oid`, `Placa`, `Medio`, `Tipo`, `Marca`, `Color`, `IdConductor`) VALUES ('244','IWP358','AUTOMÓVIL','COMBUSTIBLE','RENAULT','NEGRO','74370778');</v>
      </c>
    </row>
    <row r="252" spans="1:8" ht="14.4" x14ac:dyDescent="0.3">
      <c r="A252" s="5">
        <f t="shared" si="6"/>
        <v>245</v>
      </c>
      <c r="B252" s="6" t="s">
        <v>1215</v>
      </c>
      <c r="C252" s="6" t="s">
        <v>115</v>
      </c>
      <c r="D252" s="6" t="s">
        <v>253</v>
      </c>
      <c r="E252" s="6" t="s">
        <v>1214</v>
      </c>
      <c r="F252" s="6" t="s">
        <v>1216</v>
      </c>
      <c r="G252" s="6">
        <v>1015399199</v>
      </c>
      <c r="H252" t="str">
        <f t="shared" si="7"/>
        <v>INSERT INTO `parqueadero`.`vehiculo` (`Oid`, `Placa`, `Medio`, `Tipo`, `Marca`, `Color`, `IdConductor`) VALUES ('245','PDX410','AUTOMÓVIL','HÍBRIDO','CUPRA','GRIS NOCHE','1015399199');</v>
      </c>
    </row>
    <row r="253" spans="1:8" ht="14.4" x14ac:dyDescent="0.3">
      <c r="A253" s="5">
        <f t="shared" si="6"/>
        <v>246</v>
      </c>
      <c r="B253" s="6" t="s">
        <v>1221</v>
      </c>
      <c r="C253" s="6" t="s">
        <v>115</v>
      </c>
      <c r="D253" s="6" t="s">
        <v>253</v>
      </c>
      <c r="E253" s="6" t="s">
        <v>1220</v>
      </c>
      <c r="F253" s="6" t="s">
        <v>60</v>
      </c>
      <c r="G253" s="6">
        <v>79331288</v>
      </c>
      <c r="H253" t="str">
        <f t="shared" si="7"/>
        <v>INSERT INTO `parqueadero`.`vehiculo` (`Oid`, `Placa`, `Medio`, `Tipo`, `Marca`, `Color`, `IdConductor`) VALUES ('246','PZS643','AUTOMÓVIL','HÍBRIDO','HIUNDAY','GRIS','79331288');</v>
      </c>
    </row>
    <row r="254" spans="1:8" ht="14.4" x14ac:dyDescent="0.3">
      <c r="A254" s="5">
        <f t="shared" si="6"/>
        <v>247</v>
      </c>
      <c r="B254" s="17" t="s">
        <v>1225</v>
      </c>
      <c r="C254" s="6" t="s">
        <v>115</v>
      </c>
      <c r="D254" s="17" t="s">
        <v>17</v>
      </c>
      <c r="E254" s="17" t="s">
        <v>58</v>
      </c>
      <c r="F254" s="17" t="s">
        <v>18</v>
      </c>
      <c r="G254" s="17">
        <v>1012383494</v>
      </c>
      <c r="H254" t="str">
        <f t="shared" si="7"/>
        <v>INSERT INTO `parqueadero`.`vehiculo` (`Oid`, `Placa`, `Medio`, `Tipo`, `Marca`, `Color`, `IdConductor`) VALUES ('247','JLX436','AUTOMÓVIL','COMBUSTIBLE','CHEVROLET','AZUL','1012383494');</v>
      </c>
    </row>
    <row r="255" spans="1:8" ht="14.4" x14ac:dyDescent="0.3">
      <c r="A255" s="5">
        <f t="shared" si="6"/>
        <v>248</v>
      </c>
      <c r="B255" s="17" t="s">
        <v>1231</v>
      </c>
      <c r="C255" s="6" t="s">
        <v>2196</v>
      </c>
      <c r="D255" s="17" t="s">
        <v>17</v>
      </c>
      <c r="E255" s="17" t="s">
        <v>1230</v>
      </c>
      <c r="F255" s="17" t="s">
        <v>1232</v>
      </c>
      <c r="G255" s="17">
        <v>1026578164</v>
      </c>
      <c r="H255" t="str">
        <f t="shared" si="7"/>
        <v>INSERT INTO `parqueadero`.`vehiculo` (`Oid`, `Placa`, `Medio`, `Tipo`, `Marca`, `Color`, `IdConductor`) VALUES ('248','VEK73F','MOTOCICLETA','COMBUSTIBLE','KTM','NARANJA Y NEGRO','1026578164');</v>
      </c>
    </row>
    <row r="256" spans="1:8" ht="14.4" x14ac:dyDescent="0.3">
      <c r="A256" s="5">
        <f t="shared" si="6"/>
        <v>249</v>
      </c>
      <c r="B256" s="6" t="s">
        <v>1235</v>
      </c>
      <c r="C256" s="6" t="s">
        <v>115</v>
      </c>
      <c r="D256" s="6" t="s">
        <v>253</v>
      </c>
      <c r="E256" s="6" t="s">
        <v>276</v>
      </c>
      <c r="F256" s="6" t="s">
        <v>18</v>
      </c>
      <c r="G256" s="6">
        <v>79794570</v>
      </c>
      <c r="H256" t="str">
        <f t="shared" si="7"/>
        <v>INSERT INTO `parqueadero`.`vehiculo` (`Oid`, `Placa`, `Medio`, `Tipo`, `Marca`, `Color`, `IdConductor`) VALUES ('249','NLZ576','AUTOMÓVIL','HÍBRIDO','SUZUKI','AZUL','79794570');</v>
      </c>
    </row>
    <row r="257" spans="1:8" ht="14.4" x14ac:dyDescent="0.3">
      <c r="A257" s="5">
        <f t="shared" si="6"/>
        <v>250</v>
      </c>
      <c r="B257" s="6" t="s">
        <v>1239</v>
      </c>
      <c r="C257" s="6" t="s">
        <v>115</v>
      </c>
      <c r="D257" s="6" t="s">
        <v>17</v>
      </c>
      <c r="E257" s="6" t="s">
        <v>452</v>
      </c>
      <c r="F257" s="6" t="s">
        <v>1240</v>
      </c>
      <c r="G257" s="6">
        <v>80755333</v>
      </c>
      <c r="H257" t="str">
        <f t="shared" si="7"/>
        <v>INSERT INTO `parqueadero`.`vehiculo` (`Oid`, `Placa`, `Medio`, `Tipo`, `Marca`, `Color`, `IdConductor`) VALUES ('250','POT373','AUTOMÓVIL','COMBUSTIBLE','KWID','AZUL IRON','80755333');</v>
      </c>
    </row>
    <row r="258" spans="1:8" ht="14.4" x14ac:dyDescent="0.3">
      <c r="A258" s="5">
        <f t="shared" si="6"/>
        <v>251</v>
      </c>
      <c r="B258" s="6" t="s">
        <v>1244</v>
      </c>
      <c r="C258" s="6" t="s">
        <v>143</v>
      </c>
      <c r="D258" s="6" t="s">
        <v>17</v>
      </c>
      <c r="E258" s="6" t="s">
        <v>1243</v>
      </c>
      <c r="F258" s="6" t="s">
        <v>1245</v>
      </c>
      <c r="G258" s="6">
        <v>79547192</v>
      </c>
      <c r="H258" t="str">
        <f t="shared" si="7"/>
        <v>INSERT INTO `parqueadero`.`vehiculo` (`Oid`, `Placa`, `Medio`, `Tipo`, `Marca`, `Color`, `IdConductor`) VALUES ('251','URT559','CAMIONETA','COMBUSTIBLE','CHERY VAN ','ROJO IMPERIAL','79547192');</v>
      </c>
    </row>
    <row r="259" spans="1:8" ht="14.4" x14ac:dyDescent="0.3">
      <c r="A259" s="5">
        <f t="shared" si="6"/>
        <v>252</v>
      </c>
      <c r="B259" s="6" t="s">
        <v>1249</v>
      </c>
      <c r="C259" s="6" t="s">
        <v>143</v>
      </c>
      <c r="D259" s="6" t="s">
        <v>253</v>
      </c>
      <c r="E259" s="6" t="s">
        <v>64</v>
      </c>
      <c r="F259" s="6" t="s">
        <v>134</v>
      </c>
      <c r="G259" s="6">
        <v>63548541</v>
      </c>
      <c r="H259" t="str">
        <f t="shared" si="7"/>
        <v>INSERT INTO `parqueadero`.`vehiculo` (`Oid`, `Placa`, `Medio`, `Tipo`, `Marca`, `Color`, `IdConductor`) VALUES ('252','KWO992','CAMIONETA','HÍBRIDO','TOYOTA','GRIS ','63548541');</v>
      </c>
    </row>
    <row r="260" spans="1:8" ht="14.4" x14ac:dyDescent="0.3">
      <c r="A260" s="5">
        <f t="shared" si="6"/>
        <v>253</v>
      </c>
      <c r="B260" s="6" t="s">
        <v>1253</v>
      </c>
      <c r="C260" s="6" t="s">
        <v>115</v>
      </c>
      <c r="D260" s="6" t="s">
        <v>17</v>
      </c>
      <c r="E260" s="6" t="s">
        <v>1252</v>
      </c>
      <c r="F260" s="6" t="s">
        <v>60</v>
      </c>
      <c r="G260" s="6">
        <v>52265674</v>
      </c>
      <c r="H260" t="str">
        <f t="shared" si="7"/>
        <v>INSERT INTO `parqueadero`.`vehiculo` (`Oid`, `Placa`, `Medio`, `Tipo`, `Marca`, `Color`, `IdConductor`) VALUES ('253','LOZ836','AUTOMÓVIL','COMBUSTIBLE','WOLSKWAGEN','GRIS','52265674');</v>
      </c>
    </row>
    <row r="261" spans="1:8" ht="14.4" x14ac:dyDescent="0.3">
      <c r="A261" s="5">
        <f t="shared" si="6"/>
        <v>254</v>
      </c>
      <c r="B261" s="6" t="s">
        <v>1257</v>
      </c>
      <c r="C261" s="6" t="s">
        <v>143</v>
      </c>
      <c r="D261" s="6" t="s">
        <v>17</v>
      </c>
      <c r="E261" s="6" t="s">
        <v>354</v>
      </c>
      <c r="F261" s="6" t="s">
        <v>1258</v>
      </c>
      <c r="G261" s="6">
        <v>43877882</v>
      </c>
      <c r="H261" t="str">
        <f t="shared" si="7"/>
        <v>INSERT INTO `parqueadero`.`vehiculo` (`Oid`, `Placa`, `Medio`, `Tipo`, `Marca`, `Color`, `IdConductor`) VALUES ('254','ELS298','CAMIONETA','COMBUSTIBLE','NISSAN ','PLATA ','43877882');</v>
      </c>
    </row>
    <row r="262" spans="1:8" ht="14.4" x14ac:dyDescent="0.3">
      <c r="A262" s="5">
        <f t="shared" si="6"/>
        <v>255</v>
      </c>
      <c r="B262" s="6" t="s">
        <v>1262</v>
      </c>
      <c r="C262" s="6" t="s">
        <v>2196</v>
      </c>
      <c r="D262" s="6" t="s">
        <v>17</v>
      </c>
      <c r="E262" s="6" t="s">
        <v>363</v>
      </c>
      <c r="F262" s="6" t="s">
        <v>1263</v>
      </c>
      <c r="G262" s="6">
        <v>1010243381</v>
      </c>
      <c r="H262" t="str">
        <f t="shared" si="7"/>
        <v>INSERT INTO `parqueadero`.`vehiculo` (`Oid`, `Placa`, `Medio`, `Tipo`, `Marca`, `Color`, `IdConductor`) VALUES ('255','RSX87G','MOTOCICLETA','COMBUSTIBLE','SUSUKI','AZUL MATE','1010243381');</v>
      </c>
    </row>
    <row r="263" spans="1:8" ht="14.4" x14ac:dyDescent="0.3">
      <c r="A263" s="5">
        <f t="shared" si="6"/>
        <v>256</v>
      </c>
      <c r="B263" s="6" t="s">
        <v>1266</v>
      </c>
      <c r="C263" s="6" t="s">
        <v>115</v>
      </c>
      <c r="D263" s="6" t="s">
        <v>17</v>
      </c>
      <c r="E263" s="6" t="s">
        <v>123</v>
      </c>
      <c r="F263" s="6" t="s">
        <v>60</v>
      </c>
      <c r="G263" s="6">
        <v>1018493253</v>
      </c>
      <c r="H263" t="str">
        <f t="shared" si="7"/>
        <v>INSERT INTO `parqueadero`.`vehiculo` (`Oid`, `Placa`, `Medio`, `Tipo`, `Marca`, `Color`, `IdConductor`) VALUES ('256','MCZ065','AUTOMÓVIL','COMBUSTIBLE','CHEVROLET ','GRIS','1018493253');</v>
      </c>
    </row>
    <row r="264" spans="1:8" ht="14.4" x14ac:dyDescent="0.3">
      <c r="A264" s="5">
        <f t="shared" si="6"/>
        <v>257</v>
      </c>
      <c r="B264" s="6" t="s">
        <v>1270</v>
      </c>
      <c r="C264" s="6" t="s">
        <v>2196</v>
      </c>
      <c r="D264" s="6" t="s">
        <v>17</v>
      </c>
      <c r="E264" s="6" t="s">
        <v>1269</v>
      </c>
      <c r="F264" s="6" t="s">
        <v>18</v>
      </c>
      <c r="G264" s="6">
        <v>1018428215</v>
      </c>
      <c r="H264" t="str">
        <f t="shared" si="7"/>
        <v>INSERT INTO `parqueadero`.`vehiculo` (`Oid`, `Placa`, `Medio`, `Tipo`, `Marca`, `Color`, `IdConductor`) VALUES ('257','BWG20C','MOTOCICLETA','COMBUSTIBLE','SUZUKI GS125','AZUL','1018428215');</v>
      </c>
    </row>
    <row r="265" spans="1:8" ht="14.4" x14ac:dyDescent="0.3">
      <c r="A265" s="5">
        <f t="shared" ref="A265:A328" si="8">ROW()-7</f>
        <v>258</v>
      </c>
      <c r="B265" s="6" t="s">
        <v>1273</v>
      </c>
      <c r="C265" s="6" t="s">
        <v>2196</v>
      </c>
      <c r="D265" s="6" t="s">
        <v>17</v>
      </c>
      <c r="E265" s="6" t="s">
        <v>1272</v>
      </c>
      <c r="F265" s="6" t="s">
        <v>1274</v>
      </c>
      <c r="G265" s="6">
        <v>1012397431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('258','UAQ31H','MOTOCICLETA','COMBUSTIBLE','YAMAHA FZ25 3.0','NEGRO GRIS','1012397431');</v>
      </c>
    </row>
    <row r="266" spans="1:8" ht="14.4" x14ac:dyDescent="0.3">
      <c r="A266" s="5">
        <f t="shared" si="8"/>
        <v>259</v>
      </c>
      <c r="B266" s="6" t="s">
        <v>1277</v>
      </c>
      <c r="C266" s="6" t="s">
        <v>2196</v>
      </c>
      <c r="D266" s="6" t="s">
        <v>17</v>
      </c>
      <c r="E266" s="6" t="s">
        <v>1276</v>
      </c>
      <c r="F266" s="6" t="s">
        <v>24</v>
      </c>
      <c r="G266" s="6">
        <v>1012337063</v>
      </c>
      <c r="H266" t="str">
        <f t="shared" si="9"/>
        <v>INSERT INTO `parqueadero`.`vehiculo` (`Oid`, `Placa`, `Medio`, `Tipo`, `Marca`, `Color`, `IdConductor`) VALUES ('259','FXV46H','MOTOCICLETA','COMBUSTIBLE','HERO HUNK 160R','NEGRO','1012337063');</v>
      </c>
    </row>
    <row r="267" spans="1:8" ht="14.4" x14ac:dyDescent="0.3">
      <c r="A267" s="5">
        <f t="shared" si="8"/>
        <v>260</v>
      </c>
      <c r="B267" s="6" t="s">
        <v>1284</v>
      </c>
      <c r="C267" s="6" t="s">
        <v>143</v>
      </c>
      <c r="D267" s="6" t="s">
        <v>253</v>
      </c>
      <c r="E267" s="6" t="s">
        <v>1036</v>
      </c>
      <c r="F267" s="6" t="s">
        <v>66</v>
      </c>
      <c r="G267" s="6">
        <v>275407</v>
      </c>
      <c r="H267" t="str">
        <f t="shared" si="9"/>
        <v>INSERT INTO `parqueadero`.`vehiculo` (`Oid`, `Placa`, `Medio`, `Tipo`, `Marca`, `Color`, `IdConductor`) VALUES ('260','KWZ493','CAMIONETA','HÍBRIDO','SUBARU','BLANCO','275407');</v>
      </c>
    </row>
    <row r="268" spans="1:8" ht="14.4" x14ac:dyDescent="0.3">
      <c r="A268" s="5">
        <f t="shared" si="8"/>
        <v>261</v>
      </c>
      <c r="B268" s="6" t="s">
        <v>1287</v>
      </c>
      <c r="C268" s="6" t="s">
        <v>2196</v>
      </c>
      <c r="D268" s="6" t="s">
        <v>17</v>
      </c>
      <c r="E268" s="6" t="s">
        <v>1286</v>
      </c>
      <c r="F268" s="6" t="s">
        <v>66</v>
      </c>
      <c r="G268" s="6">
        <v>1000180027</v>
      </c>
      <c r="H268" t="str">
        <f t="shared" si="9"/>
        <v>INSERT INTO `parqueadero`.`vehiculo` (`Oid`, `Placa`, `Medio`, `Tipo`, `Marca`, `Color`, `IdConductor`) VALUES ('261','ZFD64H','MOTOCICLETA','COMBUSTIBLE','AKT NKD 125 ','BLANCO','1000180027');</v>
      </c>
    </row>
    <row r="269" spans="1:8" ht="14.4" x14ac:dyDescent="0.3">
      <c r="A269" s="5">
        <f t="shared" si="8"/>
        <v>262</v>
      </c>
      <c r="B269" s="6" t="s">
        <v>1291</v>
      </c>
      <c r="C269" s="6" t="s">
        <v>143</v>
      </c>
      <c r="D269" s="6" t="s">
        <v>17</v>
      </c>
      <c r="E269" s="6" t="s">
        <v>1290</v>
      </c>
      <c r="F269" s="6" t="s">
        <v>18</v>
      </c>
      <c r="G269" s="6">
        <v>52712916</v>
      </c>
      <c r="H269" t="str">
        <f t="shared" si="9"/>
        <v>INSERT INTO `parqueadero`.`vehiculo` (`Oid`, `Placa`, `Medio`, `Tipo`, `Marca`, `Color`, `IdConductor`) VALUES ('262','EJU191','CAMIONETA','COMBUSTIBLE','JEEP RENEGADE','AZUL','52712916');</v>
      </c>
    </row>
    <row r="270" spans="1:8" ht="14.4" x14ac:dyDescent="0.3">
      <c r="A270" s="5">
        <f t="shared" si="8"/>
        <v>263</v>
      </c>
      <c r="B270" s="6" t="s">
        <v>1294</v>
      </c>
      <c r="C270" s="6" t="s">
        <v>115</v>
      </c>
      <c r="D270" s="6" t="s">
        <v>17</v>
      </c>
      <c r="E270" s="6" t="s">
        <v>164</v>
      </c>
      <c r="F270" s="6" t="s">
        <v>60</v>
      </c>
      <c r="G270" s="6">
        <v>79605849</v>
      </c>
      <c r="H270" t="str">
        <f t="shared" si="9"/>
        <v>INSERT INTO `parqueadero`.`vehiculo` (`Oid`, `Placa`, `Medio`, `Tipo`, `Marca`, `Color`, `IdConductor`) VALUES ('263','ZYM788','AUTOMÓVIL','COMBUSTIBLE','KIA','GRIS','79605849');</v>
      </c>
    </row>
    <row r="271" spans="1:8" ht="14.4" x14ac:dyDescent="0.3">
      <c r="A271" s="5">
        <f t="shared" si="8"/>
        <v>264</v>
      </c>
      <c r="B271" s="6" t="s">
        <v>1303</v>
      </c>
      <c r="C271" s="6" t="s">
        <v>143</v>
      </c>
      <c r="D271" s="6" t="s">
        <v>17</v>
      </c>
      <c r="E271" s="6" t="s">
        <v>1036</v>
      </c>
      <c r="F271" s="6" t="s">
        <v>18</v>
      </c>
      <c r="G271" s="6">
        <v>79688967</v>
      </c>
      <c r="H271" t="str">
        <f t="shared" si="9"/>
        <v>INSERT INTO `parqueadero`.`vehiculo` (`Oid`, `Placa`, `Medio`, `Tipo`, `Marca`, `Color`, `IdConductor`) VALUES ('264','GMZ660','CAMIONETA','COMBUSTIBLE','SUBARU','AZUL','79688967');</v>
      </c>
    </row>
    <row r="272" spans="1:8" ht="14.4" x14ac:dyDescent="0.3">
      <c r="A272" s="5">
        <f t="shared" si="8"/>
        <v>265</v>
      </c>
      <c r="B272" s="6" t="s">
        <v>1307</v>
      </c>
      <c r="C272" s="6" t="s">
        <v>115</v>
      </c>
      <c r="D272" s="6" t="s">
        <v>17</v>
      </c>
      <c r="E272" s="6" t="s">
        <v>202</v>
      </c>
      <c r="F272" s="6" t="s">
        <v>18</v>
      </c>
      <c r="G272" s="6">
        <v>1001299742</v>
      </c>
      <c r="H272" t="str">
        <f t="shared" si="9"/>
        <v>INSERT INTO `parqueadero`.`vehiculo` (`Oid`, `Placa`, `Medio`, `Tipo`, `Marca`, `Color`, `IdConductor`) VALUES ('265','JYK889','AUTOMÓVIL','COMBUSTIBLE','VOLKSWAGEN','AZUL','1001299742');</v>
      </c>
    </row>
    <row r="273" spans="1:8" ht="14.4" x14ac:dyDescent="0.3">
      <c r="A273" s="5">
        <f t="shared" si="8"/>
        <v>266</v>
      </c>
      <c r="B273" s="6" t="s">
        <v>1312</v>
      </c>
      <c r="C273" s="6" t="s">
        <v>115</v>
      </c>
      <c r="D273" s="6" t="s">
        <v>17</v>
      </c>
      <c r="E273" s="6" t="s">
        <v>1311</v>
      </c>
      <c r="F273" s="6" t="s">
        <v>24</v>
      </c>
      <c r="G273" s="6">
        <v>52086502</v>
      </c>
      <c r="H273" t="str">
        <f t="shared" si="9"/>
        <v>INSERT INTO `parqueadero`.`vehiculo` (`Oid`, `Placa`, `Medio`, `Tipo`, `Marca`, `Color`, `IdConductor`) VALUES ('266','IKU268','AUTOMÓVIL','COMBUSTIBLE','NISSAN MARCH','NEGRO','52086502');</v>
      </c>
    </row>
    <row r="274" spans="1:8" ht="14.4" x14ac:dyDescent="0.3">
      <c r="A274" s="5">
        <f t="shared" si="8"/>
        <v>267</v>
      </c>
      <c r="B274" s="6" t="s">
        <v>1317</v>
      </c>
      <c r="C274" s="6" t="s">
        <v>143</v>
      </c>
      <c r="D274" s="6" t="s">
        <v>253</v>
      </c>
      <c r="E274" s="6" t="s">
        <v>1316</v>
      </c>
      <c r="F274" s="6" t="s">
        <v>60</v>
      </c>
      <c r="G274" s="6">
        <v>1022399279</v>
      </c>
      <c r="H274" t="str">
        <f t="shared" si="9"/>
        <v>INSERT INTO `parqueadero`.`vehiculo` (`Oid`, `Placa`, `Medio`, `Tipo`, `Marca`, `Color`, `IdConductor`) VALUES ('267','PGR386','CAMIONETA','HÍBRIDO','SUSUKI SCROSS','GRIS','1022399279');</v>
      </c>
    </row>
    <row r="275" spans="1:8" ht="14.4" x14ac:dyDescent="0.3">
      <c r="A275" s="5">
        <f t="shared" si="8"/>
        <v>268</v>
      </c>
      <c r="B275" s="6" t="s">
        <v>1325</v>
      </c>
      <c r="C275" s="6" t="s">
        <v>115</v>
      </c>
      <c r="D275" s="6" t="s">
        <v>17</v>
      </c>
      <c r="E275" s="6" t="s">
        <v>132</v>
      </c>
      <c r="F275" s="6" t="s">
        <v>177</v>
      </c>
      <c r="G275" s="6">
        <v>1083000460</v>
      </c>
      <c r="H275" t="str">
        <f t="shared" si="9"/>
        <v>INSERT INTO `parqueadero`.`vehiculo` (`Oid`, `Placa`, `Medio`, `Tipo`, `Marca`, `Color`, `IdConductor`) VALUES ('268','UUQ628','AUTOMÓVIL','COMBUSTIBLE','BMW','NEGRO ','1083000460');</v>
      </c>
    </row>
    <row r="276" spans="1:8" ht="14.4" x14ac:dyDescent="0.3">
      <c r="A276" s="5">
        <f t="shared" si="8"/>
        <v>269</v>
      </c>
      <c r="B276" s="6" t="s">
        <v>1329</v>
      </c>
      <c r="C276" s="6" t="s">
        <v>143</v>
      </c>
      <c r="D276" s="6" t="s">
        <v>129</v>
      </c>
      <c r="E276" s="6" t="s">
        <v>22</v>
      </c>
      <c r="F276" s="6" t="s">
        <v>60</v>
      </c>
      <c r="G276" s="6">
        <v>1010169744</v>
      </c>
      <c r="H276" t="str">
        <f t="shared" si="9"/>
        <v>INSERT INTO `parqueadero`.`vehiculo` (`Oid`, `Placa`, `Medio`, `Tipo`, `Marca`, `Color`, `IdConductor`) VALUES ('269','KXV319','CAMIONETA','ELÉCTRICO','BYD','GRIS','1010169744');</v>
      </c>
    </row>
    <row r="277" spans="1:8" ht="14.4" x14ac:dyDescent="0.3">
      <c r="A277" s="5">
        <f t="shared" si="8"/>
        <v>270</v>
      </c>
      <c r="B277" s="6" t="s">
        <v>1334</v>
      </c>
      <c r="C277" s="6" t="s">
        <v>143</v>
      </c>
      <c r="D277" s="6" t="s">
        <v>17</v>
      </c>
      <c r="E277" s="6" t="s">
        <v>1333</v>
      </c>
      <c r="F277" s="6" t="s">
        <v>60</v>
      </c>
      <c r="G277" s="6">
        <v>52243622</v>
      </c>
      <c r="H277" t="str">
        <f t="shared" si="9"/>
        <v>INSERT INTO `parqueadero`.`vehiculo` (`Oid`, `Placa`, `Medio`, `Tipo`, `Marca`, `Color`, `IdConductor`) VALUES ('270','JRL402','CAMIONETA','COMBUSTIBLE','PEUGEOT','GRIS','52243622');</v>
      </c>
    </row>
    <row r="278" spans="1:8" ht="14.4" x14ac:dyDescent="0.3">
      <c r="A278" s="5">
        <f t="shared" si="8"/>
        <v>271</v>
      </c>
      <c r="B278" s="6" t="s">
        <v>1340</v>
      </c>
      <c r="C278" s="6" t="s">
        <v>115</v>
      </c>
      <c r="D278" s="6" t="s">
        <v>17</v>
      </c>
      <c r="E278" s="6" t="s">
        <v>1339</v>
      </c>
      <c r="F278" s="6" t="s">
        <v>44</v>
      </c>
      <c r="G278" s="6">
        <v>1018491200</v>
      </c>
      <c r="H278" t="str">
        <f t="shared" si="9"/>
        <v>INSERT INTO `parqueadero`.`vehiculo` (`Oid`, `Placa`, `Medio`, `Tipo`, `Marca`, `Color`, `IdConductor`) VALUES ('271','MCV622','AUTOMÓVIL','COMBUSTIBLE','FORD FIESTA','ROJO','1018491200');</v>
      </c>
    </row>
    <row r="279" spans="1:8" ht="14.4" x14ac:dyDescent="0.3">
      <c r="A279" s="5">
        <f t="shared" si="8"/>
        <v>272</v>
      </c>
      <c r="B279" s="6" t="s">
        <v>1344</v>
      </c>
      <c r="C279" s="6" t="s">
        <v>115</v>
      </c>
      <c r="D279" s="6" t="s">
        <v>17</v>
      </c>
      <c r="E279" s="6" t="s">
        <v>501</v>
      </c>
      <c r="F279" s="6" t="s">
        <v>24</v>
      </c>
      <c r="G279" s="6">
        <v>1024568532</v>
      </c>
      <c r="H279" t="str">
        <f t="shared" si="9"/>
        <v>INSERT INTO `parqueadero`.`vehiculo` (`Oid`, `Placa`, `Medio`, `Tipo`, `Marca`, `Color`, `IdConductor`) VALUES ('272','GPQ549','AUTOMÓVIL','COMBUSTIBLE','NISSAN','NEGRO','1024568532');</v>
      </c>
    </row>
    <row r="280" spans="1:8" ht="14.4" x14ac:dyDescent="0.3">
      <c r="A280" s="5">
        <f t="shared" si="8"/>
        <v>273</v>
      </c>
      <c r="B280" s="6" t="s">
        <v>1349</v>
      </c>
      <c r="C280" s="6" t="s">
        <v>143</v>
      </c>
      <c r="D280" s="6" t="s">
        <v>17</v>
      </c>
      <c r="E280" s="6" t="s">
        <v>1348</v>
      </c>
      <c r="F280" s="6" t="s">
        <v>134</v>
      </c>
      <c r="G280" s="6">
        <v>1013579971</v>
      </c>
      <c r="H280" t="str">
        <f t="shared" si="9"/>
        <v>INSERT INTO `parqueadero`.`vehiculo` (`Oid`, `Placa`, `Medio`, `Tipo`, `Marca`, `Color`, `IdConductor`) VALUES ('273','EBO249','CAMIONETA','COMBUSTIBLE','CITROEN','GRIS ','1013579971');</v>
      </c>
    </row>
    <row r="281" spans="1:8" ht="14.4" x14ac:dyDescent="0.3">
      <c r="A281" s="5">
        <f t="shared" si="8"/>
        <v>274</v>
      </c>
      <c r="B281" s="6" t="s">
        <v>1354</v>
      </c>
      <c r="C281" s="6" t="s">
        <v>115</v>
      </c>
      <c r="D281" s="6" t="s">
        <v>17</v>
      </c>
      <c r="E281" s="6" t="s">
        <v>304</v>
      </c>
      <c r="F281" s="6" t="s">
        <v>60</v>
      </c>
      <c r="G281" s="6">
        <v>1015402271</v>
      </c>
      <c r="H281" t="str">
        <f t="shared" si="9"/>
        <v>INSERT INTO `parqueadero`.`vehiculo` (`Oid`, `Placa`, `Medio`, `Tipo`, `Marca`, `Color`, `IdConductor`) VALUES ('274','FOS164','AUTOMÓVIL','COMBUSTIBLE','RENAULT','GRIS','1015402271');</v>
      </c>
    </row>
    <row r="282" spans="1:8" ht="14.4" x14ac:dyDescent="0.3">
      <c r="A282" s="5">
        <f t="shared" si="8"/>
        <v>275</v>
      </c>
      <c r="B282" s="6" t="s">
        <v>1358</v>
      </c>
      <c r="C282" s="6" t="s">
        <v>143</v>
      </c>
      <c r="D282" s="6" t="s">
        <v>17</v>
      </c>
      <c r="E282" s="6" t="s">
        <v>524</v>
      </c>
      <c r="F282" s="6" t="s">
        <v>1359</v>
      </c>
      <c r="G282" s="6">
        <v>1014261209</v>
      </c>
      <c r="H282" t="str">
        <f t="shared" si="9"/>
        <v>INSERT INTO `parqueadero`.`vehiculo` (`Oid`, `Placa`, `Medio`, `Tipo`, `Marca`, `Color`, `IdConductor`) VALUES ('275','FNR778','CAMIONETA','COMBUSTIBLE','MAZDA ','ROJO DIAMANTE','1014261209');</v>
      </c>
    </row>
    <row r="283" spans="1:8" ht="14.4" x14ac:dyDescent="0.3">
      <c r="A283" s="5">
        <f t="shared" si="8"/>
        <v>276</v>
      </c>
      <c r="B283" s="6" t="s">
        <v>1363</v>
      </c>
      <c r="C283" s="6" t="s">
        <v>2196</v>
      </c>
      <c r="D283" s="6" t="s">
        <v>17</v>
      </c>
      <c r="E283" s="6" t="s">
        <v>56</v>
      </c>
      <c r="F283" s="6" t="s">
        <v>570</v>
      </c>
      <c r="G283" s="6">
        <v>1016019711</v>
      </c>
      <c r="H283" t="str">
        <f t="shared" si="9"/>
        <v>INSERT INTO `parqueadero`.`vehiculo` (`Oid`, `Placa`, `Medio`, `Tipo`, `Marca`, `Color`, `IdConductor`) VALUES ('276','DHC86H','MOTOCICLETA','COMBUSTIBLE','HONDA','AZUL ','1016019711');</v>
      </c>
    </row>
    <row r="284" spans="1:8" ht="14.4" x14ac:dyDescent="0.3">
      <c r="A284" s="5">
        <f t="shared" si="8"/>
        <v>277</v>
      </c>
      <c r="B284" s="6" t="s">
        <v>2190</v>
      </c>
      <c r="C284" s="6" t="s">
        <v>2196</v>
      </c>
      <c r="D284" s="6" t="s">
        <v>129</v>
      </c>
      <c r="E284" s="6" t="s">
        <v>1367</v>
      </c>
      <c r="F284" s="6" t="s">
        <v>238</v>
      </c>
      <c r="G284" s="6">
        <v>1030623723</v>
      </c>
      <c r="H284" t="str">
        <f t="shared" si="9"/>
        <v>INSERT INTO `parqueadero`.`vehiculo` (`Oid`, `Placa`, `Medio`, `Tipo`, `Marca`, `Color`, `IdConductor`) VALUES ('277','MOT-003','MOTOCICLETA','ELÉCTRICO','MOTORETTAS','BLANCA','1030623723');</v>
      </c>
    </row>
    <row r="285" spans="1:8" ht="14.4" x14ac:dyDescent="0.3">
      <c r="A285" s="5">
        <f t="shared" si="8"/>
        <v>278</v>
      </c>
      <c r="B285" s="6" t="s">
        <v>1370</v>
      </c>
      <c r="C285" s="6" t="s">
        <v>115</v>
      </c>
      <c r="D285" s="6" t="s">
        <v>17</v>
      </c>
      <c r="E285" s="6" t="s">
        <v>294</v>
      </c>
      <c r="F285" s="6" t="s">
        <v>134</v>
      </c>
      <c r="G285" s="6">
        <v>19494499</v>
      </c>
      <c r="H285" t="str">
        <f t="shared" si="9"/>
        <v>INSERT INTO `parqueadero`.`vehiculo` (`Oid`, `Placa`, `Medio`, `Tipo`, `Marca`, `Color`, `IdConductor`) VALUES ('278','RHN498','AUTOMÓVIL','COMBUSTIBLE','FORD','GRIS ','19494499');</v>
      </c>
    </row>
    <row r="286" spans="1:8" ht="14.4" x14ac:dyDescent="0.3">
      <c r="A286" s="5">
        <f t="shared" si="8"/>
        <v>279</v>
      </c>
      <c r="B286" s="6" t="s">
        <v>1375</v>
      </c>
      <c r="C286" s="6" t="s">
        <v>115</v>
      </c>
      <c r="D286" s="6" t="s">
        <v>129</v>
      </c>
      <c r="E286" s="6" t="s">
        <v>1374</v>
      </c>
      <c r="F286" s="6" t="s">
        <v>66</v>
      </c>
      <c r="G286" s="6">
        <v>1030579761</v>
      </c>
      <c r="H286" t="str">
        <f t="shared" si="9"/>
        <v>INSERT INTO `parqueadero`.`vehiculo` (`Oid`, `Placa`, `Medio`, `Tipo`, `Marca`, `Color`, `IdConductor`) VALUES ('279','PCM354','AUTOMÓVIL','ELÉCTRICO','BYD SEAGULL','BLANCO','1030579761');</v>
      </c>
    </row>
    <row r="287" spans="1:8" ht="14.4" x14ac:dyDescent="0.3">
      <c r="A287" s="5">
        <f t="shared" si="8"/>
        <v>280</v>
      </c>
      <c r="B287" s="6" t="s">
        <v>1379</v>
      </c>
      <c r="C287" s="6" t="s">
        <v>115</v>
      </c>
      <c r="D287" s="6" t="s">
        <v>17</v>
      </c>
      <c r="E287" s="6" t="s">
        <v>58</v>
      </c>
      <c r="F287" s="6" t="s">
        <v>248</v>
      </c>
      <c r="G287" s="6">
        <v>53167119</v>
      </c>
      <c r="H287" t="str">
        <f t="shared" si="9"/>
        <v>INSERT INTO `parqueadero`.`vehiculo` (`Oid`, `Placa`, `Medio`, `Tipo`, `Marca`, `Color`, `IdConductor`) VALUES ('280','NDR248','AUTOMÓVIL','COMBUSTIBLE','CHEVROLET','GRIS PLATA','53167119');</v>
      </c>
    </row>
    <row r="288" spans="1:8" ht="14.4" x14ac:dyDescent="0.3">
      <c r="A288" s="5">
        <f t="shared" si="8"/>
        <v>281</v>
      </c>
      <c r="B288" s="17" t="s">
        <v>1382</v>
      </c>
      <c r="C288" s="6" t="s">
        <v>115</v>
      </c>
      <c r="D288" s="17" t="s">
        <v>17</v>
      </c>
      <c r="E288" s="17" t="s">
        <v>294</v>
      </c>
      <c r="F288" s="17" t="s">
        <v>24</v>
      </c>
      <c r="G288" s="17">
        <v>79290465</v>
      </c>
      <c r="H288" t="str">
        <f t="shared" si="9"/>
        <v>INSERT INTO `parqueadero`.`vehiculo` (`Oid`, `Placa`, `Medio`, `Tipo`, `Marca`, `Color`, `IdConductor`) VALUES ('281','DBN175','AUTOMÓVIL','COMBUSTIBLE','FORD','NEGRO','79290465');</v>
      </c>
    </row>
    <row r="289" spans="1:8" ht="14.4" x14ac:dyDescent="0.3">
      <c r="A289" s="5">
        <f t="shared" si="8"/>
        <v>282</v>
      </c>
      <c r="B289" s="6" t="s">
        <v>1391</v>
      </c>
      <c r="C289" s="6" t="s">
        <v>2196</v>
      </c>
      <c r="D289" s="6" t="s">
        <v>17</v>
      </c>
      <c r="E289" s="6" t="s">
        <v>516</v>
      </c>
      <c r="F289" s="6" t="s">
        <v>66</v>
      </c>
      <c r="G289" s="6">
        <v>80147258</v>
      </c>
      <c r="H289" t="str">
        <f t="shared" si="9"/>
        <v>INSERT INTO `parqueadero`.`vehiculo` (`Oid`, `Placa`, `Medio`, `Tipo`, `Marca`, `Color`, `IdConductor`) VALUES ('282','GZJ15G','MOTOCICLETA','COMBUSTIBLE','YAMAHA ','BLANCO','80147258');</v>
      </c>
    </row>
    <row r="290" spans="1:8" ht="14.4" x14ac:dyDescent="0.3">
      <c r="A290" s="5">
        <f t="shared" si="8"/>
        <v>283</v>
      </c>
      <c r="B290" s="6" t="s">
        <v>1396</v>
      </c>
      <c r="C290" s="6" t="s">
        <v>115</v>
      </c>
      <c r="D290" s="6" t="s">
        <v>17</v>
      </c>
      <c r="E290" s="6" t="s">
        <v>1339</v>
      </c>
      <c r="F290" s="6" t="s">
        <v>725</v>
      </c>
      <c r="G290" s="6">
        <v>1022421202</v>
      </c>
      <c r="H290" t="str">
        <f t="shared" si="9"/>
        <v>INSERT INTO `parqueadero`.`vehiculo` (`Oid`, `Placa`, `Medio`, `Tipo`, `Marca`, `Color`, `IdConductor`) VALUES ('283','HVV023','AUTOMÓVIL','COMBUSTIBLE','FORD FIESTA','ROJO ','1022421202');</v>
      </c>
    </row>
    <row r="291" spans="1:8" ht="14.4" x14ac:dyDescent="0.3">
      <c r="A291" s="5">
        <f t="shared" si="8"/>
        <v>284</v>
      </c>
      <c r="B291" s="6" t="s">
        <v>1400</v>
      </c>
      <c r="C291" s="6" t="s">
        <v>143</v>
      </c>
      <c r="D291" s="6" t="s">
        <v>253</v>
      </c>
      <c r="E291" s="6" t="s">
        <v>1036</v>
      </c>
      <c r="F291" s="6" t="s">
        <v>60</v>
      </c>
      <c r="G291" s="6">
        <v>79945548</v>
      </c>
      <c r="H291" t="str">
        <f t="shared" si="9"/>
        <v>INSERT INTO `parqueadero`.`vehiculo` (`Oid`, `Placa`, `Medio`, `Tipo`, `Marca`, `Color`, `IdConductor`) VALUES ('284','PGR369','CAMIONETA','HÍBRIDO','SUBARU','GRIS','79945548');</v>
      </c>
    </row>
    <row r="292" spans="1:8" ht="14.4" x14ac:dyDescent="0.3">
      <c r="A292" s="5">
        <f t="shared" si="8"/>
        <v>285</v>
      </c>
      <c r="B292" s="6" t="s">
        <v>1404</v>
      </c>
      <c r="C292" s="6" t="s">
        <v>143</v>
      </c>
      <c r="D292" s="6" t="s">
        <v>17</v>
      </c>
      <c r="E292" s="6" t="s">
        <v>501</v>
      </c>
      <c r="F292" s="6" t="s">
        <v>134</v>
      </c>
      <c r="G292" s="6">
        <v>1069078793</v>
      </c>
      <c r="H292" t="str">
        <f t="shared" si="9"/>
        <v>INSERT INTO `parqueadero`.`vehiculo` (`Oid`, `Placa`, `Medio`, `Tipo`, `Marca`, `Color`, `IdConductor`) VALUES ('285','UCW304','CAMIONETA','COMBUSTIBLE','NISSAN','GRIS ','1069078793');</v>
      </c>
    </row>
    <row r="293" spans="1:8" ht="14.4" x14ac:dyDescent="0.3">
      <c r="A293" s="5">
        <f t="shared" si="8"/>
        <v>286</v>
      </c>
      <c r="B293" s="6" t="s">
        <v>1409</v>
      </c>
      <c r="C293" s="6" t="s">
        <v>115</v>
      </c>
      <c r="D293" s="6" t="s">
        <v>17</v>
      </c>
      <c r="E293" s="6" t="s">
        <v>1408</v>
      </c>
      <c r="F293" s="6" t="s">
        <v>1410</v>
      </c>
      <c r="G293" s="6">
        <v>1053838523</v>
      </c>
      <c r="H293" t="str">
        <f t="shared" si="9"/>
        <v>INSERT INTO `parqueadero`.`vehiculo` (`Oid`, `Placa`, `Medio`, `Tipo`, `Marca`, `Color`, `IdConductor`) VALUES ('286','NNU114','AUTOMÓVIL','COMBUSTIBLE','CITROËN','BLANCO TECHO NEGRO','1053838523');</v>
      </c>
    </row>
    <row r="294" spans="1:8" ht="14.4" x14ac:dyDescent="0.3">
      <c r="A294" s="5">
        <f t="shared" si="8"/>
        <v>287</v>
      </c>
      <c r="B294" s="6" t="s">
        <v>1414</v>
      </c>
      <c r="C294" s="6" t="s">
        <v>115</v>
      </c>
      <c r="D294" s="6" t="s">
        <v>17</v>
      </c>
      <c r="E294" s="6" t="s">
        <v>398</v>
      </c>
      <c r="F294" s="6" t="s">
        <v>725</v>
      </c>
      <c r="G294" s="6">
        <v>1032475428</v>
      </c>
      <c r="H294" t="str">
        <f t="shared" si="9"/>
        <v>INSERT INTO `parqueadero`.`vehiculo` (`Oid`, `Placa`, `Medio`, `Tipo`, `Marca`, `Color`, `IdConductor`) VALUES ('287','KOV728','AUTOMÓVIL','COMBUSTIBLE','RENAULT ','ROJO ','1032475428');</v>
      </c>
    </row>
    <row r="295" spans="1:8" ht="14.4" x14ac:dyDescent="0.3">
      <c r="A295" s="5">
        <f t="shared" si="8"/>
        <v>288</v>
      </c>
      <c r="B295" s="6" t="s">
        <v>1418</v>
      </c>
      <c r="C295" s="6" t="s">
        <v>143</v>
      </c>
      <c r="D295" s="6" t="s">
        <v>17</v>
      </c>
      <c r="E295" s="6" t="s">
        <v>294</v>
      </c>
      <c r="F295" s="6" t="s">
        <v>44</v>
      </c>
      <c r="G295" s="6">
        <v>80197126</v>
      </c>
      <c r="H295" t="str">
        <f t="shared" si="9"/>
        <v>INSERT INTO `parqueadero`.`vehiculo` (`Oid`, `Placa`, `Medio`, `Tipo`, `Marca`, `Color`, `IdConductor`) VALUES ('288','IXN649','CAMIONETA','COMBUSTIBLE','FORD','ROJO','80197126');</v>
      </c>
    </row>
    <row r="296" spans="1:8" ht="14.4" x14ac:dyDescent="0.3">
      <c r="A296" s="5">
        <f t="shared" si="8"/>
        <v>289</v>
      </c>
      <c r="B296" s="6" t="s">
        <v>1423</v>
      </c>
      <c r="C296" s="6" t="s">
        <v>2196</v>
      </c>
      <c r="D296" s="6" t="s">
        <v>17</v>
      </c>
      <c r="E296" s="6" t="s">
        <v>1422</v>
      </c>
      <c r="F296" s="6" t="s">
        <v>1424</v>
      </c>
      <c r="G296" s="6">
        <v>1019111258</v>
      </c>
      <c r="H296" t="str">
        <f t="shared" si="9"/>
        <v>INSERT INTO `parqueadero`.`vehiculo` (`Oid`, `Placa`, `Medio`, `Tipo`, `Marca`, `Color`, `IdConductor`) VALUES ('289','BFW48H','MOTOCICLETA','COMBUSTIBLE','BAJAJ','AZUL AZALEA','1019111258');</v>
      </c>
    </row>
    <row r="297" spans="1:8" ht="14.4" x14ac:dyDescent="0.3">
      <c r="A297" s="5">
        <f t="shared" si="8"/>
        <v>290</v>
      </c>
      <c r="B297" s="6" t="s">
        <v>1428</v>
      </c>
      <c r="C297" s="6" t="s">
        <v>115</v>
      </c>
      <c r="D297" s="6" t="s">
        <v>17</v>
      </c>
      <c r="E297" s="6" t="s">
        <v>202</v>
      </c>
      <c r="F297" s="6" t="s">
        <v>60</v>
      </c>
      <c r="G297" s="6">
        <v>1026275767</v>
      </c>
      <c r="H297" t="str">
        <f t="shared" si="9"/>
        <v>INSERT INTO `parqueadero`.`vehiculo` (`Oid`, `Placa`, `Medio`, `Tipo`, `Marca`, `Color`, `IdConductor`) VALUES ('290','HJZ984','AUTOMÓVIL','COMBUSTIBLE','VOLKSWAGEN','GRIS','1026275767');</v>
      </c>
    </row>
    <row r="298" spans="1:8" ht="14.4" x14ac:dyDescent="0.3">
      <c r="A298" s="5">
        <f t="shared" si="8"/>
        <v>291</v>
      </c>
      <c r="B298" s="17" t="s">
        <v>1432</v>
      </c>
      <c r="C298" s="6" t="s">
        <v>143</v>
      </c>
      <c r="D298" s="17" t="s">
        <v>17</v>
      </c>
      <c r="E298" s="17" t="s">
        <v>501</v>
      </c>
      <c r="F298" s="17" t="s">
        <v>259</v>
      </c>
      <c r="G298" s="17">
        <v>37863986</v>
      </c>
      <c r="H298" t="str">
        <f t="shared" si="9"/>
        <v>INSERT INTO `parqueadero`.`vehiculo` (`Oid`, `Placa`, `Medio`, `Tipo`, `Marca`, `Color`, `IdConductor`) VALUES ('291','IRP136','CAMIONETA','COMBUSTIBLE','NISSAN','PLATEADO','37863986');</v>
      </c>
    </row>
    <row r="299" spans="1:8" ht="14.4" x14ac:dyDescent="0.3">
      <c r="A299" s="5">
        <f t="shared" si="8"/>
        <v>292</v>
      </c>
      <c r="B299" s="6" t="s">
        <v>1437</v>
      </c>
      <c r="C299" s="6" t="s">
        <v>115</v>
      </c>
      <c r="D299" s="6" t="s">
        <v>17</v>
      </c>
      <c r="E299" s="6" t="s">
        <v>1436</v>
      </c>
      <c r="F299" s="6" t="s">
        <v>60</v>
      </c>
      <c r="G299" s="6">
        <v>79595346</v>
      </c>
      <c r="H299" t="str">
        <f t="shared" si="9"/>
        <v>INSERT INTO `parqueadero`.`vehiculo` (`Oid`, `Placa`, `Medio`, `Tipo`, `Marca`, `Color`, `IdConductor`) VALUES ('292','EBR912','AUTOMÓVIL','COMBUSTIBLE','MERCEDES ','GRIS','79595346');</v>
      </c>
    </row>
    <row r="300" spans="1:8" ht="14.4" x14ac:dyDescent="0.3">
      <c r="A300" s="5">
        <f t="shared" si="8"/>
        <v>293</v>
      </c>
      <c r="B300" s="6" t="s">
        <v>1442</v>
      </c>
      <c r="C300" s="6" t="s">
        <v>115</v>
      </c>
      <c r="D300" s="6" t="s">
        <v>17</v>
      </c>
      <c r="E300" s="6" t="s">
        <v>1441</v>
      </c>
      <c r="F300" s="6" t="s">
        <v>259</v>
      </c>
      <c r="G300" s="6">
        <v>46672265</v>
      </c>
      <c r="H300" t="str">
        <f t="shared" si="9"/>
        <v>INSERT INTO `parqueadero`.`vehiculo` (`Oid`, `Placa`, `Medio`, `Tipo`, `Marca`, `Color`, `IdConductor`) VALUES ('293','JUR582','AUTOMÓVIL','COMBUSTIBLE','PEGOUT 2008','PLATEADO','46672265');</v>
      </c>
    </row>
    <row r="301" spans="1:8" ht="14.4" x14ac:dyDescent="0.3">
      <c r="A301" s="5">
        <f t="shared" si="8"/>
        <v>294</v>
      </c>
      <c r="B301" s="6" t="s">
        <v>1446</v>
      </c>
      <c r="C301" s="6" t="s">
        <v>115</v>
      </c>
      <c r="D301" s="6" t="s">
        <v>17</v>
      </c>
      <c r="E301" s="6" t="s">
        <v>1445</v>
      </c>
      <c r="F301" s="6" t="s">
        <v>1447</v>
      </c>
      <c r="G301" s="6">
        <v>2996355</v>
      </c>
      <c r="H301" t="str">
        <f t="shared" si="9"/>
        <v>INSERT INTO `parqueadero`.`vehiculo` (`Oid`, `Placa`, `Medio`, `Tipo`, `Marca`, `Color`, `IdConductor`) VALUES ('294','BJN042','AUTOMÓVIL','COMBUSTIBLE','HYUNDAI ','ORO AZÚCAR ','2996355');</v>
      </c>
    </row>
    <row r="302" spans="1:8" ht="14.4" x14ac:dyDescent="0.3">
      <c r="A302" s="5">
        <f t="shared" si="8"/>
        <v>295</v>
      </c>
      <c r="B302" s="6" t="s">
        <v>1450</v>
      </c>
      <c r="C302" s="6" t="s">
        <v>115</v>
      </c>
      <c r="D302" s="6" t="s">
        <v>17</v>
      </c>
      <c r="E302" s="6" t="s">
        <v>164</v>
      </c>
      <c r="F302" s="6" t="s">
        <v>60</v>
      </c>
      <c r="G302" s="6">
        <v>79385393</v>
      </c>
      <c r="H302" t="str">
        <f t="shared" si="9"/>
        <v>INSERT INTO `parqueadero`.`vehiculo` (`Oid`, `Placa`, `Medio`, `Tipo`, `Marca`, `Color`, `IdConductor`) VALUES ('295','REO339','AUTOMÓVIL','COMBUSTIBLE','KIA','GRIS','79385393');</v>
      </c>
    </row>
    <row r="303" spans="1:8" ht="14.4" x14ac:dyDescent="0.3">
      <c r="A303" s="5">
        <f t="shared" si="8"/>
        <v>296</v>
      </c>
      <c r="B303" s="6" t="s">
        <v>1454</v>
      </c>
      <c r="C303" s="6" t="s">
        <v>2196</v>
      </c>
      <c r="D303" s="6" t="s">
        <v>17</v>
      </c>
      <c r="E303" s="6" t="s">
        <v>1453</v>
      </c>
      <c r="F303" s="6" t="s">
        <v>1455</v>
      </c>
      <c r="G303" s="6">
        <v>1010162896</v>
      </c>
      <c r="H303" t="str">
        <f t="shared" si="9"/>
        <v>INSERT INTO `parqueadero`.`vehiculo` (`Oid`, `Placa`, `Medio`, `Tipo`, `Marca`, `Color`, `IdConductor`) VALUES ('296','GCD58H','MOTOCICLETA','COMBUSTIBLE','ROYAL ENFIELD','AMARILLO','1010162896');</v>
      </c>
    </row>
    <row r="304" spans="1:8" ht="14.4" x14ac:dyDescent="0.3">
      <c r="A304" s="5">
        <f t="shared" si="8"/>
        <v>297</v>
      </c>
      <c r="B304" s="6" t="s">
        <v>1457</v>
      </c>
      <c r="C304" s="6" t="s">
        <v>115</v>
      </c>
      <c r="D304" s="6" t="s">
        <v>17</v>
      </c>
      <c r="E304" s="6" t="s">
        <v>501</v>
      </c>
      <c r="F304" s="6" t="s">
        <v>60</v>
      </c>
      <c r="G304" s="6">
        <v>1010162896</v>
      </c>
      <c r="H304" t="str">
        <f t="shared" si="9"/>
        <v>INSERT INTO `parqueadero`.`vehiculo` (`Oid`, `Placa`, `Medio`, `Tipo`, `Marca`, `Color`, `IdConductor`) VALUES ('297','EFN811','AUTOMÓVIL','COMBUSTIBLE','NISSAN','GRIS','1010162896');</v>
      </c>
    </row>
    <row r="305" spans="1:8" ht="14.4" x14ac:dyDescent="0.3">
      <c r="A305" s="5">
        <f t="shared" si="8"/>
        <v>298</v>
      </c>
      <c r="B305" s="6" t="s">
        <v>1466</v>
      </c>
      <c r="C305" s="6" t="s">
        <v>115</v>
      </c>
      <c r="D305" s="6" t="s">
        <v>17</v>
      </c>
      <c r="E305" s="6" t="s">
        <v>1465</v>
      </c>
      <c r="F305" s="6" t="s">
        <v>339</v>
      </c>
      <c r="G305" s="6">
        <v>1022984445</v>
      </c>
      <c r="H305" t="str">
        <f t="shared" si="9"/>
        <v>INSERT INTO `parqueadero`.`vehiculo` (`Oid`, `Placa`, `Medio`, `Tipo`, `Marca`, `Color`, `IdConductor`) VALUES ('298','BTX400','AUTOMÓVIL','COMBUSTIBLE','VOLKSWAGEN JETTA','GRIS PLATA ','1022984445');</v>
      </c>
    </row>
    <row r="306" spans="1:8" ht="14.4" x14ac:dyDescent="0.3">
      <c r="A306" s="5">
        <f t="shared" si="8"/>
        <v>299</v>
      </c>
      <c r="B306" s="6" t="s">
        <v>1470</v>
      </c>
      <c r="C306" s="6" t="s">
        <v>143</v>
      </c>
      <c r="D306" s="6" t="s">
        <v>129</v>
      </c>
      <c r="E306" s="6" t="s">
        <v>22</v>
      </c>
      <c r="F306" s="6" t="s">
        <v>1471</v>
      </c>
      <c r="G306" s="6">
        <v>1015442158</v>
      </c>
      <c r="H306" t="str">
        <f t="shared" si="9"/>
        <v>INSERT INTO `parqueadero`.`vehiculo` (`Oid`, `Placa`, `Medio`, `Tipo`, `Marca`, `Color`, `IdConductor`) VALUES ('299','PXT458','CAMIONETA','ELÉCTRICO','BYD','CIAN OSCURO MALAQUITA ','1015442158');</v>
      </c>
    </row>
    <row r="307" spans="1:8" ht="14.4" x14ac:dyDescent="0.3">
      <c r="A307" s="5">
        <f t="shared" si="8"/>
        <v>300</v>
      </c>
      <c r="B307" s="6" t="s">
        <v>1477</v>
      </c>
      <c r="C307" s="6" t="s">
        <v>115</v>
      </c>
      <c r="D307" s="6" t="s">
        <v>17</v>
      </c>
      <c r="E307" s="6" t="s">
        <v>1476</v>
      </c>
      <c r="F307" s="6" t="s">
        <v>66</v>
      </c>
      <c r="G307" s="6">
        <v>1030623154</v>
      </c>
      <c r="H307" t="str">
        <f t="shared" si="9"/>
        <v>INSERT INTO `parqueadero`.`vehiculo` (`Oid`, `Placa`, `Medio`, `Tipo`, `Marca`, `Color`, `IdConductor`) VALUES ('300','JYL341','AUTOMÓVIL','COMBUSTIBLE','OPEL','BLANCO','1030623154');</v>
      </c>
    </row>
    <row r="308" spans="1:8" ht="14.4" x14ac:dyDescent="0.3">
      <c r="A308" s="5">
        <f t="shared" si="8"/>
        <v>301</v>
      </c>
      <c r="B308" s="6" t="s">
        <v>1480</v>
      </c>
      <c r="C308" s="6" t="s">
        <v>2196</v>
      </c>
      <c r="D308" s="6" t="s">
        <v>17</v>
      </c>
      <c r="E308" s="6" t="s">
        <v>175</v>
      </c>
      <c r="F308" s="6" t="s">
        <v>66</v>
      </c>
      <c r="G308" s="6">
        <v>32711441</v>
      </c>
      <c r="H308" t="str">
        <f t="shared" si="9"/>
        <v>INSERT INTO `parqueadero`.`vehiculo` (`Oid`, `Placa`, `Medio`, `Tipo`, `Marca`, `Color`, `IdConductor`) VALUES ('301','UWK57D','MOTOCICLETA','COMBUSTIBLE','AKT','BLANCO','32711441');</v>
      </c>
    </row>
    <row r="309" spans="1:8" ht="14.4" x14ac:dyDescent="0.3">
      <c r="A309" s="5">
        <f t="shared" si="8"/>
        <v>302</v>
      </c>
      <c r="B309" s="17" t="s">
        <v>1485</v>
      </c>
      <c r="C309" s="6" t="s">
        <v>115</v>
      </c>
      <c r="D309" s="17" t="s">
        <v>17</v>
      </c>
      <c r="E309" s="17" t="s">
        <v>1465</v>
      </c>
      <c r="F309" s="17" t="s">
        <v>60</v>
      </c>
      <c r="G309" s="17">
        <v>52883834</v>
      </c>
      <c r="H309" t="str">
        <f t="shared" si="9"/>
        <v>INSERT INTO `parqueadero`.`vehiculo` (`Oid`, `Placa`, `Medio`, `Tipo`, `Marca`, `Color`, `IdConductor`) VALUES ('302','HKM570','AUTOMÓVIL','COMBUSTIBLE','VOLKSWAGEN JETTA','GRIS','52883834');</v>
      </c>
    </row>
    <row r="310" spans="1:8" ht="14.4" x14ac:dyDescent="0.3">
      <c r="A310" s="5">
        <f t="shared" si="8"/>
        <v>303</v>
      </c>
      <c r="B310" s="6" t="s">
        <v>1489</v>
      </c>
      <c r="C310" s="6" t="s">
        <v>115</v>
      </c>
      <c r="D310" s="6" t="s">
        <v>253</v>
      </c>
      <c r="E310" s="6" t="s">
        <v>75</v>
      </c>
      <c r="F310" s="6" t="s">
        <v>66</v>
      </c>
      <c r="G310" s="6">
        <v>80206130</v>
      </c>
      <c r="H310" t="str">
        <f t="shared" si="9"/>
        <v>INSERT INTO `parqueadero`.`vehiculo` (`Oid`, `Placa`, `Medio`, `Tipo`, `Marca`, `Color`, `IdConductor`) VALUES ('303','NIW853','AUTOMÓVIL','HÍBRIDO','MAZDA','BLANCO','80206130');</v>
      </c>
    </row>
    <row r="311" spans="1:8" ht="14.4" x14ac:dyDescent="0.3">
      <c r="A311" s="5">
        <f t="shared" si="8"/>
        <v>304</v>
      </c>
      <c r="B311" s="6" t="s">
        <v>1493</v>
      </c>
      <c r="C311" s="6" t="s">
        <v>143</v>
      </c>
      <c r="D311" s="6" t="s">
        <v>253</v>
      </c>
      <c r="E311" s="6" t="s">
        <v>294</v>
      </c>
      <c r="F311" s="6" t="s">
        <v>66</v>
      </c>
      <c r="G311" s="6">
        <v>1016021569</v>
      </c>
      <c r="H311" t="str">
        <f t="shared" si="9"/>
        <v>INSERT INTO `parqueadero`.`vehiculo` (`Oid`, `Placa`, `Medio`, `Tipo`, `Marca`, `Color`, `IdConductor`) VALUES ('304','JWT919','CAMIONETA','HÍBRIDO','FORD','BLANCO','1016021569');</v>
      </c>
    </row>
    <row r="312" spans="1:8" ht="14.4" x14ac:dyDescent="0.3">
      <c r="A312" s="5">
        <f t="shared" si="8"/>
        <v>305</v>
      </c>
      <c r="B312" s="6" t="s">
        <v>1494</v>
      </c>
      <c r="C312" s="6" t="s">
        <v>2196</v>
      </c>
      <c r="D312" s="6" t="s">
        <v>17</v>
      </c>
      <c r="E312" s="6" t="s">
        <v>701</v>
      </c>
      <c r="F312" s="6" t="s">
        <v>24</v>
      </c>
      <c r="G312" s="6">
        <v>1016021569</v>
      </c>
      <c r="H312" t="str">
        <f t="shared" si="9"/>
        <v>INSERT INTO `parqueadero`.`vehiculo` (`Oid`, `Placa`, `Medio`, `Tipo`, `Marca`, `Color`, `IdConductor`) VALUES ('305','CIA56F','MOTOCICLETA','COMBUSTIBLE','YAMAHA','NEGRO','1016021569');</v>
      </c>
    </row>
    <row r="313" spans="1:8" ht="14.4" x14ac:dyDescent="0.3">
      <c r="A313" s="5">
        <f t="shared" si="8"/>
        <v>306</v>
      </c>
      <c r="B313" s="17" t="s">
        <v>1500</v>
      </c>
      <c r="C313" s="6" t="s">
        <v>115</v>
      </c>
      <c r="D313" s="17" t="s">
        <v>17</v>
      </c>
      <c r="E313" s="17" t="s">
        <v>202</v>
      </c>
      <c r="F313" s="17" t="s">
        <v>24</v>
      </c>
      <c r="G313" s="17">
        <v>80019944</v>
      </c>
      <c r="H313" t="str">
        <f t="shared" si="9"/>
        <v>INSERT INTO `parqueadero`.`vehiculo` (`Oid`, `Placa`, `Medio`, `Tipo`, `Marca`, `Color`, `IdConductor`) VALUES ('306','GLX335','AUTOMÓVIL','COMBUSTIBLE','VOLKSWAGEN','NEGRO','80019944');</v>
      </c>
    </row>
    <row r="314" spans="1:8" ht="14.4" x14ac:dyDescent="0.3">
      <c r="A314" s="5">
        <f t="shared" si="8"/>
        <v>307</v>
      </c>
      <c r="B314" s="6" t="s">
        <v>1501</v>
      </c>
      <c r="C314" s="6" t="s">
        <v>2196</v>
      </c>
      <c r="D314" s="6" t="s">
        <v>17</v>
      </c>
      <c r="E314" s="6" t="s">
        <v>701</v>
      </c>
      <c r="F314" s="6" t="s">
        <v>60</v>
      </c>
      <c r="G314" s="6">
        <v>80019944</v>
      </c>
      <c r="H314" t="str">
        <f t="shared" si="9"/>
        <v>INSERT INTO `parqueadero`.`vehiculo` (`Oid`, `Placa`, `Medio`, `Tipo`, `Marca`, `Color`, `IdConductor`) VALUES ('307','XCG92G','MOTOCICLETA','COMBUSTIBLE','YAMAHA','GRIS','80019944');</v>
      </c>
    </row>
    <row r="315" spans="1:8" ht="14.4" x14ac:dyDescent="0.3">
      <c r="A315" s="5">
        <f t="shared" si="8"/>
        <v>308</v>
      </c>
      <c r="B315" s="17" t="s">
        <v>2194</v>
      </c>
      <c r="C315" s="6" t="s">
        <v>143</v>
      </c>
      <c r="D315" s="6" t="s">
        <v>253</v>
      </c>
      <c r="E315" s="17" t="s">
        <v>164</v>
      </c>
      <c r="F315" s="17" t="s">
        <v>66</v>
      </c>
      <c r="G315" s="17">
        <v>1016036999</v>
      </c>
      <c r="H315" t="str">
        <f t="shared" si="9"/>
        <v>INSERT INTO `parqueadero`.`vehiculo` (`Oid`, `Placa`, `Medio`, `Tipo`, `Marca`, `Color`, `IdConductor`) VALUES ('308','PENDIENTE2','CAMIONETA','HÍBRIDO','KIA','BLANCO','1016036999');</v>
      </c>
    </row>
    <row r="316" spans="1:8" ht="14.4" x14ac:dyDescent="0.3">
      <c r="A316" s="5">
        <f t="shared" si="8"/>
        <v>309</v>
      </c>
      <c r="B316" s="6" t="s">
        <v>1510</v>
      </c>
      <c r="C316" s="6" t="s">
        <v>115</v>
      </c>
      <c r="D316" s="6" t="s">
        <v>17</v>
      </c>
      <c r="E316" s="6" t="s">
        <v>1509</v>
      </c>
      <c r="F316" s="6" t="s">
        <v>24</v>
      </c>
      <c r="G316" s="6">
        <v>91492909</v>
      </c>
      <c r="H316" t="str">
        <f t="shared" si="9"/>
        <v>INSERT INTO `parqueadero`.`vehiculo` (`Oid`, `Placa`, `Medio`, `Tipo`, `Marca`, `Color`, `IdConductor`) VALUES ('309','REP460','AUTOMÓVIL','COMBUSTIBLE','STEPWAY','NEGRO','91492909');</v>
      </c>
    </row>
    <row r="317" spans="1:8" ht="14.4" x14ac:dyDescent="0.3">
      <c r="A317" s="5">
        <f t="shared" si="8"/>
        <v>310</v>
      </c>
      <c r="B317" s="6" t="s">
        <v>1516</v>
      </c>
      <c r="C317" s="6" t="s">
        <v>143</v>
      </c>
      <c r="D317" s="6" t="s">
        <v>129</v>
      </c>
      <c r="E317" s="6" t="s">
        <v>22</v>
      </c>
      <c r="F317" s="6" t="s">
        <v>18</v>
      </c>
      <c r="G317" s="6">
        <v>79244560</v>
      </c>
      <c r="H317" t="str">
        <f t="shared" si="9"/>
        <v>INSERT INTO `parqueadero`.`vehiculo` (`Oid`, `Placa`, `Medio`, `Tipo`, `Marca`, `Color`, `IdConductor`) VALUES ('310','LNQ833','CAMIONETA','ELÉCTRICO','BYD','AZUL','79244560');</v>
      </c>
    </row>
    <row r="318" spans="1:8" ht="14.4" x14ac:dyDescent="0.3">
      <c r="A318" s="5">
        <f t="shared" si="8"/>
        <v>311</v>
      </c>
      <c r="B318" s="17" t="s">
        <v>1520</v>
      </c>
      <c r="C318" s="6" t="s">
        <v>143</v>
      </c>
      <c r="D318" s="17" t="s">
        <v>17</v>
      </c>
      <c r="E318" s="17" t="s">
        <v>294</v>
      </c>
      <c r="F318" s="17" t="s">
        <v>60</v>
      </c>
      <c r="G318" s="17">
        <v>80061648</v>
      </c>
      <c r="H318" t="str">
        <f t="shared" si="9"/>
        <v>INSERT INTO `parqueadero`.`vehiculo` (`Oid`, `Placa`, `Medio`, `Tipo`, `Marca`, `Color`, `IdConductor`) VALUES ('311','GJW626','CAMIONETA','COMBUSTIBLE','FORD','GRIS','80061648');</v>
      </c>
    </row>
    <row r="319" spans="1:8" ht="14.4" x14ac:dyDescent="0.3">
      <c r="A319" s="5">
        <f t="shared" si="8"/>
        <v>312</v>
      </c>
      <c r="B319" s="6" t="s">
        <v>1524</v>
      </c>
      <c r="C319" s="6" t="s">
        <v>115</v>
      </c>
      <c r="D319" s="6" t="s">
        <v>17</v>
      </c>
      <c r="E319" s="6" t="s">
        <v>1523</v>
      </c>
      <c r="F319" s="6" t="s">
        <v>1525</v>
      </c>
      <c r="G319" s="6">
        <v>32798171</v>
      </c>
      <c r="H319" t="str">
        <f t="shared" si="9"/>
        <v>INSERT INTO `parqueadero`.`vehiculo` (`Oid`, `Placa`, `Medio`, `Tipo`, `Marca`, `Color`, `IdConductor`) VALUES ('312','EFL417','AUTOMÓVIL','COMBUSTIBLE','MINI COOPER','GRIS RATÓN','32798171');</v>
      </c>
    </row>
    <row r="320" spans="1:8" ht="14.4" x14ac:dyDescent="0.3">
      <c r="A320" s="5">
        <f t="shared" si="8"/>
        <v>313</v>
      </c>
      <c r="B320" s="17" t="s">
        <v>1528</v>
      </c>
      <c r="C320" s="6" t="s">
        <v>143</v>
      </c>
      <c r="D320" s="17" t="s">
        <v>17</v>
      </c>
      <c r="E320" s="17" t="s">
        <v>348</v>
      </c>
      <c r="F320" s="17" t="s">
        <v>24</v>
      </c>
      <c r="G320" s="17">
        <v>4228842</v>
      </c>
      <c r="H320" t="str">
        <f t="shared" si="9"/>
        <v>INSERT INTO `parqueadero`.`vehiculo` (`Oid`, `Placa`, `Medio`, `Tipo`, `Marca`, `Color`, `IdConductor`) VALUES ('313','FPP374','CAMIONETA','COMBUSTIBLE','TOYOTA ','NEGRO','4228842');</v>
      </c>
    </row>
    <row r="321" spans="1:8" ht="14.4" x14ac:dyDescent="0.3">
      <c r="A321" s="5">
        <f t="shared" si="8"/>
        <v>314</v>
      </c>
      <c r="B321" s="6" t="s">
        <v>1531</v>
      </c>
      <c r="C321" s="6" t="s">
        <v>2196</v>
      </c>
      <c r="D321" s="6" t="s">
        <v>17</v>
      </c>
      <c r="E321" s="6" t="s">
        <v>56</v>
      </c>
      <c r="F321" s="6" t="s">
        <v>38</v>
      </c>
      <c r="G321" s="6">
        <v>52707802</v>
      </c>
      <c r="H321" t="str">
        <f t="shared" si="9"/>
        <v>INSERT INTO `parqueadero`.`vehiculo` (`Oid`, `Placa`, `Medio`, `Tipo`, `Marca`, `Color`, `IdConductor`) VALUES ('314','MVR40E','MOTOCICLETA','COMBUSTIBLE','HONDA','VERDE','52707802');</v>
      </c>
    </row>
    <row r="322" spans="1:8" ht="14.4" x14ac:dyDescent="0.3">
      <c r="A322" s="5">
        <f t="shared" si="8"/>
        <v>315</v>
      </c>
      <c r="B322" s="6" t="s">
        <v>1532</v>
      </c>
      <c r="C322" s="6" t="s">
        <v>115</v>
      </c>
      <c r="D322" s="6" t="s">
        <v>17</v>
      </c>
      <c r="E322" s="6" t="s">
        <v>363</v>
      </c>
      <c r="F322" s="6" t="s">
        <v>60</v>
      </c>
      <c r="G322" s="6">
        <v>52707802</v>
      </c>
      <c r="H322" t="str">
        <f t="shared" si="9"/>
        <v>INSERT INTO `parqueadero`.`vehiculo` (`Oid`, `Placa`, `Medio`, `Tipo`, `Marca`, `Color`, `IdConductor`) VALUES ('315','LLS761','AUTOMÓVIL','COMBUSTIBLE','SUSUKI','GRIS','52707802');</v>
      </c>
    </row>
    <row r="323" spans="1:8" ht="14.4" x14ac:dyDescent="0.3">
      <c r="A323" s="5">
        <f t="shared" si="8"/>
        <v>316</v>
      </c>
      <c r="B323" s="6" t="s">
        <v>1535</v>
      </c>
      <c r="C323" s="6" t="s">
        <v>115</v>
      </c>
      <c r="D323" s="6" t="s">
        <v>17</v>
      </c>
      <c r="E323" s="6" t="s">
        <v>116</v>
      </c>
      <c r="F323" s="6" t="s">
        <v>1536</v>
      </c>
      <c r="G323" s="6">
        <v>15958519</v>
      </c>
      <c r="H323" t="str">
        <f t="shared" si="9"/>
        <v>INSERT INTO `parqueadero`.`vehiculo` (`Oid`, `Placa`, `Medio`, `Tipo`, `Marca`, `Color`, `IdConductor`) VALUES ('316','DCC898','AUTOMÓVIL','COMBUSTIBLE','HYUNDAI','VINO TINTO','15958519');</v>
      </c>
    </row>
    <row r="324" spans="1:8" ht="14.4" x14ac:dyDescent="0.3">
      <c r="A324" s="5">
        <f t="shared" si="8"/>
        <v>317</v>
      </c>
      <c r="B324" s="6" t="s">
        <v>1537</v>
      </c>
      <c r="C324" s="6" t="s">
        <v>2196</v>
      </c>
      <c r="D324" s="6" t="s">
        <v>17</v>
      </c>
      <c r="E324" s="6" t="s">
        <v>805</v>
      </c>
      <c r="F324" s="6" t="s">
        <v>44</v>
      </c>
      <c r="G324" s="6">
        <v>15958519</v>
      </c>
      <c r="H324" t="str">
        <f t="shared" si="9"/>
        <v>INSERT INTO `parqueadero`.`vehiculo` (`Oid`, `Placa`, `Medio`, `Tipo`, `Marca`, `Color`, `IdConductor`) VALUES ('317','LQD87C','MOTOCICLETA','COMBUSTIBLE','KYMCO','ROJO','15958519');</v>
      </c>
    </row>
    <row r="325" spans="1:8" ht="14.4" x14ac:dyDescent="0.3">
      <c r="A325" s="5">
        <f t="shared" si="8"/>
        <v>318</v>
      </c>
      <c r="B325" s="6" t="s">
        <v>1541</v>
      </c>
      <c r="C325" s="6" t="s">
        <v>2196</v>
      </c>
      <c r="D325" s="6" t="s">
        <v>17</v>
      </c>
      <c r="E325" s="6" t="s">
        <v>132</v>
      </c>
      <c r="F325" s="6" t="s">
        <v>1542</v>
      </c>
      <c r="G325" s="6">
        <v>1072656830</v>
      </c>
      <c r="H325" t="str">
        <f t="shared" si="9"/>
        <v>INSERT INTO `parqueadero`.`vehiculo` (`Oid`, `Placa`, `Medio`, `Tipo`, `Marca`, `Color`, `IdConductor`) VALUES ('318','LCK17F','MOTOCICLETA','COMBUSTIBLE','BMW','AZUL METALIZADO','1072656830');</v>
      </c>
    </row>
    <row r="326" spans="1:8" ht="14.4" x14ac:dyDescent="0.3">
      <c r="A326" s="5">
        <f t="shared" si="8"/>
        <v>319</v>
      </c>
      <c r="B326" s="6" t="s">
        <v>1544</v>
      </c>
      <c r="C326" s="6" t="s">
        <v>115</v>
      </c>
      <c r="D326" s="6" t="s">
        <v>17</v>
      </c>
      <c r="E326" s="6" t="s">
        <v>1543</v>
      </c>
      <c r="F326" s="6" t="s">
        <v>44</v>
      </c>
      <c r="G326" s="6">
        <v>1072656830</v>
      </c>
      <c r="H326" t="str">
        <f t="shared" si="9"/>
        <v>INSERT INTO `parqueadero`.`vehiculo` (`Oid`, `Placa`, `Medio`, `Tipo`, `Marca`, `Color`, `IdConductor`) VALUES ('319','HFO454','AUTOMÓVIL','COMBUSTIBLE','RENAULT LOGAN','ROJO','1072656830');</v>
      </c>
    </row>
    <row r="327" spans="1:8" ht="14.4" x14ac:dyDescent="0.3">
      <c r="A327" s="5">
        <f t="shared" si="8"/>
        <v>320</v>
      </c>
      <c r="B327" s="6" t="s">
        <v>1548</v>
      </c>
      <c r="C327" s="6" t="s">
        <v>2196</v>
      </c>
      <c r="D327" s="6" t="s">
        <v>17</v>
      </c>
      <c r="E327" s="6" t="s">
        <v>276</v>
      </c>
      <c r="F327" s="6" t="s">
        <v>157</v>
      </c>
      <c r="G327" s="6">
        <v>79926309</v>
      </c>
      <c r="H327" t="str">
        <f t="shared" si="9"/>
        <v>INSERT INTO `parqueadero`.`vehiculo` (`Oid`, `Placa`, `Medio`, `Tipo`, `Marca`, `Color`, `IdConductor`) VALUES ('320','PET56F','MOTOCICLETA','COMBUSTIBLE','SUZUKI','NEGRA','79926309');</v>
      </c>
    </row>
    <row r="328" spans="1:8" ht="14.4" x14ac:dyDescent="0.3">
      <c r="A328" s="5">
        <f t="shared" si="8"/>
        <v>321</v>
      </c>
      <c r="B328" s="6" t="s">
        <v>1552</v>
      </c>
      <c r="C328" s="6" t="s">
        <v>115</v>
      </c>
      <c r="D328" s="6" t="s">
        <v>17</v>
      </c>
      <c r="E328" s="6" t="s">
        <v>123</v>
      </c>
      <c r="F328" s="6" t="s">
        <v>1553</v>
      </c>
      <c r="G328" s="6">
        <v>79652526</v>
      </c>
      <c r="H328" t="str">
        <f t="shared" si="9"/>
        <v>INSERT INTO `parqueadero`.`vehiculo` (`Oid`, `Placa`, `Medio`, `Tipo`, `Marca`, `Color`, `IdConductor`) VALUES ('321','BTI086','AUTOMÓVIL','COMBUSTIBLE','CHEVROLET ','GRIS BRETAÑA','79652526');</v>
      </c>
    </row>
    <row r="329" spans="1:8" ht="14.4" x14ac:dyDescent="0.3">
      <c r="A329" s="5">
        <f t="shared" ref="A329:A392" si="10">ROW()-7</f>
        <v>322</v>
      </c>
      <c r="B329" s="6" t="s">
        <v>1558</v>
      </c>
      <c r="C329" s="6" t="s">
        <v>143</v>
      </c>
      <c r="D329" s="6" t="s">
        <v>17</v>
      </c>
      <c r="E329" s="6" t="s">
        <v>1557</v>
      </c>
      <c r="F329" s="6" t="s">
        <v>238</v>
      </c>
      <c r="G329" s="6">
        <v>63560810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('322','JOU639','CAMIONETA','COMBUSTIBLE','DUSTER','BLANCA','63560810');</v>
      </c>
    </row>
    <row r="330" spans="1:8" ht="14.4" x14ac:dyDescent="0.3">
      <c r="A330" s="5">
        <f t="shared" si="10"/>
        <v>323</v>
      </c>
      <c r="B330" s="17" t="s">
        <v>1564</v>
      </c>
      <c r="C330" s="6" t="s">
        <v>115</v>
      </c>
      <c r="D330" s="17" t="s">
        <v>17</v>
      </c>
      <c r="E330" s="17" t="s">
        <v>1563</v>
      </c>
      <c r="F330" s="17" t="s">
        <v>1565</v>
      </c>
      <c r="G330" s="17">
        <v>1018466744</v>
      </c>
      <c r="H330" t="str">
        <f t="shared" si="11"/>
        <v>INSERT INTO `parqueadero`.`vehiculo` (`Oid`, `Placa`, `Medio`, `Tipo`, `Marca`, `Color`, `IdConductor`) VALUES ('323','EMM895','AUTOMÓVIL','COMBUSTIBLE','NISSAN QASHQAI','ROJO PERLADO','1018466744');</v>
      </c>
    </row>
    <row r="331" spans="1:8" ht="14.4" x14ac:dyDescent="0.3">
      <c r="A331" s="5">
        <f t="shared" si="10"/>
        <v>324</v>
      </c>
      <c r="B331" s="17" t="s">
        <v>1568</v>
      </c>
      <c r="C331" s="6" t="s">
        <v>2196</v>
      </c>
      <c r="D331" s="17" t="s">
        <v>17</v>
      </c>
      <c r="E331" s="17" t="s">
        <v>1567</v>
      </c>
      <c r="F331" s="17" t="s">
        <v>24</v>
      </c>
      <c r="G331" s="17">
        <v>1018466744</v>
      </c>
      <c r="H331" t="str">
        <f t="shared" si="11"/>
        <v>INSERT INTO `parqueadero`.`vehiculo` (`Oid`, `Placa`, `Medio`, `Tipo`, `Marca`, `Color`, `IdConductor`) VALUES ('324','YGT93F','MOTOCICLETA','COMBUSTIBLE','BENELLI TNT 150I','NEGRO','1018466744');</v>
      </c>
    </row>
    <row r="332" spans="1:8" ht="14.4" x14ac:dyDescent="0.3">
      <c r="A332" s="5">
        <f t="shared" si="10"/>
        <v>325</v>
      </c>
      <c r="B332" s="6" t="s">
        <v>1572</v>
      </c>
      <c r="C332" s="6" t="s">
        <v>115</v>
      </c>
      <c r="D332" s="6" t="s">
        <v>17</v>
      </c>
      <c r="E332" s="6" t="s">
        <v>294</v>
      </c>
      <c r="F332" s="6" t="s">
        <v>1258</v>
      </c>
      <c r="G332" s="6">
        <v>80075631</v>
      </c>
      <c r="H332" t="str">
        <f t="shared" si="11"/>
        <v>INSERT INTO `parqueadero`.`vehiculo` (`Oid`, `Placa`, `Medio`, `Tipo`, `Marca`, `Color`, `IdConductor`) VALUES ('325','LTW027','AUTOMÓVIL','COMBUSTIBLE','FORD','PLATA ','80075631');</v>
      </c>
    </row>
    <row r="333" spans="1:8" ht="14.4" x14ac:dyDescent="0.3">
      <c r="A333" s="5">
        <f t="shared" si="10"/>
        <v>326</v>
      </c>
      <c r="B333" s="6" t="s">
        <v>1576</v>
      </c>
      <c r="C333" s="6" t="s">
        <v>2196</v>
      </c>
      <c r="D333" s="6" t="s">
        <v>17</v>
      </c>
      <c r="E333" s="6" t="s">
        <v>1575</v>
      </c>
      <c r="F333" s="6" t="s">
        <v>24</v>
      </c>
      <c r="G333" s="6">
        <v>74282260</v>
      </c>
      <c r="H333" t="str">
        <f t="shared" si="11"/>
        <v>INSERT INTO `parqueadero`.`vehiculo` (`Oid`, `Placa`, `Medio`, `Tipo`, `Marca`, `Color`, `IdConductor`) VALUES ('326','UZY09D','MOTOCICLETA','COMBUSTIBLE','DISCOVERY ','NEGRO','74282260');</v>
      </c>
    </row>
    <row r="334" spans="1:8" ht="14.4" x14ac:dyDescent="0.3">
      <c r="A334" s="5">
        <f t="shared" si="10"/>
        <v>327</v>
      </c>
      <c r="B334" s="6" t="s">
        <v>1578</v>
      </c>
      <c r="C334" s="6" t="s">
        <v>143</v>
      </c>
      <c r="D334" s="6" t="s">
        <v>17</v>
      </c>
      <c r="E334" s="6" t="s">
        <v>1577</v>
      </c>
      <c r="F334" s="6" t="s">
        <v>60</v>
      </c>
      <c r="G334" s="6">
        <v>74282260</v>
      </c>
      <c r="H334" t="str">
        <f t="shared" si="11"/>
        <v>INSERT INTO `parqueadero`.`vehiculo` (`Oid`, `Placa`, `Medio`, `Tipo`, `Marca`, `Color`, `IdConductor`) VALUES ('327','LWM604','CAMIONETA','COMBUSTIBLE','SUBARU FORESTER','GRIS','74282260');</v>
      </c>
    </row>
    <row r="335" spans="1:8" ht="14.4" x14ac:dyDescent="0.3">
      <c r="A335" s="5">
        <f t="shared" si="10"/>
        <v>328</v>
      </c>
      <c r="B335" s="6" t="s">
        <v>1582</v>
      </c>
      <c r="C335" s="6" t="s">
        <v>2196</v>
      </c>
      <c r="D335" s="6" t="s">
        <v>17</v>
      </c>
      <c r="E335" s="6" t="s">
        <v>1422</v>
      </c>
      <c r="F335" s="6" t="s">
        <v>38</v>
      </c>
      <c r="G335" s="6">
        <v>80047722</v>
      </c>
      <c r="H335" t="str">
        <f t="shared" si="11"/>
        <v>INSERT INTO `parqueadero`.`vehiculo` (`Oid`, `Placa`, `Medio`, `Tipo`, `Marca`, `Color`, `IdConductor`) VALUES ('328','HKH77E','MOTOCICLETA','COMBUSTIBLE','BAJAJ','VERDE','80047722');</v>
      </c>
    </row>
    <row r="336" spans="1:8" ht="14.4" x14ac:dyDescent="0.3">
      <c r="A336" s="5">
        <f t="shared" si="10"/>
        <v>329</v>
      </c>
      <c r="B336" s="6" t="s">
        <v>1583</v>
      </c>
      <c r="C336" s="6" t="s">
        <v>115</v>
      </c>
      <c r="D336" s="6" t="s">
        <v>17</v>
      </c>
      <c r="E336" s="6" t="s">
        <v>56</v>
      </c>
      <c r="F336" s="6" t="s">
        <v>44</v>
      </c>
      <c r="G336" s="6">
        <v>80047722</v>
      </c>
      <c r="H336" t="str">
        <f t="shared" si="11"/>
        <v>INSERT INTO `parqueadero`.`vehiculo` (`Oid`, `Placa`, `Medio`, `Tipo`, `Marca`, `Color`, `IdConductor`) VALUES ('329','BUE779','AUTOMÓVIL','COMBUSTIBLE','HONDA','ROJO','80047722');</v>
      </c>
    </row>
    <row r="337" spans="1:8" ht="14.4" x14ac:dyDescent="0.3">
      <c r="A337" s="5">
        <f t="shared" si="10"/>
        <v>330</v>
      </c>
      <c r="B337" s="6" t="s">
        <v>1584</v>
      </c>
      <c r="C337" s="6" t="s">
        <v>2196</v>
      </c>
      <c r="D337" s="6" t="s">
        <v>17</v>
      </c>
      <c r="E337" s="6" t="s">
        <v>701</v>
      </c>
      <c r="F337" s="6" t="s">
        <v>24</v>
      </c>
      <c r="G337" s="6">
        <v>80075631</v>
      </c>
      <c r="H337" t="str">
        <f t="shared" si="11"/>
        <v>INSERT INTO `parqueadero`.`vehiculo` (`Oid`, `Placa`, `Medio`, `Tipo`, `Marca`, `Color`, `IdConductor`) VALUES ('330','HVE88C','MOTOCICLETA','COMBUSTIBLE','YAMAHA','NEGRO','80075631');</v>
      </c>
    </row>
    <row r="338" spans="1:8" ht="14.4" x14ac:dyDescent="0.3">
      <c r="A338" s="5">
        <f t="shared" si="10"/>
        <v>331</v>
      </c>
      <c r="B338" s="6" t="s">
        <v>1587</v>
      </c>
      <c r="C338" s="6" t="s">
        <v>2196</v>
      </c>
      <c r="D338" s="6" t="s">
        <v>17</v>
      </c>
      <c r="E338" s="6" t="s">
        <v>670</v>
      </c>
      <c r="F338" s="6" t="s">
        <v>1588</v>
      </c>
      <c r="G338" s="6">
        <v>1018431754</v>
      </c>
      <c r="H338" t="str">
        <f t="shared" si="11"/>
        <v>INSERT INTO `parqueadero`.`vehiculo` (`Oid`, `Placa`, `Medio`, `Tipo`, `Marca`, `Color`, `IdConductor`) VALUES ('331','PGQ89H','MOTOCICLETA','COMBUSTIBLE','TRIUMPH','ROJO/NEGRO','1018431754');</v>
      </c>
    </row>
    <row r="339" spans="1:8" ht="14.4" x14ac:dyDescent="0.3">
      <c r="A339" s="5">
        <f t="shared" si="10"/>
        <v>332</v>
      </c>
      <c r="B339" s="6" t="s">
        <v>1589</v>
      </c>
      <c r="C339" s="6" t="s">
        <v>115</v>
      </c>
      <c r="D339" s="6" t="s">
        <v>129</v>
      </c>
      <c r="E339" s="6" t="s">
        <v>22</v>
      </c>
      <c r="F339" s="6" t="s">
        <v>44</v>
      </c>
      <c r="G339" s="6">
        <v>1018431754</v>
      </c>
      <c r="H339" t="str">
        <f t="shared" si="11"/>
        <v>INSERT INTO `parqueadero`.`vehiculo` (`Oid`, `Placa`, `Medio`, `Tipo`, `Marca`, `Color`, `IdConductor`) VALUES ('332','LOU019','AUTOMÓVIL','ELÉCTRICO','BYD','ROJO','1018431754');</v>
      </c>
    </row>
    <row r="340" spans="1:8" ht="14.4" x14ac:dyDescent="0.3">
      <c r="A340" s="5">
        <f t="shared" si="10"/>
        <v>333</v>
      </c>
      <c r="B340" s="6" t="s">
        <v>1592</v>
      </c>
      <c r="C340" s="6" t="s">
        <v>2196</v>
      </c>
      <c r="D340" s="6" t="s">
        <v>17</v>
      </c>
      <c r="E340" s="6" t="s">
        <v>1591</v>
      </c>
      <c r="F340" s="6" t="s">
        <v>177</v>
      </c>
      <c r="G340" s="6">
        <v>1015466109</v>
      </c>
      <c r="H340" t="str">
        <f t="shared" si="11"/>
        <v>INSERT INTO `parqueadero`.`vehiculo` (`Oid`, `Placa`, `Medio`, `Tipo`, `Marca`, `Color`, `IdConductor`) VALUES ('333','HIE19G','MOTOCICLETA','COMBUSTIBLE','BAJAJ DOMINAR','NEGRO ','1015466109');</v>
      </c>
    </row>
    <row r="341" spans="1:8" ht="14.4" x14ac:dyDescent="0.3">
      <c r="A341" s="5">
        <f t="shared" si="10"/>
        <v>334</v>
      </c>
      <c r="B341" s="6" t="s">
        <v>1596</v>
      </c>
      <c r="C341" s="6" t="s">
        <v>115</v>
      </c>
      <c r="D341" s="6" t="s">
        <v>17</v>
      </c>
      <c r="E341" s="6" t="s">
        <v>1595</v>
      </c>
      <c r="F341" s="6" t="s">
        <v>24</v>
      </c>
      <c r="G341" s="6">
        <v>51975445</v>
      </c>
      <c r="H341" t="str">
        <f t="shared" si="11"/>
        <v>INSERT INTO `parqueadero`.`vehiculo` (`Oid`, `Placa`, `Medio`, `Tipo`, `Marca`, `Color`, `IdConductor`) VALUES ('334','DBH553','AUTOMÓVIL','COMBUSTIBLE','KIA ','NEGRO','51975445');</v>
      </c>
    </row>
    <row r="342" spans="1:8" ht="14.4" x14ac:dyDescent="0.3">
      <c r="A342" s="5">
        <f t="shared" si="10"/>
        <v>335</v>
      </c>
      <c r="B342" s="6" t="s">
        <v>1601</v>
      </c>
      <c r="C342" s="6" t="s">
        <v>2196</v>
      </c>
      <c r="D342" s="6" t="s">
        <v>17</v>
      </c>
      <c r="E342" s="6" t="s">
        <v>1600</v>
      </c>
      <c r="F342" s="6" t="s">
        <v>1602</v>
      </c>
      <c r="G342" s="6">
        <v>1075624493</v>
      </c>
      <c r="H342" t="str">
        <f t="shared" si="11"/>
        <v>INSERT INTO `parqueadero`.`vehiculo` (`Oid`, `Placa`, `Medio`, `Tipo`, `Marca`, `Color`, `IdConductor`) VALUES ('335','IWW58H','MOTOCICLETA','COMBUSTIBLE','KTM DUKE 390','AZUL/GRIS','1075624493');</v>
      </c>
    </row>
    <row r="343" spans="1:8" ht="14.4" x14ac:dyDescent="0.3">
      <c r="A343" s="5">
        <f t="shared" si="10"/>
        <v>336</v>
      </c>
      <c r="B343" s="6" t="s">
        <v>1604</v>
      </c>
      <c r="C343" s="6" t="s">
        <v>143</v>
      </c>
      <c r="D343" s="6" t="s">
        <v>17</v>
      </c>
      <c r="E343" s="6" t="s">
        <v>1603</v>
      </c>
      <c r="F343" s="6" t="s">
        <v>1605</v>
      </c>
      <c r="G343" s="6">
        <v>1075624493</v>
      </c>
      <c r="H343" t="str">
        <f t="shared" si="11"/>
        <v>INSERT INTO `parqueadero`.`vehiculo` (`Oid`, `Placa`, `Medio`, `Tipo`, `Marca`, `Color`, `IdConductor`) VALUES ('336','PUL897','CAMIONETA','COMBUSTIBLE','KIA K3','GRIS/PLATA','1075624493');</v>
      </c>
    </row>
    <row r="344" spans="1:8" ht="14.4" x14ac:dyDescent="0.3">
      <c r="A344" s="5">
        <f t="shared" si="10"/>
        <v>337</v>
      </c>
      <c r="B344" s="6" t="s">
        <v>1610</v>
      </c>
      <c r="C344" s="6" t="s">
        <v>2196</v>
      </c>
      <c r="D344" s="6" t="s">
        <v>17</v>
      </c>
      <c r="E344" s="6" t="s">
        <v>1609</v>
      </c>
      <c r="F344" s="6" t="s">
        <v>24</v>
      </c>
      <c r="G344" s="6">
        <v>1013577285</v>
      </c>
      <c r="H344" t="str">
        <f t="shared" si="11"/>
        <v>INSERT INTO `parqueadero`.`vehiculo` (`Oid`, `Placa`, `Medio`, `Tipo`, `Marca`, `Color`, `IdConductor`) VALUES ('337','GMG67E','MOTOCICLETA','COMBUSTIBLE','TVS APACHE','NEGRO','1013577285');</v>
      </c>
    </row>
    <row r="345" spans="1:8" ht="14.4" x14ac:dyDescent="0.3">
      <c r="A345" s="5">
        <f t="shared" si="10"/>
        <v>338</v>
      </c>
      <c r="B345" s="6" t="s">
        <v>1611</v>
      </c>
      <c r="C345" s="6" t="s">
        <v>143</v>
      </c>
      <c r="D345" s="6" t="s">
        <v>17</v>
      </c>
      <c r="E345" s="6" t="s">
        <v>1200</v>
      </c>
      <c r="F345" s="6" t="s">
        <v>248</v>
      </c>
      <c r="G345" s="6">
        <v>1013577285</v>
      </c>
      <c r="H345" t="str">
        <f t="shared" si="11"/>
        <v>INSERT INTO `parqueadero`.`vehiculo` (`Oid`, `Placa`, `Medio`, `Tipo`, `Marca`, `Color`, `IdConductor`) VALUES ('338','RHZ663','CAMIONETA','COMBUSTIBLE','CHEVROLET CAPTIVA','GRIS PLATA','1013577285');</v>
      </c>
    </row>
    <row r="346" spans="1:8" ht="14.4" x14ac:dyDescent="0.3">
      <c r="A346" s="5">
        <f t="shared" si="10"/>
        <v>339</v>
      </c>
      <c r="B346" s="6" t="s">
        <v>1615</v>
      </c>
      <c r="C346" s="6" t="s">
        <v>143</v>
      </c>
      <c r="D346" s="6" t="s">
        <v>253</v>
      </c>
      <c r="E346" s="6" t="s">
        <v>294</v>
      </c>
      <c r="F346" s="6" t="s">
        <v>60</v>
      </c>
      <c r="G346" s="6">
        <v>1018437843</v>
      </c>
      <c r="H346" t="str">
        <f t="shared" si="11"/>
        <v>INSERT INTO `parqueadero`.`vehiculo` (`Oid`, `Placa`, `Medio`, `Tipo`, `Marca`, `Color`, `IdConductor`) VALUES ('339','DQN051','CAMIONETA','HÍBRIDO','FORD','GRIS','1018437843');</v>
      </c>
    </row>
    <row r="347" spans="1:8" ht="14.4" x14ac:dyDescent="0.3">
      <c r="A347" s="5">
        <f t="shared" si="10"/>
        <v>340</v>
      </c>
      <c r="B347" s="6" t="s">
        <v>1620</v>
      </c>
      <c r="C347" s="6" t="s">
        <v>115</v>
      </c>
      <c r="D347" s="6" t="s">
        <v>17</v>
      </c>
      <c r="E347" s="6" t="s">
        <v>56</v>
      </c>
      <c r="F347" s="6" t="s">
        <v>44</v>
      </c>
      <c r="G347" s="6">
        <v>1010196411</v>
      </c>
      <c r="H347" t="str">
        <f t="shared" si="11"/>
        <v>INSERT INTO `parqueadero`.`vehiculo` (`Oid`, `Placa`, `Medio`, `Tipo`, `Marca`, `Color`, `IdConductor`) VALUES ('340','BCG853','AUTOMÓVIL','COMBUSTIBLE','HONDA','ROJO','1010196411');</v>
      </c>
    </row>
    <row r="348" spans="1:8" ht="14.4" x14ac:dyDescent="0.3">
      <c r="A348" s="5">
        <f t="shared" si="10"/>
        <v>341</v>
      </c>
      <c r="B348" s="6" t="s">
        <v>1625</v>
      </c>
      <c r="C348" s="6" t="s">
        <v>115</v>
      </c>
      <c r="D348" s="6" t="s">
        <v>17</v>
      </c>
      <c r="E348" s="6" t="s">
        <v>1624</v>
      </c>
      <c r="F348" s="6" t="s">
        <v>725</v>
      </c>
      <c r="G348" s="6">
        <v>1015466109</v>
      </c>
      <c r="H348" t="str">
        <f t="shared" si="11"/>
        <v>INSERT INTO `parqueadero`.`vehiculo` (`Oid`, `Placa`, `Medio`, `Tipo`, `Marca`, `Color`, `IdConductor`) VALUES ('341','DNT647','AUTOMÓVIL','COMBUSTIBLE','CHEVROLET SAIL ','ROJO ','1015466109');</v>
      </c>
    </row>
    <row r="349" spans="1:8" ht="14.4" x14ac:dyDescent="0.3">
      <c r="A349" s="5">
        <f t="shared" si="10"/>
        <v>342</v>
      </c>
      <c r="B349" s="6" t="s">
        <v>1630</v>
      </c>
      <c r="C349" s="6" t="s">
        <v>115</v>
      </c>
      <c r="D349" s="6" t="s">
        <v>253</v>
      </c>
      <c r="E349" s="6" t="s">
        <v>1629</v>
      </c>
      <c r="F349" s="6" t="s">
        <v>1171</v>
      </c>
      <c r="G349" s="6">
        <v>1085296515</v>
      </c>
      <c r="H349" t="str">
        <f t="shared" si="11"/>
        <v>INSERT INTO `parqueadero`.`vehiculo` (`Oid`, `Placa`, `Medio`, `Tipo`, `Marca`, `Color`, `IdConductor`) VALUES ('342','NFX124','AUTOMÓVIL','HÍBRIDO','SUZUKI SWIFT HIBRIDO','GRIS PERLA','1085296515');</v>
      </c>
    </row>
    <row r="350" spans="1:8" ht="14.4" x14ac:dyDescent="0.3">
      <c r="A350" s="5">
        <f t="shared" si="10"/>
        <v>343</v>
      </c>
      <c r="B350" s="6" t="s">
        <v>1635</v>
      </c>
      <c r="C350" s="6" t="s">
        <v>143</v>
      </c>
      <c r="D350" s="6" t="s">
        <v>129</v>
      </c>
      <c r="E350" s="6" t="s">
        <v>22</v>
      </c>
      <c r="F350" s="6" t="s">
        <v>66</v>
      </c>
      <c r="G350" s="6">
        <v>52916779</v>
      </c>
      <c r="H350" t="str">
        <f t="shared" si="11"/>
        <v>INSERT INTO `parqueadero`.`vehiculo` (`Oid`, `Placa`, `Medio`, `Tipo`, `Marca`, `Color`, `IdConductor`) VALUES ('343','PZX788','CAMIONETA','ELÉCTRICO','BYD','BLANCO','52916779');</v>
      </c>
    </row>
    <row r="351" spans="1:8" ht="14.4" x14ac:dyDescent="0.3">
      <c r="A351" s="5">
        <f t="shared" si="10"/>
        <v>344</v>
      </c>
      <c r="B351" s="6" t="s">
        <v>1640</v>
      </c>
      <c r="C351" s="6" t="s">
        <v>143</v>
      </c>
      <c r="D351" s="6" t="s">
        <v>17</v>
      </c>
      <c r="E351" s="6" t="s">
        <v>1639</v>
      </c>
      <c r="F351" s="6" t="s">
        <v>166</v>
      </c>
      <c r="G351" s="6">
        <v>79507738</v>
      </c>
      <c r="H351" t="str">
        <f t="shared" si="11"/>
        <v>INSERT INTO `parqueadero`.`vehiculo` (`Oid`, `Placa`, `Medio`, `Tipo`, `Marca`, `Color`, `IdConductor`) VALUES ('344','EJT705','CAMIONETA','COMBUSTIBLE','HONDA CRV','GRIS OSCURO','79507738');</v>
      </c>
    </row>
    <row r="352" spans="1:8" ht="14.4" x14ac:dyDescent="0.3">
      <c r="A352" s="5">
        <f t="shared" si="10"/>
        <v>345</v>
      </c>
      <c r="B352" s="6" t="s">
        <v>1644</v>
      </c>
      <c r="C352" s="6" t="s">
        <v>143</v>
      </c>
      <c r="D352" s="6" t="s">
        <v>17</v>
      </c>
      <c r="E352" s="6" t="s">
        <v>164</v>
      </c>
      <c r="F352" s="6" t="s">
        <v>52</v>
      </c>
      <c r="G352" s="6">
        <v>79645809</v>
      </c>
      <c r="H352" t="str">
        <f t="shared" si="11"/>
        <v>INSERT INTO `parqueadero`.`vehiculo` (`Oid`, `Placa`, `Medio`, `Tipo`, `Marca`, `Color`, `IdConductor`) VALUES ('345','MCP475','CAMIONETA','COMBUSTIBLE','KIA','PLATA','79645809');</v>
      </c>
    </row>
    <row r="353" spans="1:8" ht="14.4" x14ac:dyDescent="0.3">
      <c r="A353" s="5">
        <f t="shared" si="10"/>
        <v>346</v>
      </c>
      <c r="B353" s="6" t="s">
        <v>1645</v>
      </c>
      <c r="C353" s="6" t="s">
        <v>2196</v>
      </c>
      <c r="D353" s="6" t="s">
        <v>17</v>
      </c>
      <c r="E353" s="6" t="s">
        <v>276</v>
      </c>
      <c r="F353" s="6" t="s">
        <v>1646</v>
      </c>
      <c r="G353" s="6">
        <v>79645809</v>
      </c>
      <c r="H353" t="str">
        <f t="shared" si="11"/>
        <v>INSERT INTO `parqueadero`.`vehiculo` (`Oid`, `Placa`, `Medio`, `Tipo`, `Marca`, `Color`, `IdConductor`) VALUES ('346','RBH01C','MOTOCICLETA','COMBUSTIBLE','SUZUKI','NARANJA','79645809');</v>
      </c>
    </row>
    <row r="354" spans="1:8" ht="14.4" x14ac:dyDescent="0.3">
      <c r="A354" s="5">
        <f t="shared" si="10"/>
        <v>347</v>
      </c>
      <c r="B354" s="6" t="s">
        <v>1648</v>
      </c>
      <c r="C354" s="6" t="s">
        <v>2196</v>
      </c>
      <c r="D354" s="6" t="s">
        <v>17</v>
      </c>
      <c r="E354" s="6" t="s">
        <v>805</v>
      </c>
      <c r="F354" s="6" t="s">
        <v>24</v>
      </c>
      <c r="G354" s="6">
        <v>79652526</v>
      </c>
      <c r="H354" t="str">
        <f t="shared" si="11"/>
        <v>INSERT INTO `parqueadero`.`vehiculo` (`Oid`, `Placa`, `Medio`, `Tipo`, `Marca`, `Color`, `IdConductor`) VALUES ('347','LOW27C','MOTOCICLETA','COMBUSTIBLE','KYMCO','NEGRO','79652526');</v>
      </c>
    </row>
    <row r="355" spans="1:8" ht="14.4" x14ac:dyDescent="0.3">
      <c r="A355" s="5">
        <f t="shared" si="10"/>
        <v>348</v>
      </c>
      <c r="B355" s="6" t="s">
        <v>1654</v>
      </c>
      <c r="C355" s="6" t="s">
        <v>115</v>
      </c>
      <c r="D355" s="6" t="s">
        <v>17</v>
      </c>
      <c r="E355" s="6" t="s">
        <v>1333</v>
      </c>
      <c r="F355" s="6" t="s">
        <v>44</v>
      </c>
      <c r="G355" s="6">
        <v>1014307682</v>
      </c>
      <c r="H355" t="str">
        <f t="shared" si="11"/>
        <v>INSERT INTO `parqueadero`.`vehiculo` (`Oid`, `Placa`, `Medio`, `Tipo`, `Marca`, `Color`, `IdConductor`) VALUES ('348','BYC674','AUTOMÓVIL','COMBUSTIBLE','PEUGEOT','ROJO','1014307682');</v>
      </c>
    </row>
    <row r="356" spans="1:8" ht="14.4" x14ac:dyDescent="0.3">
      <c r="A356" s="5">
        <f t="shared" si="10"/>
        <v>349</v>
      </c>
      <c r="B356" s="6" t="s">
        <v>1658</v>
      </c>
      <c r="C356" s="6" t="s">
        <v>143</v>
      </c>
      <c r="D356" s="6" t="s">
        <v>17</v>
      </c>
      <c r="E356" s="6" t="s">
        <v>214</v>
      </c>
      <c r="F356" s="6" t="s">
        <v>1083</v>
      </c>
      <c r="G356" s="6">
        <v>1023010822</v>
      </c>
      <c r="H356" t="str">
        <f t="shared" si="11"/>
        <v>INSERT INTO `parqueadero`.`vehiculo` (`Oid`, `Placa`, `Medio`, `Tipo`, `Marca`, `Color`, `IdConductor`) VALUES ('349','ABR967','CAMIONETA','COMBUSTIBLE','CHEVROLET TRACKER','GRIS TECHNO','1023010822');</v>
      </c>
    </row>
    <row r="357" spans="1:8" ht="14.4" x14ac:dyDescent="0.3">
      <c r="A357" s="5">
        <f t="shared" si="10"/>
        <v>350</v>
      </c>
      <c r="B357" s="6" t="s">
        <v>1659</v>
      </c>
      <c r="C357" s="6" t="s">
        <v>143</v>
      </c>
      <c r="D357" s="6" t="s">
        <v>17</v>
      </c>
      <c r="E357" s="6" t="s">
        <v>132</v>
      </c>
      <c r="F357" s="6" t="s">
        <v>30</v>
      </c>
      <c r="G357" s="6">
        <v>79751974</v>
      </c>
      <c r="H357" t="str">
        <f t="shared" si="11"/>
        <v>INSERT INTO `parqueadero`.`vehiculo` (`Oid`, `Placa`, `Medio`, `Tipo`, `Marca`, `Color`, `IdConductor`) VALUES ('350','NXQ369','CAMIONETA','COMBUSTIBLE','BMW','PENDIENTE','79751974');</v>
      </c>
    </row>
    <row r="358" spans="1:8" ht="14.4" x14ac:dyDescent="0.3">
      <c r="A358" s="5">
        <f t="shared" si="10"/>
        <v>351</v>
      </c>
      <c r="B358" s="6" t="s">
        <v>1663</v>
      </c>
      <c r="C358" s="6" t="s">
        <v>115</v>
      </c>
      <c r="D358" s="6" t="s">
        <v>17</v>
      </c>
      <c r="E358" s="6" t="s">
        <v>1662</v>
      </c>
      <c r="F358" s="6" t="s">
        <v>18</v>
      </c>
      <c r="G358" s="6">
        <v>79334791</v>
      </c>
      <c r="H358" t="str">
        <f t="shared" si="11"/>
        <v>INSERT INTO `parqueadero`.`vehiculo` (`Oid`, `Placa`, `Medio`, `Tipo`, `Marca`, `Color`, `IdConductor`) VALUES ('351','CUP251','AUTOMÓVIL','COMBUSTIBLE','BMW 525i','AZUL','79334791');</v>
      </c>
    </row>
    <row r="359" spans="1:8" ht="14.4" x14ac:dyDescent="0.3">
      <c r="A359" s="5">
        <f t="shared" si="10"/>
        <v>352</v>
      </c>
      <c r="B359" s="6" t="s">
        <v>1669</v>
      </c>
      <c r="C359" s="6" t="s">
        <v>115</v>
      </c>
      <c r="D359" s="6" t="s">
        <v>129</v>
      </c>
      <c r="E359" s="6" t="s">
        <v>1668</v>
      </c>
      <c r="F359" s="6" t="s">
        <v>38</v>
      </c>
      <c r="G359" s="6">
        <v>79553690</v>
      </c>
      <c r="H359" t="str">
        <f t="shared" si="11"/>
        <v>INSERT INTO `parqueadero`.`vehiculo` (`Oid`, `Placa`, `Medio`, `Tipo`, `Marca`, `Color`, `IdConductor`) VALUES ('352','PZP227','AUTOMÓVIL','ELÉCTRICO','JAC E30X','VERDE','79553690');</v>
      </c>
    </row>
    <row r="360" spans="1:8" ht="14.4" x14ac:dyDescent="0.3">
      <c r="A360" s="5">
        <f t="shared" si="10"/>
        <v>353</v>
      </c>
      <c r="B360" s="6" t="s">
        <v>1670</v>
      </c>
      <c r="C360" s="6" t="s">
        <v>115</v>
      </c>
      <c r="D360" s="6" t="s">
        <v>129</v>
      </c>
      <c r="E360" s="6" t="s">
        <v>1374</v>
      </c>
      <c r="F360" s="6" t="s">
        <v>66</v>
      </c>
      <c r="G360" s="6">
        <v>79553690</v>
      </c>
      <c r="H360" t="str">
        <f t="shared" si="11"/>
        <v>INSERT INTO `parqueadero`.`vehiculo` (`Oid`, `Placa`, `Medio`, `Tipo`, `Marca`, `Color`, `IdConductor`) VALUES ('353','PBM692','AUTOMÓVIL','ELÉCTRICO','BYD SEAGULL','BLANCO','79553690');</v>
      </c>
    </row>
    <row r="361" spans="1:8" ht="14.4" x14ac:dyDescent="0.3">
      <c r="A361" s="5">
        <f t="shared" si="10"/>
        <v>354</v>
      </c>
      <c r="B361" s="6" t="s">
        <v>1671</v>
      </c>
      <c r="C361" s="6" t="s">
        <v>115</v>
      </c>
      <c r="D361" s="6" t="s">
        <v>17</v>
      </c>
      <c r="E361" s="6" t="s">
        <v>123</v>
      </c>
      <c r="F361" s="6" t="s">
        <v>24</v>
      </c>
      <c r="G361" s="6">
        <v>79941715</v>
      </c>
      <c r="H361" t="str">
        <f t="shared" si="11"/>
        <v>INSERT INTO `parqueadero`.`vehiculo` (`Oid`, `Placa`, `Medio`, `Tipo`, `Marca`, `Color`, `IdConductor`) VALUES ('354','RDU359','AUTOMÓVIL','COMBUSTIBLE','CHEVROLET ','NEGRO','79941715');</v>
      </c>
    </row>
    <row r="362" spans="1:8" ht="14.4" x14ac:dyDescent="0.3">
      <c r="A362" s="5">
        <f t="shared" si="10"/>
        <v>355</v>
      </c>
      <c r="B362" s="6" t="s">
        <v>1674</v>
      </c>
      <c r="C362" s="6" t="s">
        <v>143</v>
      </c>
      <c r="D362" s="6" t="s">
        <v>17</v>
      </c>
      <c r="E362" s="6" t="s">
        <v>58</v>
      </c>
      <c r="F362" s="6" t="s">
        <v>60</v>
      </c>
      <c r="G362" s="6">
        <v>79756400</v>
      </c>
      <c r="H362" t="str">
        <f t="shared" si="11"/>
        <v>INSERT INTO `parqueadero`.`vehiculo` (`Oid`, `Placa`, `Medio`, `Tipo`, `Marca`, `Color`, `IdConductor`) VALUES ('355','MHW775','CAMIONETA','COMBUSTIBLE','CHEVROLET','GRIS','79756400');</v>
      </c>
    </row>
    <row r="363" spans="1:8" ht="14.4" x14ac:dyDescent="0.3">
      <c r="A363" s="5">
        <f t="shared" si="10"/>
        <v>356</v>
      </c>
      <c r="B363" s="6" t="s">
        <v>1679</v>
      </c>
      <c r="C363" s="6" t="s">
        <v>143</v>
      </c>
      <c r="D363" s="6" t="s">
        <v>129</v>
      </c>
      <c r="E363" s="6" t="s">
        <v>1678</v>
      </c>
      <c r="F363" s="6" t="s">
        <v>1680</v>
      </c>
      <c r="G363" s="6">
        <v>80135858</v>
      </c>
      <c r="H363" t="str">
        <f t="shared" si="11"/>
        <v>INSERT INTO `parqueadero`.`vehiculo` (`Oid`, `Placa`, `Medio`, `Tipo`, `Marca`, `Color`, `IdConductor`) VALUES ('356','PHQ308','CAMIONETA','ELÉCTRICO','BMW IX1','GRIS METALIZADO','80135858');</v>
      </c>
    </row>
    <row r="364" spans="1:8" ht="14.4" x14ac:dyDescent="0.3">
      <c r="A364" s="5">
        <f t="shared" si="10"/>
        <v>357</v>
      </c>
      <c r="B364" s="6" t="s">
        <v>1684</v>
      </c>
      <c r="C364" s="6" t="s">
        <v>115</v>
      </c>
      <c r="D364" s="6" t="s">
        <v>17</v>
      </c>
      <c r="E364" s="6" t="s">
        <v>304</v>
      </c>
      <c r="F364" s="6" t="s">
        <v>34</v>
      </c>
      <c r="G364" s="6">
        <v>79841486</v>
      </c>
      <c r="H364" t="str">
        <f t="shared" si="11"/>
        <v>INSERT INTO `parqueadero`.`vehiculo` (`Oid`, `Placa`, `Medio`, `Tipo`, `Marca`, `Color`, `IdConductor`) VALUES ('357','FNS114','AUTOMÓVIL','COMBUSTIBLE','RENAULT','BEIGE','79841486');</v>
      </c>
    </row>
    <row r="365" spans="1:8" ht="14.4" x14ac:dyDescent="0.3">
      <c r="A365" s="5">
        <f t="shared" si="10"/>
        <v>358</v>
      </c>
      <c r="B365" s="6" t="s">
        <v>1687</v>
      </c>
      <c r="C365" s="6" t="s">
        <v>115</v>
      </c>
      <c r="D365" s="6" t="s">
        <v>17</v>
      </c>
      <c r="E365" s="6" t="s">
        <v>1465</v>
      </c>
      <c r="F365" s="6" t="s">
        <v>60</v>
      </c>
      <c r="G365" s="6">
        <v>79316881</v>
      </c>
      <c r="H365" t="str">
        <f t="shared" si="11"/>
        <v>INSERT INTO `parqueadero`.`vehiculo` (`Oid`, `Placa`, `Medio`, `Tipo`, `Marca`, `Color`, `IdConductor`) VALUES ('358','PYN474','AUTOMÓVIL','COMBUSTIBLE','VOLKSWAGEN JETTA','GRIS','79316881');</v>
      </c>
    </row>
    <row r="366" spans="1:8" ht="14.4" x14ac:dyDescent="0.3">
      <c r="A366" s="5">
        <f t="shared" si="10"/>
        <v>359</v>
      </c>
      <c r="B366" s="6" t="s">
        <v>1691</v>
      </c>
      <c r="C366" s="6" t="s">
        <v>143</v>
      </c>
      <c r="D366" s="6" t="s">
        <v>17</v>
      </c>
      <c r="E366" s="6" t="s">
        <v>75</v>
      </c>
      <c r="F366" s="6" t="s">
        <v>60</v>
      </c>
      <c r="G366" s="6">
        <v>80202549</v>
      </c>
      <c r="H366" t="str">
        <f t="shared" si="11"/>
        <v>INSERT INTO `parqueadero`.`vehiculo` (`Oid`, `Placa`, `Medio`, `Tipo`, `Marca`, `Color`, `IdConductor`) VALUES ('359','IMT897','CAMIONETA','COMBUSTIBLE','MAZDA','GRIS','80202549');</v>
      </c>
    </row>
    <row r="367" spans="1:8" ht="14.4" x14ac:dyDescent="0.3">
      <c r="A367" s="5">
        <f t="shared" si="10"/>
        <v>360</v>
      </c>
      <c r="B367" s="6" t="s">
        <v>1695</v>
      </c>
      <c r="C367" s="6" t="s">
        <v>143</v>
      </c>
      <c r="D367" s="6" t="s">
        <v>253</v>
      </c>
      <c r="E367" s="6" t="s">
        <v>64</v>
      </c>
      <c r="F367" s="6" t="s">
        <v>66</v>
      </c>
      <c r="G367" s="6">
        <v>1110466592</v>
      </c>
      <c r="H367" t="str">
        <f t="shared" si="11"/>
        <v>INSERT INTO `parqueadero`.`vehiculo` (`Oid`, `Placa`, `Medio`, `Tipo`, `Marca`, `Color`, `IdConductor`) VALUES ('360','PDV885','CAMIONETA','HÍBRIDO','TOYOTA','BLANCO','1110466592');</v>
      </c>
    </row>
    <row r="368" spans="1:8" ht="14.4" x14ac:dyDescent="0.3">
      <c r="A368" s="5">
        <f t="shared" si="10"/>
        <v>361</v>
      </c>
      <c r="B368" s="6" t="s">
        <v>1699</v>
      </c>
      <c r="C368" s="6" t="s">
        <v>143</v>
      </c>
      <c r="D368" s="6" t="s">
        <v>17</v>
      </c>
      <c r="E368" s="6" t="s">
        <v>491</v>
      </c>
      <c r="F368" s="6" t="s">
        <v>66</v>
      </c>
      <c r="G368" s="6">
        <v>19272805</v>
      </c>
      <c r="H368" t="str">
        <f t="shared" si="11"/>
        <v>INSERT INTO `parqueadero`.`vehiculo` (`Oid`, `Placa`, `Medio`, `Tipo`, `Marca`, `Color`, `IdConductor`) VALUES ('361','WOX644','CAMIONETA','COMBUSTIBLE','RENAULT DUSTER','BLANCO','19272805');</v>
      </c>
    </row>
    <row r="369" spans="1:8" ht="14.4" x14ac:dyDescent="0.3">
      <c r="A369" s="5">
        <f t="shared" si="10"/>
        <v>362</v>
      </c>
      <c r="B369" s="6" t="s">
        <v>1704</v>
      </c>
      <c r="C369" s="6" t="s">
        <v>2196</v>
      </c>
      <c r="D369" s="6" t="s">
        <v>17</v>
      </c>
      <c r="E369" s="6" t="s">
        <v>1703</v>
      </c>
      <c r="F369" s="6" t="s">
        <v>18</v>
      </c>
      <c r="G369" s="6">
        <v>52308946</v>
      </c>
      <c r="H369" t="str">
        <f t="shared" si="11"/>
        <v>INSERT INTO `parqueadero`.`vehiculo` (`Oid`, `Placa`, `Medio`, `Tipo`, `Marca`, `Color`, `IdConductor`) VALUES ('362','XHI05H','MOTOCICLETA','COMBUSTIBLE','TVS RAIDER','AZUL','52308946');</v>
      </c>
    </row>
    <row r="370" spans="1:8" ht="14.4" x14ac:dyDescent="0.3">
      <c r="A370" s="5">
        <f t="shared" si="10"/>
        <v>363</v>
      </c>
      <c r="B370" s="6" t="s">
        <v>1708</v>
      </c>
      <c r="C370" s="6" t="s">
        <v>2196</v>
      </c>
      <c r="D370" s="6" t="s">
        <v>17</v>
      </c>
      <c r="E370" s="6" t="s">
        <v>1707</v>
      </c>
      <c r="F370" s="6" t="s">
        <v>18</v>
      </c>
      <c r="G370" s="6">
        <v>1031166153</v>
      </c>
      <c r="H370" t="str">
        <f t="shared" si="11"/>
        <v>INSERT INTO `parqueadero`.`vehiculo` (`Oid`, `Placa`, `Medio`, `Tipo`, `Marca`, `Color`, `IdConductor`) VALUES ('363','PEM28F','MOTOCICLETA','COMBUSTIBLE','SUSUKI GIXXER','AZUL','1031166153');</v>
      </c>
    </row>
    <row r="371" spans="1:8" ht="14.4" x14ac:dyDescent="0.3">
      <c r="A371" s="5">
        <f t="shared" si="10"/>
        <v>364</v>
      </c>
      <c r="B371" s="6" t="s">
        <v>1711</v>
      </c>
      <c r="C371" s="6" t="s">
        <v>143</v>
      </c>
      <c r="D371" s="6" t="s">
        <v>17</v>
      </c>
      <c r="E371" s="6" t="s">
        <v>64</v>
      </c>
      <c r="F371" s="6" t="s">
        <v>60</v>
      </c>
      <c r="G371" s="6">
        <v>91523898</v>
      </c>
      <c r="H371" t="str">
        <f t="shared" si="11"/>
        <v>INSERT INTO `parqueadero`.`vehiculo` (`Oid`, `Placa`, `Medio`, `Tipo`, `Marca`, `Color`, `IdConductor`) VALUES ('364','KMY141','CAMIONETA','COMBUSTIBLE','TOYOTA','GRIS','91523898');</v>
      </c>
    </row>
    <row r="372" spans="1:8" ht="14.4" x14ac:dyDescent="0.3">
      <c r="A372" s="5">
        <f t="shared" si="10"/>
        <v>365</v>
      </c>
      <c r="B372" s="6" t="s">
        <v>1712</v>
      </c>
      <c r="C372" s="6" t="s">
        <v>115</v>
      </c>
      <c r="D372" s="6" t="s">
        <v>129</v>
      </c>
      <c r="E372" s="6" t="s">
        <v>22</v>
      </c>
      <c r="F372" s="6" t="s">
        <v>66</v>
      </c>
      <c r="G372" s="6">
        <v>32798171</v>
      </c>
      <c r="H372" t="str">
        <f t="shared" si="11"/>
        <v>INSERT INTO `parqueadero`.`vehiculo` (`Oid`, `Placa`, `Medio`, `Tipo`, `Marca`, `Color`, `IdConductor`) VALUES ('365','NJU676','AUTOMÓVIL','ELÉCTRICO','BYD','BLANCO','32798171');</v>
      </c>
    </row>
    <row r="373" spans="1:8" ht="14.4" x14ac:dyDescent="0.3">
      <c r="A373" s="5">
        <f t="shared" si="10"/>
        <v>366</v>
      </c>
      <c r="B373" s="6" t="s">
        <v>1718</v>
      </c>
      <c r="C373" s="6" t="s">
        <v>143</v>
      </c>
      <c r="D373" s="6" t="s">
        <v>17</v>
      </c>
      <c r="E373" s="6" t="s">
        <v>1717</v>
      </c>
      <c r="F373" s="6" t="s">
        <v>1021</v>
      </c>
      <c r="G373" s="6">
        <v>52963778</v>
      </c>
      <c r="H373" t="str">
        <f t="shared" si="11"/>
        <v>INSERT INTO `parqueadero`.`vehiculo` (`Oid`, `Placa`, `Medio`, `Tipo`, `Marca`, `Color`, `IdConductor`) VALUES ('366','DOY442','CAMIONETA','COMBUSTIBLE','NISSAN XTRAIL','BLANCO PERLADO','52963778');</v>
      </c>
    </row>
    <row r="374" spans="1:8" ht="14.4" x14ac:dyDescent="0.3">
      <c r="A374" s="5">
        <f t="shared" si="10"/>
        <v>367</v>
      </c>
      <c r="B374" s="6" t="s">
        <v>1722</v>
      </c>
      <c r="C374" s="6" t="s">
        <v>115</v>
      </c>
      <c r="D374" s="6" t="s">
        <v>17</v>
      </c>
      <c r="E374" s="6" t="s">
        <v>1019</v>
      </c>
      <c r="F374" s="6" t="s">
        <v>66</v>
      </c>
      <c r="G374" s="6">
        <v>79690499</v>
      </c>
      <c r="H374" t="str">
        <f t="shared" si="11"/>
        <v>INSERT INTO `parqueadero`.`vehiculo` (`Oid`, `Placa`, `Medio`, `Tipo`, `Marca`, `Color`, `IdConductor`) VALUES ('367','GLM667','AUTOMÓVIL','COMBUSTIBLE','MAZDA 3','BLANCO','79690499');</v>
      </c>
    </row>
    <row r="375" spans="1:8" ht="14.4" x14ac:dyDescent="0.3">
      <c r="A375" s="5">
        <f t="shared" si="10"/>
        <v>368</v>
      </c>
      <c r="B375" s="6" t="s">
        <v>1726</v>
      </c>
      <c r="C375" s="6" t="s">
        <v>2196</v>
      </c>
      <c r="D375" s="6" t="s">
        <v>17</v>
      </c>
      <c r="E375" s="6" t="s">
        <v>1422</v>
      </c>
      <c r="F375" s="6" t="s">
        <v>1727</v>
      </c>
      <c r="G375" s="6">
        <v>1026277669</v>
      </c>
      <c r="H375" t="str">
        <f t="shared" si="11"/>
        <v>INSERT INTO `parqueadero`.`vehiculo` (`Oid`, `Placa`, `Medio`, `Tipo`, `Marca`, `Color`, `IdConductor`) VALUES ('368','GMO67E','MOTOCICLETA','COMBUSTIBLE','BAJAJ','VERDE GRIS','1026277669');</v>
      </c>
    </row>
    <row r="376" spans="1:8" ht="14.4" x14ac:dyDescent="0.3">
      <c r="A376" s="5">
        <f t="shared" si="10"/>
        <v>369</v>
      </c>
      <c r="B376" s="17" t="s">
        <v>1731</v>
      </c>
      <c r="C376" s="6" t="s">
        <v>115</v>
      </c>
      <c r="D376" s="17" t="s">
        <v>17</v>
      </c>
      <c r="E376" s="17" t="s">
        <v>354</v>
      </c>
      <c r="F376" s="17" t="s">
        <v>60</v>
      </c>
      <c r="G376" s="17">
        <v>1026261037</v>
      </c>
      <c r="H376" t="str">
        <f t="shared" si="11"/>
        <v>INSERT INTO `parqueadero`.`vehiculo` (`Oid`, `Placa`, `Medio`, `Tipo`, `Marca`, `Color`, `IdConductor`) VALUES ('369','HFR301','AUTOMÓVIL','COMBUSTIBLE','NISSAN ','GRIS','1026261037');</v>
      </c>
    </row>
    <row r="377" spans="1:8" ht="14.4" x14ac:dyDescent="0.3">
      <c r="A377" s="5">
        <f t="shared" si="10"/>
        <v>370</v>
      </c>
      <c r="B377" s="6" t="s">
        <v>1735</v>
      </c>
      <c r="C377" s="6" t="s">
        <v>115</v>
      </c>
      <c r="D377" s="6" t="s">
        <v>17</v>
      </c>
      <c r="E377" s="6" t="s">
        <v>681</v>
      </c>
      <c r="F377" s="6" t="s">
        <v>44</v>
      </c>
      <c r="G377" s="6">
        <v>1018455944</v>
      </c>
      <c r="H377" t="str">
        <f t="shared" si="11"/>
        <v>INSERT INTO `parqueadero`.`vehiculo` (`Oid`, `Placa`, `Medio`, `Tipo`, `Marca`, `Color`, `IdConductor`) VALUES ('370','GLT039','AUTOMÓVIL','COMBUSTIBLE','MAZDA 2','ROJO','1018455944');</v>
      </c>
    </row>
    <row r="378" spans="1:8" ht="14.4" x14ac:dyDescent="0.3">
      <c r="A378" s="5">
        <f t="shared" si="10"/>
        <v>371</v>
      </c>
      <c r="B378" s="6" t="s">
        <v>1739</v>
      </c>
      <c r="C378" s="6" t="s">
        <v>115</v>
      </c>
      <c r="D378" s="6" t="s">
        <v>17</v>
      </c>
      <c r="E378" s="6" t="s">
        <v>138</v>
      </c>
      <c r="F378" s="6" t="s">
        <v>60</v>
      </c>
      <c r="G378" s="6">
        <v>79923325</v>
      </c>
      <c r="H378" t="str">
        <f t="shared" si="11"/>
        <v>INSERT INTO `parqueadero`.`vehiculo` (`Oid`, `Placa`, `Medio`, `Tipo`, `Marca`, `Color`, `IdConductor`) VALUES ('371','HAS358','AUTOMÓVIL','COMBUSTIBLE','RENAULT SANDERO','GRIS','79923325');</v>
      </c>
    </row>
    <row r="379" spans="1:8" ht="14.4" x14ac:dyDescent="0.3">
      <c r="A379" s="5">
        <f t="shared" si="10"/>
        <v>372</v>
      </c>
      <c r="B379" s="6" t="s">
        <v>1740</v>
      </c>
      <c r="C379" s="6" t="s">
        <v>2196</v>
      </c>
      <c r="D379" s="6" t="s">
        <v>17</v>
      </c>
      <c r="E379" s="6" t="s">
        <v>363</v>
      </c>
      <c r="F379" s="6" t="s">
        <v>1741</v>
      </c>
      <c r="G379" s="6">
        <v>79923325</v>
      </c>
      <c r="H379" t="str">
        <f t="shared" si="11"/>
        <v>INSERT INTO `parqueadero`.`vehiculo` (`Oid`, `Placa`, `Medio`, `Tipo`, `Marca`, `Color`, `IdConductor`) VALUES ('372','BUG80C','MOTOCICLETA','COMBUSTIBLE','SUSUKI','ROJA','79923325');</v>
      </c>
    </row>
    <row r="380" spans="1:8" ht="14.4" x14ac:dyDescent="0.3">
      <c r="A380" s="5">
        <f t="shared" si="10"/>
        <v>373</v>
      </c>
      <c r="B380" s="6" t="s">
        <v>1746</v>
      </c>
      <c r="C380" s="6" t="s">
        <v>2196</v>
      </c>
      <c r="D380" s="6" t="s">
        <v>17</v>
      </c>
      <c r="E380" s="6" t="s">
        <v>1745</v>
      </c>
      <c r="F380" s="6" t="s">
        <v>1747</v>
      </c>
      <c r="G380" s="6">
        <v>79792606</v>
      </c>
      <c r="H380" t="str">
        <f t="shared" si="11"/>
        <v>INSERT INTO `parqueadero`.`vehiculo` (`Oid`, `Placa`, `Medio`, `Tipo`, `Marca`, `Color`, `IdConductor`) VALUES ('373','YQN70G','MOTOCICLETA','COMBUSTIBLE','VOG DS300','ROJO-NEGRO','79792606');</v>
      </c>
    </row>
    <row r="381" spans="1:8" ht="14.4" x14ac:dyDescent="0.3">
      <c r="A381" s="5">
        <f t="shared" si="10"/>
        <v>374</v>
      </c>
      <c r="B381" s="17" t="s">
        <v>1751</v>
      </c>
      <c r="C381" s="6" t="s">
        <v>2196</v>
      </c>
      <c r="D381" s="17" t="s">
        <v>17</v>
      </c>
      <c r="E381" s="17" t="s">
        <v>363</v>
      </c>
      <c r="F381" s="17" t="s">
        <v>1752</v>
      </c>
      <c r="G381" s="17">
        <v>1000284442</v>
      </c>
      <c r="H381" t="str">
        <f t="shared" si="11"/>
        <v>INSERT INTO `parqueadero`.`vehiculo` (`Oid`, `Placa`, `Medio`, `Tipo`, `Marca`, `Color`, `IdConductor`) VALUES ('374','ULR42H','MOTOCICLETA','COMBUSTIBLE','SUSUKI','AZUL-BLANCO-NEGRO','1000284442');</v>
      </c>
    </row>
    <row r="382" spans="1:8" ht="14.4" x14ac:dyDescent="0.3">
      <c r="A382" s="5">
        <f t="shared" si="10"/>
        <v>375</v>
      </c>
      <c r="B382" s="6" t="s">
        <v>1762</v>
      </c>
      <c r="C382" s="6" t="s">
        <v>2196</v>
      </c>
      <c r="D382" s="6" t="s">
        <v>17</v>
      </c>
      <c r="E382" s="6" t="s">
        <v>1761</v>
      </c>
      <c r="F382" s="6" t="s">
        <v>38</v>
      </c>
      <c r="G382" s="6">
        <v>94486941</v>
      </c>
      <c r="H382" t="str">
        <f t="shared" si="11"/>
        <v>INSERT INTO `parqueadero`.`vehiculo` (`Oid`, `Placa`, `Medio`, `Tipo`, `Marca`, `Color`, `IdConductor`) VALUES ('375','LCO60F','MOTOCICLETA','COMBUSTIBLE','APRILIA SR GT 200','VERDE','94486941');</v>
      </c>
    </row>
    <row r="383" spans="1:8" ht="14.4" x14ac:dyDescent="0.3">
      <c r="A383" s="5">
        <f t="shared" si="10"/>
        <v>376</v>
      </c>
      <c r="B383" s="17" t="s">
        <v>1766</v>
      </c>
      <c r="C383" s="6" t="s">
        <v>2196</v>
      </c>
      <c r="D383" s="17" t="s">
        <v>17</v>
      </c>
      <c r="E383" s="17" t="s">
        <v>701</v>
      </c>
      <c r="F383" s="17" t="s">
        <v>1767</v>
      </c>
      <c r="G383" s="17">
        <v>1022437241</v>
      </c>
      <c r="H383" t="str">
        <f t="shared" si="11"/>
        <v>INSERT INTO `parqueadero`.`vehiculo` (`Oid`, `Placa`, `Medio`, `Tipo`, `Marca`, `Color`, `IdConductor`) VALUES ('376','RBL47G','MOTOCICLETA','COMBUSTIBLE','YAMAHA','VERDE - NEGRO','1022437241');</v>
      </c>
    </row>
    <row r="384" spans="1:8" ht="14.4" x14ac:dyDescent="0.3">
      <c r="A384" s="5">
        <f t="shared" si="10"/>
        <v>377</v>
      </c>
      <c r="B384" s="6" t="s">
        <v>1772</v>
      </c>
      <c r="C384" s="6" t="s">
        <v>143</v>
      </c>
      <c r="D384" s="6" t="s">
        <v>253</v>
      </c>
      <c r="E384" s="6" t="s">
        <v>1771</v>
      </c>
      <c r="F384" s="6" t="s">
        <v>66</v>
      </c>
      <c r="G384" s="6">
        <v>79956337</v>
      </c>
      <c r="H384" t="str">
        <f t="shared" si="11"/>
        <v>INSERT INTO `parqueadero`.`vehiculo` (`Oid`, `Placa`, `Medio`, `Tipo`, `Marca`, `Color`, `IdConductor`) VALUES ('377','SRO755','CAMIONETA','HÍBRIDO','TOYOTA HILUX','BLANCO','79956337');</v>
      </c>
    </row>
    <row r="385" spans="1:8" ht="14.4" x14ac:dyDescent="0.3">
      <c r="A385" s="5">
        <f t="shared" si="10"/>
        <v>378</v>
      </c>
      <c r="B385" s="6" t="s">
        <v>1777</v>
      </c>
      <c r="C385" s="6" t="s">
        <v>115</v>
      </c>
      <c r="D385" s="6" t="s">
        <v>17</v>
      </c>
      <c r="E385" s="6" t="s">
        <v>1776</v>
      </c>
      <c r="F385" s="6" t="s">
        <v>60</v>
      </c>
      <c r="G385" s="6">
        <v>1094272550</v>
      </c>
      <c r="H385" t="str">
        <f t="shared" si="11"/>
        <v>INSERT INTO `parqueadero`.`vehiculo` (`Oid`, `Placa`, `Medio`, `Tipo`, `Marca`, `Color`, `IdConductor`) VALUES ('378','GLX737','AUTOMÓVIL','COMBUSTIBLE','RENAULT STEPWAY','GRIS','1094272550');</v>
      </c>
    </row>
    <row r="386" spans="1:8" ht="14.4" x14ac:dyDescent="0.3">
      <c r="A386" s="5">
        <f t="shared" si="10"/>
        <v>379</v>
      </c>
      <c r="B386" s="6" t="s">
        <v>1786</v>
      </c>
      <c r="C386" s="6" t="s">
        <v>115</v>
      </c>
      <c r="D386" s="6" t="s">
        <v>17</v>
      </c>
      <c r="E386" s="6" t="s">
        <v>1785</v>
      </c>
      <c r="F386" s="6" t="s">
        <v>266</v>
      </c>
      <c r="G386" s="6">
        <v>1010213543</v>
      </c>
      <c r="H386" t="str">
        <f t="shared" si="11"/>
        <v>INSERT INTO `parqueadero`.`vehiculo` (`Oid`, `Placa`, `Medio`, `Tipo`, `Marca`, `Color`, `IdConductor`) VALUES ('379','FYX046','AUTOMÓVIL','COMBUSTIBLE','CREVROLET CRUZE TURBO','AZUL OSCURO','1010213543');</v>
      </c>
    </row>
    <row r="387" spans="1:8" ht="14.4" x14ac:dyDescent="0.3">
      <c r="A387" s="5">
        <f t="shared" si="10"/>
        <v>380</v>
      </c>
      <c r="B387" s="17" t="s">
        <v>1791</v>
      </c>
      <c r="C387" s="6" t="s">
        <v>2196</v>
      </c>
      <c r="D387" s="17" t="s">
        <v>17</v>
      </c>
      <c r="E387" s="17" t="s">
        <v>1790</v>
      </c>
      <c r="F387" s="17" t="s">
        <v>1792</v>
      </c>
      <c r="G387" s="17">
        <v>1015407149</v>
      </c>
      <c r="H387" t="str">
        <f t="shared" si="11"/>
        <v>INSERT INTO `parqueadero`.`vehiculo` (`Oid`, `Placa`, `Medio`, `Tipo`, `Marca`, `Color`, `IdConductor`) VALUES ('380','DJI56G','MOTOCICLETA','COMBUSTIBLE','HERO','DORADA','1015407149');</v>
      </c>
    </row>
    <row r="388" spans="1:8" ht="14.4" x14ac:dyDescent="0.3">
      <c r="A388" s="5">
        <f t="shared" si="10"/>
        <v>381</v>
      </c>
      <c r="B388" s="6" t="s">
        <v>1796</v>
      </c>
      <c r="C388" s="6" t="s">
        <v>115</v>
      </c>
      <c r="D388" s="6" t="s">
        <v>17</v>
      </c>
      <c r="E388" s="6" t="s">
        <v>32</v>
      </c>
      <c r="F388" s="6" t="s">
        <v>44</v>
      </c>
      <c r="G388" s="13">
        <v>1015447384</v>
      </c>
      <c r="H388" t="str">
        <f t="shared" si="11"/>
        <v>INSERT INTO `parqueadero`.`vehiculo` (`Oid`, `Placa`, `Medio`, `Tipo`, `Marca`, `Color`, `IdConductor`) VALUES ('381','EDK255','AUTOMÓVIL','COMBUSTIBLE','RENAULT KWID','ROJO','1015447384');</v>
      </c>
    </row>
    <row r="389" spans="1:8" ht="14.4" x14ac:dyDescent="0.3">
      <c r="A389" s="5">
        <f t="shared" si="10"/>
        <v>382</v>
      </c>
      <c r="B389" s="6" t="s">
        <v>1798</v>
      </c>
      <c r="C389" s="6" t="s">
        <v>2196</v>
      </c>
      <c r="D389" s="6" t="s">
        <v>17</v>
      </c>
      <c r="E389" s="6" t="s">
        <v>1797</v>
      </c>
      <c r="F389" s="6" t="s">
        <v>44</v>
      </c>
      <c r="G389" s="13">
        <v>1015447384</v>
      </c>
      <c r="H389" t="str">
        <f t="shared" si="11"/>
        <v>INSERT INTO `parqueadero`.`vehiculo` (`Oid`, `Placa`, `Medio`, `Tipo`, `Marca`, `Color`, `IdConductor`) VALUES ('382','APS34G','MOTOCICLETA','COMBUSTIBLE','HONDA CB 125F','ROJO','1015447384');</v>
      </c>
    </row>
    <row r="390" spans="1:8" ht="14.4" x14ac:dyDescent="0.3">
      <c r="A390" s="5">
        <f t="shared" si="10"/>
        <v>383</v>
      </c>
      <c r="B390" s="6" t="s">
        <v>1803</v>
      </c>
      <c r="C390" s="6" t="s">
        <v>2196</v>
      </c>
      <c r="D390" s="6" t="s">
        <v>17</v>
      </c>
      <c r="E390" s="6" t="s">
        <v>1802</v>
      </c>
      <c r="F390" s="6" t="s">
        <v>24</v>
      </c>
      <c r="G390" s="13">
        <v>1026292170</v>
      </c>
      <c r="H390" t="str">
        <f t="shared" si="11"/>
        <v>INSERT INTO `parqueadero`.`vehiculo` (`Oid`, `Placa`, `Medio`, `Tipo`, `Marca`, `Color`, `IdConductor`) VALUES ('383','DFO36I','MOTOCICLETA','COMBUSTIBLE','AUTECO NKD','NEGRO','1026292170');</v>
      </c>
    </row>
    <row r="391" spans="1:8" ht="14.4" x14ac:dyDescent="0.3">
      <c r="A391" s="5">
        <f t="shared" si="10"/>
        <v>384</v>
      </c>
      <c r="B391" s="6" t="s">
        <v>1808</v>
      </c>
      <c r="C391" s="6" t="s">
        <v>143</v>
      </c>
      <c r="D391" s="6" t="s">
        <v>17</v>
      </c>
      <c r="E391" s="6" t="s">
        <v>1807</v>
      </c>
      <c r="F391" s="6" t="s">
        <v>166</v>
      </c>
      <c r="G391" s="13">
        <v>52181754</v>
      </c>
      <c r="H391" t="str">
        <f t="shared" si="11"/>
        <v>INSERT INTO `parqueadero`.`vehiculo` (`Oid`, `Placa`, `Medio`, `Tipo`, `Marca`, `Color`, `IdConductor`) VALUES ('384','PBP346','CAMIONETA','COMBUSTIBLE','MAZDA CX30','GRIS OSCURO','52181754');</v>
      </c>
    </row>
    <row r="392" spans="1:8" ht="14.4" x14ac:dyDescent="0.3">
      <c r="A392" s="5">
        <f t="shared" si="10"/>
        <v>385</v>
      </c>
      <c r="B392" s="6" t="s">
        <v>1813</v>
      </c>
      <c r="C392" s="6" t="s">
        <v>115</v>
      </c>
      <c r="D392" s="6" t="s">
        <v>17</v>
      </c>
      <c r="E392" s="6" t="s">
        <v>1812</v>
      </c>
      <c r="F392" s="6" t="s">
        <v>1814</v>
      </c>
      <c r="G392" s="13">
        <v>1000000381</v>
      </c>
      <c r="H392" t="str">
        <f t="shared" si="11"/>
        <v>INSERT INTO `parqueadero`.`vehiculo` (`Oid`, `Placa`, `Medio`, `Tipo`, `Marca`, `Color`, `IdConductor`) VALUES ('385','BEF748','AUTOMÓVIL','COMBUSTIBLE','MAZDA MATZURI','ROJO CEREZA','1000000381');</v>
      </c>
    </row>
    <row r="393" spans="1:8" ht="14.4" x14ac:dyDescent="0.3">
      <c r="A393" s="5">
        <f t="shared" ref="A393:A456" si="12">ROW()-7</f>
        <v>386</v>
      </c>
      <c r="B393" s="6" t="s">
        <v>1816</v>
      </c>
      <c r="C393" s="6" t="s">
        <v>2196</v>
      </c>
      <c r="D393" s="6" t="s">
        <v>17</v>
      </c>
      <c r="E393" s="6" t="s">
        <v>1815</v>
      </c>
      <c r="F393" s="6" t="s">
        <v>24</v>
      </c>
      <c r="G393" s="13">
        <v>1000000381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('386','UQR65F','MOTOCICLETA','COMBUSTIBLE','PULSAR','NEGRO','1000000381');</v>
      </c>
    </row>
    <row r="394" spans="1:8" ht="14.4" x14ac:dyDescent="0.3">
      <c r="A394" s="5">
        <f t="shared" si="12"/>
        <v>387</v>
      </c>
      <c r="B394" s="6" t="s">
        <v>1821</v>
      </c>
      <c r="C394" s="6" t="s">
        <v>143</v>
      </c>
      <c r="D394" s="6" t="s">
        <v>17</v>
      </c>
      <c r="E394" s="6" t="s">
        <v>1820</v>
      </c>
      <c r="F394" s="6" t="s">
        <v>66</v>
      </c>
      <c r="G394" s="13">
        <v>7225361</v>
      </c>
      <c r="H394" t="str">
        <f t="shared" si="13"/>
        <v>INSERT INTO `parqueadero`.`vehiculo` (`Oid`, `Placa`, `Medio`, `Tipo`, `Marca`, `Color`, `IdConductor`) VALUES ('387','WGO530','CAMIONETA','COMBUSTIBLE','DUSTER 4x4','BLANCO','7225361');</v>
      </c>
    </row>
    <row r="395" spans="1:8" ht="14.4" x14ac:dyDescent="0.3">
      <c r="A395" s="5">
        <f t="shared" si="12"/>
        <v>388</v>
      </c>
      <c r="B395" s="6" t="s">
        <v>1827</v>
      </c>
      <c r="C395" s="6" t="s">
        <v>2196</v>
      </c>
      <c r="D395" s="6" t="s">
        <v>17</v>
      </c>
      <c r="E395" s="6" t="s">
        <v>1826</v>
      </c>
      <c r="F395" s="6" t="s">
        <v>316</v>
      </c>
      <c r="G395" s="13">
        <v>1012453976</v>
      </c>
      <c r="H395" t="str">
        <f t="shared" si="13"/>
        <v>INSERT INTO `parqueadero`.`vehiculo` (`Oid`, `Placa`, `Medio`, `Tipo`, `Marca`, `Color`, `IdConductor`) VALUES ('388','OMG23A','MOTOCICLETA','COMBUSTIBLE','BAJAJ PULSAR 180 UG GT','NEGRO MATE','1012453976');</v>
      </c>
    </row>
    <row r="396" spans="1:8" ht="14.4" x14ac:dyDescent="0.3">
      <c r="A396" s="5">
        <f t="shared" si="12"/>
        <v>389</v>
      </c>
      <c r="B396" s="6" t="s">
        <v>1832</v>
      </c>
      <c r="C396" s="6" t="s">
        <v>115</v>
      </c>
      <c r="D396" s="6" t="s">
        <v>17</v>
      </c>
      <c r="E396" s="6" t="s">
        <v>1831</v>
      </c>
      <c r="F396" s="6" t="s">
        <v>66</v>
      </c>
      <c r="G396" s="13">
        <v>1049794506</v>
      </c>
      <c r="H396" t="str">
        <f t="shared" si="13"/>
        <v>INSERT INTO `parqueadero`.`vehiculo` (`Oid`, `Placa`, `Medio`, `Tipo`, `Marca`, `Color`, `IdConductor`) VALUES ('389','JWV618','AUTOMÓVIL','COMBUSTIBLE','HYUNDAI i10','BLANCO','1049794506');</v>
      </c>
    </row>
    <row r="397" spans="1:8" ht="14.4" x14ac:dyDescent="0.3">
      <c r="A397" s="5">
        <f t="shared" si="12"/>
        <v>390</v>
      </c>
      <c r="B397" s="6" t="s">
        <v>1837</v>
      </c>
      <c r="C397" s="6" t="s">
        <v>115</v>
      </c>
      <c r="D397" s="6" t="s">
        <v>129</v>
      </c>
      <c r="E397" s="6" t="s">
        <v>1836</v>
      </c>
      <c r="F397" s="6" t="s">
        <v>60</v>
      </c>
      <c r="G397" s="13">
        <v>80791247</v>
      </c>
      <c r="H397" t="str">
        <f t="shared" si="13"/>
        <v>INSERT INTO `parqueadero`.`vehiculo` (`Oid`, `Placa`, `Medio`, `Tipo`, `Marca`, `Color`, `IdConductor`) VALUES ('390','PHL713','AUTOMÓVIL','ELÉCTRICO','CHERY ICAR 03','GRIS','80791247');</v>
      </c>
    </row>
    <row r="398" spans="1:8" ht="14.4" x14ac:dyDescent="0.3">
      <c r="A398" s="5">
        <f t="shared" si="12"/>
        <v>391</v>
      </c>
      <c r="B398" s="6" t="s">
        <v>1839</v>
      </c>
      <c r="C398" s="6" t="s">
        <v>143</v>
      </c>
      <c r="D398" s="6" t="s">
        <v>17</v>
      </c>
      <c r="E398" s="6" t="s">
        <v>1838</v>
      </c>
      <c r="F398" s="6" t="s">
        <v>60</v>
      </c>
      <c r="G398" s="6">
        <v>19272805</v>
      </c>
      <c r="H398" t="str">
        <f t="shared" si="13"/>
        <v>INSERT INTO `parqueadero`.`vehiculo` (`Oid`, `Placa`, `Medio`, `Tipo`, `Marca`, `Color`, `IdConductor`) VALUES ('391','MPX503','CAMIONETA','COMBUSTIBLE','NISSAN FRONTIER','GRIS','19272805');</v>
      </c>
    </row>
    <row r="399" spans="1:8" ht="14.4" x14ac:dyDescent="0.3">
      <c r="A399" s="5">
        <f t="shared" si="12"/>
        <v>392</v>
      </c>
      <c r="B399" s="6" t="s">
        <v>1845</v>
      </c>
      <c r="C399" s="6" t="s">
        <v>143</v>
      </c>
      <c r="D399" s="6" t="s">
        <v>17</v>
      </c>
      <c r="E399" s="6" t="s">
        <v>1844</v>
      </c>
      <c r="F399" s="6" t="s">
        <v>1846</v>
      </c>
      <c r="G399" s="13">
        <v>1032396574</v>
      </c>
      <c r="H399" t="str">
        <f t="shared" si="13"/>
        <v>INSERT INTO `parqueadero`.`vehiculo` (`Oid`, `Placa`, `Medio`, `Tipo`, `Marca`, `Color`, `IdConductor`) VALUES ('392','PBS642','CAMIONETA','COMBUSTIBLE','MAZDA CX50','ZIRCÓN ARENA','1032396574');</v>
      </c>
    </row>
    <row r="400" spans="1:8" ht="14.4" x14ac:dyDescent="0.3">
      <c r="A400" s="5">
        <f t="shared" si="12"/>
        <v>393</v>
      </c>
      <c r="B400" s="17" t="s">
        <v>1851</v>
      </c>
      <c r="C400" s="6" t="s">
        <v>115</v>
      </c>
      <c r="D400" s="6" t="s">
        <v>253</v>
      </c>
      <c r="E400" s="17" t="s">
        <v>1850</v>
      </c>
      <c r="F400" s="17" t="s">
        <v>18</v>
      </c>
      <c r="G400" s="24">
        <v>45361037</v>
      </c>
      <c r="H400" t="str">
        <f t="shared" si="13"/>
        <v>INSERT INTO `parqueadero`.`vehiculo` (`Oid`, `Placa`, `Medio`, `Tipo`, `Marca`, `Color`, `IdConductor`) VALUES ('393','LQT109','AUTOMÓVIL','HÍBRIDO','TOYOTA COROLA','AZUL','45361037');</v>
      </c>
    </row>
    <row r="401" spans="1:8" ht="14.4" x14ac:dyDescent="0.3">
      <c r="A401" s="5">
        <f t="shared" si="12"/>
        <v>394</v>
      </c>
      <c r="B401" s="6" t="s">
        <v>1855</v>
      </c>
      <c r="C401" s="6" t="s">
        <v>2196</v>
      </c>
      <c r="D401" s="6" t="s">
        <v>17</v>
      </c>
      <c r="E401" s="6" t="s">
        <v>56</v>
      </c>
      <c r="F401" s="6" t="s">
        <v>1856</v>
      </c>
      <c r="G401" s="13">
        <v>80258283</v>
      </c>
      <c r="H401" t="str">
        <f t="shared" si="13"/>
        <v>INSERT INTO `parqueadero`.`vehiculo` (`Oid`, `Placa`, `Medio`, `Tipo`, `Marca`, `Color`, `IdConductor`) VALUES ('394','DFQ65I','MOTOCICLETA','COMBUSTIBLE','HONDA','NEGRO - GRIS','80258283');</v>
      </c>
    </row>
    <row r="402" spans="1:8" ht="14.4" x14ac:dyDescent="0.3">
      <c r="A402" s="5">
        <f t="shared" si="12"/>
        <v>395</v>
      </c>
      <c r="B402" s="17" t="s">
        <v>1860</v>
      </c>
      <c r="C402" s="6" t="s">
        <v>115</v>
      </c>
      <c r="D402" s="17" t="s">
        <v>17</v>
      </c>
      <c r="E402" s="17" t="s">
        <v>58</v>
      </c>
      <c r="F402" s="17" t="s">
        <v>60</v>
      </c>
      <c r="G402" s="24">
        <v>1019038226</v>
      </c>
      <c r="H402" t="str">
        <f t="shared" si="13"/>
        <v>INSERT INTO `parqueadero`.`vehiculo` (`Oid`, `Placa`, `Medio`, `Tipo`, `Marca`, `Color`, `IdConductor`) VALUES ('395','CTV652','AUTOMÓVIL','COMBUSTIBLE','CHEVROLET','GRIS','1019038226');</v>
      </c>
    </row>
    <row r="403" spans="1:8" ht="14.4" x14ac:dyDescent="0.3">
      <c r="A403" s="5">
        <f t="shared" si="12"/>
        <v>396</v>
      </c>
      <c r="B403" s="6" t="s">
        <v>1866</v>
      </c>
      <c r="C403" s="6" t="s">
        <v>115</v>
      </c>
      <c r="D403" s="6" t="s">
        <v>17</v>
      </c>
      <c r="E403" s="6" t="s">
        <v>1019</v>
      </c>
      <c r="F403" s="6" t="s">
        <v>683</v>
      </c>
      <c r="G403" s="13">
        <v>1032443029</v>
      </c>
      <c r="H403" t="str">
        <f t="shared" si="13"/>
        <v>INSERT INTO `parqueadero`.`vehiculo` (`Oid`, `Placa`, `Medio`, `Tipo`, `Marca`, `Color`, `IdConductor`) VALUES ('396','DZW847','AUTOMÓVIL','COMBUSTIBLE','MAZDA 3','GRIS MACHINE','1032443029');</v>
      </c>
    </row>
    <row r="404" spans="1:8" ht="14.4" x14ac:dyDescent="0.3">
      <c r="A404" s="5">
        <f t="shared" si="12"/>
        <v>397</v>
      </c>
      <c r="B404" s="6" t="s">
        <v>1871</v>
      </c>
      <c r="C404" s="6" t="s">
        <v>115</v>
      </c>
      <c r="D404" s="6" t="s">
        <v>17</v>
      </c>
      <c r="E404" s="6" t="s">
        <v>1870</v>
      </c>
      <c r="F404" s="6" t="s">
        <v>60</v>
      </c>
      <c r="G404" s="13">
        <v>1070977964</v>
      </c>
      <c r="H404" t="str">
        <f t="shared" si="13"/>
        <v>INSERT INTO `parqueadero`.`vehiculo` (`Oid`, `Placa`, `Medio`, `Tipo`, `Marca`, `Color`, `IdConductor`) VALUES ('397','GLY670','AUTOMÓVIL','COMBUSTIBLE','SEAT ATECA','GRIS','1070977964');</v>
      </c>
    </row>
    <row r="405" spans="1:8" ht="14.4" x14ac:dyDescent="0.3">
      <c r="A405" s="5">
        <f t="shared" si="12"/>
        <v>398</v>
      </c>
      <c r="B405" s="6" t="s">
        <v>1873</v>
      </c>
      <c r="C405" s="6" t="s">
        <v>2196</v>
      </c>
      <c r="D405" s="6" t="s">
        <v>17</v>
      </c>
      <c r="E405" s="6" t="s">
        <v>1872</v>
      </c>
      <c r="F405" s="6" t="s">
        <v>60</v>
      </c>
      <c r="G405" s="6">
        <v>1072072690</v>
      </c>
      <c r="H405" t="str">
        <f t="shared" si="13"/>
        <v>INSERT INTO `parqueadero`.`vehiculo` (`Oid`, `Placa`, `Medio`, `Tipo`, `Marca`, `Color`, `IdConductor`) VALUES ('398','BWQ90I','MOTOCICLETA','COMBUSTIBLE','SYM ADX 150','GRIS','1072072690');</v>
      </c>
    </row>
    <row r="406" spans="1:8" ht="14.4" x14ac:dyDescent="0.3">
      <c r="A406" s="5">
        <f t="shared" si="12"/>
        <v>399</v>
      </c>
      <c r="B406" s="6" t="s">
        <v>1876</v>
      </c>
      <c r="C406" s="6" t="s">
        <v>115</v>
      </c>
      <c r="D406" s="6" t="s">
        <v>17</v>
      </c>
      <c r="E406" s="6" t="s">
        <v>58</v>
      </c>
      <c r="F406" s="6" t="s">
        <v>60</v>
      </c>
      <c r="G406" s="13">
        <v>79795088</v>
      </c>
      <c r="H406" t="str">
        <f t="shared" si="13"/>
        <v>INSERT INTO `parqueadero`.`vehiculo` (`Oid`, `Placa`, `Medio`, `Tipo`, `Marca`, `Color`, `IdConductor`) VALUES ('399','BPC285','AUTOMÓVIL','COMBUSTIBLE','CHEVROLET','GRIS','79795088');</v>
      </c>
    </row>
    <row r="407" spans="1:8" ht="14.4" x14ac:dyDescent="0.3">
      <c r="A407" s="5">
        <f t="shared" si="12"/>
        <v>400</v>
      </c>
      <c r="B407" s="6" t="s">
        <v>1880</v>
      </c>
      <c r="C407" s="6" t="s">
        <v>115</v>
      </c>
      <c r="D407" s="6" t="s">
        <v>17</v>
      </c>
      <c r="E407" s="6" t="s">
        <v>1339</v>
      </c>
      <c r="F407" s="6" t="s">
        <v>60</v>
      </c>
      <c r="G407" s="13">
        <v>79737327</v>
      </c>
      <c r="H407" t="str">
        <f t="shared" si="13"/>
        <v>INSERT INTO `parqueadero`.`vehiculo` (`Oid`, `Placa`, `Medio`, `Tipo`, `Marca`, `Color`, `IdConductor`) VALUES ('400','HJL465','AUTOMÓVIL','COMBUSTIBLE','FORD FIESTA','GRIS','79737327');</v>
      </c>
    </row>
    <row r="408" spans="1:8" ht="14.4" x14ac:dyDescent="0.3">
      <c r="A408" s="5">
        <f t="shared" si="12"/>
        <v>401</v>
      </c>
      <c r="B408" s="6" t="s">
        <v>1884</v>
      </c>
      <c r="C408" s="6" t="s">
        <v>115</v>
      </c>
      <c r="D408" s="6" t="s">
        <v>253</v>
      </c>
      <c r="E408" s="6" t="s">
        <v>363</v>
      </c>
      <c r="F408" s="6" t="s">
        <v>60</v>
      </c>
      <c r="G408" s="13">
        <v>1020750683</v>
      </c>
      <c r="H408" t="str">
        <f t="shared" si="13"/>
        <v>INSERT INTO `parqueadero`.`vehiculo` (`Oid`, `Placa`, `Medio`, `Tipo`, `Marca`, `Color`, `IdConductor`) VALUES ('401','KWY194','AUTOMÓVIL','HÍBRIDO','SUSUKI','GRIS','1020750683');</v>
      </c>
    </row>
    <row r="409" spans="1:8" ht="14.4" x14ac:dyDescent="0.3">
      <c r="A409" s="5">
        <f t="shared" si="12"/>
        <v>402</v>
      </c>
      <c r="B409" s="6" t="s">
        <v>1892</v>
      </c>
      <c r="C409" s="6" t="s">
        <v>2196</v>
      </c>
      <c r="D409" s="6" t="s">
        <v>17</v>
      </c>
      <c r="E409" s="6" t="s">
        <v>701</v>
      </c>
      <c r="F409" s="6" t="s">
        <v>1893</v>
      </c>
      <c r="G409" s="13">
        <v>1023890368</v>
      </c>
      <c r="H409" t="str">
        <f t="shared" si="13"/>
        <v>INSERT INTO `parqueadero`.`vehiculo` (`Oid`, `Placa`, `Medio`, `Tipo`, `Marca`, `Color`, `IdConductor`) VALUES ('402','CSC07F','MOTOCICLETA','COMBUSTIBLE','YAMAHA','NEGRO - VERDE','1023890368');</v>
      </c>
    </row>
    <row r="410" spans="1:8" ht="14.4" x14ac:dyDescent="0.3">
      <c r="A410" s="5">
        <f t="shared" si="12"/>
        <v>403</v>
      </c>
      <c r="B410" s="17" t="s">
        <v>2191</v>
      </c>
      <c r="C410" s="6" t="s">
        <v>2196</v>
      </c>
      <c r="D410" s="6" t="s">
        <v>129</v>
      </c>
      <c r="E410" s="17" t="s">
        <v>1897</v>
      </c>
      <c r="F410" s="17" t="s">
        <v>24</v>
      </c>
      <c r="G410" s="24">
        <v>1014260067</v>
      </c>
      <c r="H410" t="str">
        <f t="shared" si="13"/>
        <v>INSERT INTO `parqueadero`.`vehiculo` (`Oid`, `Placa`, `Medio`, `Tipo`, `Marca`, `Color`, `IdConductor`) VALUES ('403','MOT-004','MOTOCICLETA','ELÉCTRICO','ULTRA MAX HUYSER','NEGRO','1014260067');</v>
      </c>
    </row>
    <row r="411" spans="1:8" ht="14.4" x14ac:dyDescent="0.3">
      <c r="A411" s="5">
        <f t="shared" si="12"/>
        <v>404</v>
      </c>
      <c r="B411" s="6" t="s">
        <v>1901</v>
      </c>
      <c r="C411" s="6" t="s">
        <v>143</v>
      </c>
      <c r="D411" s="6" t="s">
        <v>17</v>
      </c>
      <c r="E411" s="6" t="s">
        <v>1200</v>
      </c>
      <c r="F411" s="6" t="s">
        <v>52</v>
      </c>
      <c r="G411" s="13">
        <v>52961559</v>
      </c>
      <c r="H411" t="str">
        <f t="shared" si="13"/>
        <v>INSERT INTO `parqueadero`.`vehiculo` (`Oid`, `Placa`, `Medio`, `Tipo`, `Marca`, `Color`, `IdConductor`) VALUES ('404','JMN893','CAMIONETA','COMBUSTIBLE','CHEVROLET CAPTIVA','PLATA','52961559');</v>
      </c>
    </row>
    <row r="412" spans="1:8" ht="14.4" x14ac:dyDescent="0.3">
      <c r="A412" s="5">
        <f t="shared" si="12"/>
        <v>405</v>
      </c>
      <c r="B412" s="6" t="s">
        <v>1906</v>
      </c>
      <c r="C412" s="6" t="s">
        <v>143</v>
      </c>
      <c r="D412" s="6" t="s">
        <v>17</v>
      </c>
      <c r="E412" s="6" t="s">
        <v>75</v>
      </c>
      <c r="F412" s="6" t="s">
        <v>52</v>
      </c>
      <c r="G412" s="13">
        <v>1000522089</v>
      </c>
      <c r="H412" t="str">
        <f t="shared" si="13"/>
        <v>INSERT INTO `parqueadero`.`vehiculo` (`Oid`, `Placa`, `Medio`, `Tipo`, `Marca`, `Color`, `IdConductor`) VALUES ('405','IVZ727','CAMIONETA','COMBUSTIBLE','MAZDA','PLATA','1000522089');</v>
      </c>
    </row>
    <row r="413" spans="1:8" ht="14.4" x14ac:dyDescent="0.3">
      <c r="A413" s="5">
        <f t="shared" si="12"/>
        <v>406</v>
      </c>
      <c r="B413" s="6" t="s">
        <v>1907</v>
      </c>
      <c r="C413" s="6" t="s">
        <v>143</v>
      </c>
      <c r="D413" s="6" t="s">
        <v>17</v>
      </c>
      <c r="E413" s="6" t="s">
        <v>1127</v>
      </c>
      <c r="F413" s="6" t="s">
        <v>60</v>
      </c>
      <c r="G413" s="6">
        <v>1030579980</v>
      </c>
      <c r="H413" t="str">
        <f t="shared" si="13"/>
        <v>INSERT INTO `parqueadero`.`vehiculo` (`Oid`, `Placa`, `Medio`, `Tipo`, `Marca`, `Color`, `IdConductor`) VALUES ('406','DZX196','CAMIONETA','COMBUSTIBLE','AUDI Q3','GRIS','1030579980');</v>
      </c>
    </row>
    <row r="414" spans="1:8" ht="14.4" x14ac:dyDescent="0.3">
      <c r="A414" s="5">
        <f t="shared" si="12"/>
        <v>407</v>
      </c>
      <c r="B414" s="6" t="s">
        <v>1911</v>
      </c>
      <c r="C414" s="6" t="s">
        <v>143</v>
      </c>
      <c r="D414" s="6" t="s">
        <v>253</v>
      </c>
      <c r="E414" s="6" t="s">
        <v>64</v>
      </c>
      <c r="F414" s="6" t="s">
        <v>60</v>
      </c>
      <c r="G414" s="6">
        <v>1016008161</v>
      </c>
      <c r="H414" t="str">
        <f t="shared" si="13"/>
        <v>INSERT INTO `parqueadero`.`vehiculo` (`Oid`, `Placa`, `Medio`, `Tipo`, `Marca`, `Color`, `IdConductor`) VALUES ('407','KWK887','CAMIONETA','HÍBRIDO','TOYOTA','GRIS','1016008161');</v>
      </c>
    </row>
    <row r="415" spans="1:8" ht="14.4" x14ac:dyDescent="0.3">
      <c r="A415" s="5">
        <f t="shared" si="12"/>
        <v>408</v>
      </c>
      <c r="B415" s="6" t="s">
        <v>1915</v>
      </c>
      <c r="C415" s="6" t="s">
        <v>115</v>
      </c>
      <c r="D415" s="6" t="s">
        <v>17</v>
      </c>
      <c r="E415" s="6" t="s">
        <v>75</v>
      </c>
      <c r="F415" s="6" t="s">
        <v>60</v>
      </c>
      <c r="G415" s="6">
        <v>1022329322</v>
      </c>
      <c r="H415" t="str">
        <f t="shared" si="13"/>
        <v>INSERT INTO `parqueadero`.`vehiculo` (`Oid`, `Placa`, `Medio`, `Tipo`, `Marca`, `Color`, `IdConductor`) VALUES ('408','LWP569','AUTOMÓVIL','COMBUSTIBLE','MAZDA','GRIS','1022329322');</v>
      </c>
    </row>
    <row r="416" spans="1:8" ht="14.4" x14ac:dyDescent="0.3">
      <c r="A416" s="5">
        <f t="shared" si="12"/>
        <v>409</v>
      </c>
      <c r="B416" s="6" t="s">
        <v>1918</v>
      </c>
      <c r="C416" s="6" t="s">
        <v>2196</v>
      </c>
      <c r="D416" s="6" t="s">
        <v>17</v>
      </c>
      <c r="E416" s="6" t="s">
        <v>363</v>
      </c>
      <c r="F416" s="6" t="s">
        <v>316</v>
      </c>
      <c r="G416" s="6">
        <v>1233512206</v>
      </c>
      <c r="H416" t="str">
        <f t="shared" si="13"/>
        <v>INSERT INTO `parqueadero`.`vehiculo` (`Oid`, `Placa`, `Medio`, `Tipo`, `Marca`, `Color`, `IdConductor`) VALUES ('409','EQK16G','MOTOCICLETA','COMBUSTIBLE','SUSUKI','NEGRO MATE','1233512206');</v>
      </c>
    </row>
    <row r="417" spans="1:8" ht="14.4" x14ac:dyDescent="0.3">
      <c r="A417" s="5">
        <f t="shared" si="12"/>
        <v>410</v>
      </c>
      <c r="B417" s="17" t="s">
        <v>1922</v>
      </c>
      <c r="C417" s="6" t="s">
        <v>143</v>
      </c>
      <c r="D417" s="6" t="s">
        <v>253</v>
      </c>
      <c r="E417" s="17" t="s">
        <v>1921</v>
      </c>
      <c r="F417" s="17" t="s">
        <v>1923</v>
      </c>
      <c r="G417" s="17">
        <v>80061648</v>
      </c>
      <c r="H417" t="str">
        <f t="shared" si="13"/>
        <v>INSERT INTO `parqueadero`.`vehiculo` (`Oid`, `Placa`, `Medio`, `Tipo`, `Marca`, `Color`, `IdConductor`) VALUES ('410','GPZ639','CAMIONETA','HÍBRIDO','FORD TERRITORY','BLANCO PLATINO','80061648');</v>
      </c>
    </row>
    <row r="418" spans="1:8" ht="14.4" x14ac:dyDescent="0.3">
      <c r="A418" s="5">
        <f t="shared" si="12"/>
        <v>411</v>
      </c>
      <c r="B418" s="6" t="s">
        <v>1925</v>
      </c>
      <c r="C418" s="6" t="s">
        <v>143</v>
      </c>
      <c r="D418" s="6" t="s">
        <v>253</v>
      </c>
      <c r="E418" s="6" t="s">
        <v>1924</v>
      </c>
      <c r="F418" s="6" t="s">
        <v>60</v>
      </c>
      <c r="G418" s="6">
        <v>1001090013</v>
      </c>
      <c r="H418" t="str">
        <f t="shared" si="13"/>
        <v>INSERT INTO `parqueadero`.`vehiculo` (`Oid`, `Placa`, `Medio`, `Tipo`, `Marca`, `Color`, `IdConductor`) VALUES ('411','QPZ208','CAMIONETA','HÍBRIDO','GM','GRIS','1001090013');</v>
      </c>
    </row>
    <row r="419" spans="1:8" ht="14.4" x14ac:dyDescent="0.3">
      <c r="A419" s="5">
        <f t="shared" si="12"/>
        <v>412</v>
      </c>
      <c r="B419" s="6" t="s">
        <v>1929</v>
      </c>
      <c r="C419" s="6" t="s">
        <v>143</v>
      </c>
      <c r="D419" s="6" t="s">
        <v>253</v>
      </c>
      <c r="E419" s="6" t="s">
        <v>75</v>
      </c>
      <c r="F419" s="6" t="s">
        <v>60</v>
      </c>
      <c r="G419" s="6">
        <v>1121886960</v>
      </c>
      <c r="H419" t="str">
        <f t="shared" si="13"/>
        <v>INSERT INTO `parqueadero`.`vehiculo` (`Oid`, `Placa`, `Medio`, `Tipo`, `Marca`, `Color`, `IdConductor`) VALUES ('412','NYX244','CAMIONETA','HÍBRIDO','MAZDA','GRIS','1121886960');</v>
      </c>
    </row>
    <row r="420" spans="1:8" ht="14.4" x14ac:dyDescent="0.3">
      <c r="A420" s="5">
        <f t="shared" si="12"/>
        <v>413</v>
      </c>
      <c r="B420" s="6" t="s">
        <v>1933</v>
      </c>
      <c r="C420" s="6" t="s">
        <v>115</v>
      </c>
      <c r="D420" s="6" t="s">
        <v>17</v>
      </c>
      <c r="E420" s="6" t="s">
        <v>1311</v>
      </c>
      <c r="F420" s="6" t="s">
        <v>60</v>
      </c>
      <c r="G420" s="6">
        <v>1026264243</v>
      </c>
      <c r="H420" t="str">
        <f t="shared" si="13"/>
        <v>INSERT INTO `parqueadero`.`vehiculo` (`Oid`, `Placa`, `Medio`, `Tipo`, `Marca`, `Color`, `IdConductor`) VALUES ('413','IIX306','AUTOMÓVIL','COMBUSTIBLE','NISSAN MARCH','GRIS','1026264243');</v>
      </c>
    </row>
    <row r="421" spans="1:8" ht="14.4" x14ac:dyDescent="0.3">
      <c r="A421" s="5">
        <f t="shared" si="12"/>
        <v>414</v>
      </c>
      <c r="B421" s="6" t="s">
        <v>1937</v>
      </c>
      <c r="C421" s="6" t="s">
        <v>2196</v>
      </c>
      <c r="D421" s="6" t="s">
        <v>17</v>
      </c>
      <c r="E421" s="6" t="s">
        <v>701</v>
      </c>
      <c r="F421" s="6" t="s">
        <v>1938</v>
      </c>
      <c r="G421" s="6">
        <v>51836043</v>
      </c>
      <c r="H421" t="str">
        <f t="shared" si="13"/>
        <v>INSERT INTO `parqueadero`.`vehiculo` (`Oid`, `Placa`, `Medio`, `Tipo`, `Marca`, `Color`, `IdConductor`) VALUES ('414','JWP87C','MOTOCICLETA','COMBUSTIBLE','YAMAHA','NEGRO - ROJO','51836043');</v>
      </c>
    </row>
    <row r="422" spans="1:8" ht="14.4" x14ac:dyDescent="0.3">
      <c r="A422" s="5">
        <f t="shared" si="12"/>
        <v>415</v>
      </c>
      <c r="B422" s="6" t="s">
        <v>1945</v>
      </c>
      <c r="C422" s="6" t="s">
        <v>115</v>
      </c>
      <c r="D422" s="6" t="s">
        <v>129</v>
      </c>
      <c r="E422" s="6" t="s">
        <v>22</v>
      </c>
      <c r="F422" s="6" t="s">
        <v>18</v>
      </c>
      <c r="G422" s="6">
        <v>1106892760</v>
      </c>
      <c r="H422" t="str">
        <f t="shared" si="13"/>
        <v>INSERT INTO `parqueadero`.`vehiculo` (`Oid`, `Placa`, `Medio`, `Tipo`, `Marca`, `Color`, `IdConductor`) VALUES ('415','QQL095','AUTOMÓVIL','ELÉCTRICO','BYD','AZUL','1106892760');</v>
      </c>
    </row>
    <row r="423" spans="1:8" ht="14.4" x14ac:dyDescent="0.3">
      <c r="A423" s="5">
        <f t="shared" si="12"/>
        <v>416</v>
      </c>
      <c r="B423" s="6" t="s">
        <v>1949</v>
      </c>
      <c r="C423" s="6" t="s">
        <v>115</v>
      </c>
      <c r="D423" s="6" t="s">
        <v>129</v>
      </c>
      <c r="E423" s="6" t="s">
        <v>1948</v>
      </c>
      <c r="F423" s="6" t="s">
        <v>60</v>
      </c>
      <c r="G423" s="6">
        <v>1032444607</v>
      </c>
      <c r="H423" t="str">
        <f t="shared" si="13"/>
        <v>INSERT INTO `parqueadero`.`vehiculo` (`Oid`, `Placa`, `Medio`, `Tipo`, `Marca`, `Color`, `IdConductor`) VALUES ('416','QPU078','AUTOMÓVIL','ELÉCTRICO','TESLA','GRIS','1032444607');</v>
      </c>
    </row>
    <row r="424" spans="1:8" ht="14.4" x14ac:dyDescent="0.3">
      <c r="A424" s="5">
        <f t="shared" si="12"/>
        <v>417</v>
      </c>
      <c r="B424" s="6" t="s">
        <v>1968</v>
      </c>
      <c r="C424" s="6" t="s">
        <v>115</v>
      </c>
      <c r="D424" s="6" t="s">
        <v>17</v>
      </c>
      <c r="E424" s="6" t="s">
        <v>354</v>
      </c>
      <c r="F424" s="6" t="s">
        <v>60</v>
      </c>
      <c r="G424" s="6">
        <v>1026261037</v>
      </c>
      <c r="H424" t="str">
        <f t="shared" si="13"/>
        <v>INSERT INTO `parqueadero`.`vehiculo` (`Oid`, `Placa`, `Medio`, `Tipo`, `Marca`, `Color`, `IdConductor`) VALUES ('417','EDX620','AUTOMÓVIL','COMBUSTIBLE','NISSAN ','GRIS','1026261037');</v>
      </c>
    </row>
    <row r="425" spans="1:8" ht="14.4" x14ac:dyDescent="0.3">
      <c r="A425" s="5">
        <f t="shared" si="12"/>
        <v>418</v>
      </c>
      <c r="B425" s="17" t="s">
        <v>1973</v>
      </c>
      <c r="C425" s="6" t="s">
        <v>143</v>
      </c>
      <c r="D425" s="17" t="s">
        <v>17</v>
      </c>
      <c r="E425" s="17" t="s">
        <v>202</v>
      </c>
      <c r="F425" s="17" t="s">
        <v>18</v>
      </c>
      <c r="G425" s="17">
        <v>80019944</v>
      </c>
      <c r="H425" t="str">
        <f t="shared" si="13"/>
        <v>INSERT INTO `parqueadero`.`vehiculo` (`Oid`, `Placa`, `Medio`, `Tipo`, `Marca`, `Color`, `IdConductor`) VALUES ('418','KZY449','CAMIONETA','COMBUSTIBLE','VOLKSWAGEN','AZUL','80019944');</v>
      </c>
    </row>
    <row r="426" spans="1:8" ht="14.4" x14ac:dyDescent="0.3">
      <c r="A426" s="5">
        <f t="shared" si="12"/>
        <v>419</v>
      </c>
      <c r="B426" s="17" t="s">
        <v>1978</v>
      </c>
      <c r="C426" s="6" t="s">
        <v>143</v>
      </c>
      <c r="D426" s="6" t="s">
        <v>253</v>
      </c>
      <c r="E426" s="17" t="s">
        <v>1977</v>
      </c>
      <c r="F426" s="17" t="s">
        <v>18</v>
      </c>
      <c r="G426" s="17">
        <v>1032419051</v>
      </c>
      <c r="H426" t="str">
        <f t="shared" si="13"/>
        <v>INSERT INTO `parqueadero`.`vehiculo` (`Oid`, `Placa`, `Medio`, `Tipo`, `Marca`, `Color`, `IdConductor`) VALUES ('419','PFW145','CAMIONETA','HÍBRIDO','SUSUKI FRONX','AZUL','1032419051');</v>
      </c>
    </row>
    <row r="427" spans="1:8" ht="14.4" x14ac:dyDescent="0.3">
      <c r="A427" s="5">
        <f t="shared" si="12"/>
        <v>420</v>
      </c>
      <c r="B427" s="6" t="s">
        <v>1981</v>
      </c>
      <c r="C427" s="6" t="s">
        <v>143</v>
      </c>
      <c r="D427" s="6" t="s">
        <v>253</v>
      </c>
      <c r="E427" s="6" t="s">
        <v>1921</v>
      </c>
      <c r="F427" s="6" t="s">
        <v>60</v>
      </c>
      <c r="G427" s="6">
        <v>29120343</v>
      </c>
      <c r="H427" t="str">
        <f t="shared" si="13"/>
        <v>INSERT INTO `parqueadero`.`vehiculo` (`Oid`, `Placa`, `Medio`, `Tipo`, `Marca`, `Color`, `IdConductor`) VALUES ('420','QQK504','CAMIONETA','HÍBRIDO','FORD TERRITORY','GRIS','29120343');</v>
      </c>
    </row>
    <row r="428" spans="1:8" ht="14.4" x14ac:dyDescent="0.3">
      <c r="A428" s="5">
        <f t="shared" si="12"/>
        <v>421</v>
      </c>
      <c r="B428" s="6" t="s">
        <v>1985</v>
      </c>
      <c r="C428" s="6" t="s">
        <v>143</v>
      </c>
      <c r="D428" s="6" t="s">
        <v>17</v>
      </c>
      <c r="E428" s="6" t="s">
        <v>501</v>
      </c>
      <c r="F428" s="6" t="s">
        <v>259</v>
      </c>
      <c r="G428" s="6">
        <v>79786845</v>
      </c>
      <c r="H428" t="str">
        <f t="shared" si="13"/>
        <v>INSERT INTO `parqueadero`.`vehiculo` (`Oid`, `Placa`, `Medio`, `Tipo`, `Marca`, `Color`, `IdConductor`) VALUES ('421','RHO770','CAMIONETA','COMBUSTIBLE','NISSAN','PLATEADO','79786845');</v>
      </c>
    </row>
    <row r="429" spans="1:8" ht="14.4" x14ac:dyDescent="0.3">
      <c r="A429" s="5">
        <f t="shared" si="12"/>
        <v>422</v>
      </c>
      <c r="B429" s="6" t="s">
        <v>1986</v>
      </c>
      <c r="C429" s="6" t="s">
        <v>2196</v>
      </c>
      <c r="D429" s="6" t="s">
        <v>17</v>
      </c>
      <c r="E429" s="6" t="s">
        <v>132</v>
      </c>
      <c r="F429" s="6" t="s">
        <v>157</v>
      </c>
      <c r="G429" s="6">
        <v>79786845</v>
      </c>
      <c r="H429" t="str">
        <f t="shared" si="13"/>
        <v>INSERT INTO `parqueadero`.`vehiculo` (`Oid`, `Placa`, `Medio`, `Tipo`, `Marca`, `Color`, `IdConductor`) VALUES ('422','LEN12F','MOTOCICLETA','COMBUSTIBLE','BMW','NEGRA','79786845');</v>
      </c>
    </row>
    <row r="430" spans="1:8" ht="14.4" x14ac:dyDescent="0.3">
      <c r="A430" s="5">
        <f t="shared" si="12"/>
        <v>423</v>
      </c>
      <c r="B430" s="6" t="s">
        <v>1989</v>
      </c>
      <c r="C430" s="6" t="s">
        <v>115</v>
      </c>
      <c r="D430" s="6" t="s">
        <v>17</v>
      </c>
      <c r="E430" s="6" t="s">
        <v>439</v>
      </c>
      <c r="F430" s="6" t="s">
        <v>18</v>
      </c>
      <c r="G430" s="6">
        <v>52883834</v>
      </c>
      <c r="H430" t="str">
        <f t="shared" si="13"/>
        <v>INSERT INTO `parqueadero`.`vehiculo` (`Oid`, `Placa`, `Medio`, `Tipo`, `Marca`, `Color`, `IdConductor`) VALUES ('423','FZM862','AUTOMÓVIL','COMBUSTIBLE','NISSAN KICKS','AZUL','52883834');</v>
      </c>
    </row>
    <row r="431" spans="1:8" ht="14.4" x14ac:dyDescent="0.3">
      <c r="A431" s="5">
        <f t="shared" si="12"/>
        <v>424</v>
      </c>
      <c r="B431" s="6" t="s">
        <v>1993</v>
      </c>
      <c r="C431" s="6" t="s">
        <v>115</v>
      </c>
      <c r="D431" s="6" t="s">
        <v>17</v>
      </c>
      <c r="E431" s="6" t="s">
        <v>138</v>
      </c>
      <c r="F431" s="6" t="s">
        <v>60</v>
      </c>
      <c r="G431" s="6">
        <v>84102209</v>
      </c>
      <c r="H431" t="str">
        <f t="shared" si="13"/>
        <v>INSERT INTO `parqueadero`.`vehiculo` (`Oid`, `Placa`, `Medio`, `Tipo`, `Marca`, `Color`, `IdConductor`) VALUES ('424','ELU837','AUTOMÓVIL','COMBUSTIBLE','RENAULT SANDERO','GRIS','84102209');</v>
      </c>
    </row>
    <row r="432" spans="1:8" ht="14.4" x14ac:dyDescent="0.3">
      <c r="A432" s="5">
        <f t="shared" si="12"/>
        <v>425</v>
      </c>
      <c r="B432" s="6" t="s">
        <v>1996</v>
      </c>
      <c r="C432" s="6" t="s">
        <v>115</v>
      </c>
      <c r="D432" s="6" t="s">
        <v>17</v>
      </c>
      <c r="E432" s="6" t="s">
        <v>501</v>
      </c>
      <c r="F432" s="6" t="s">
        <v>60</v>
      </c>
      <c r="G432" s="6">
        <v>1103095276</v>
      </c>
      <c r="H432" t="str">
        <f t="shared" si="13"/>
        <v>INSERT INTO `parqueadero`.`vehiculo` (`Oid`, `Placa`, `Medio`, `Tipo`, `Marca`, `Color`, `IdConductor`) VALUES ('425','MTY448','AUTOMÓVIL','COMBUSTIBLE','NISSAN','GRIS','1103095276');</v>
      </c>
    </row>
    <row r="433" spans="1:8" ht="14.4" x14ac:dyDescent="0.3">
      <c r="A433" s="5">
        <f t="shared" si="12"/>
        <v>426</v>
      </c>
      <c r="B433" s="6" t="s">
        <v>1997</v>
      </c>
      <c r="C433" s="6" t="s">
        <v>2196</v>
      </c>
      <c r="D433" s="6" t="s">
        <v>17</v>
      </c>
      <c r="E433" s="6" t="s">
        <v>15</v>
      </c>
      <c r="F433" s="6" t="s">
        <v>157</v>
      </c>
      <c r="G433" s="6">
        <v>1103095276</v>
      </c>
      <c r="H433" t="str">
        <f t="shared" si="13"/>
        <v>INSERT INTO `parqueadero`.`vehiculo` (`Oid`, `Placa`, `Medio`, `Tipo`, `Marca`, `Color`, `IdConductor`) VALUES ('426','NQL91G','MOTOCICLETA','COMBUSTIBLE','HONDA NAVI','NEGRA','1103095276');</v>
      </c>
    </row>
    <row r="434" spans="1:8" ht="14.4" x14ac:dyDescent="0.3">
      <c r="A434" s="5">
        <f t="shared" si="12"/>
        <v>427</v>
      </c>
      <c r="B434" s="6" t="s">
        <v>2003</v>
      </c>
      <c r="C434" s="6" t="s">
        <v>2196</v>
      </c>
      <c r="D434" s="6" t="s">
        <v>17</v>
      </c>
      <c r="E434" s="6" t="s">
        <v>363</v>
      </c>
      <c r="F434" s="6" t="s">
        <v>2004</v>
      </c>
      <c r="G434" s="6">
        <v>80755333</v>
      </c>
      <c r="H434" t="str">
        <f t="shared" si="13"/>
        <v>INSERT INTO `parqueadero`.`vehiculo` (`Oid`, `Placa`, `Medio`, `Tipo`, `Marca`, `Color`, `IdConductor`) VALUES ('427','HIM091','MOTOCICLETA','COMBUSTIBLE','SUSUKI','VINOTINTO - BLANCO','80755333');</v>
      </c>
    </row>
    <row r="435" spans="1:8" ht="14.4" x14ac:dyDescent="0.3">
      <c r="A435" s="5">
        <f t="shared" si="12"/>
        <v>428</v>
      </c>
      <c r="B435" s="6" t="s">
        <v>2007</v>
      </c>
      <c r="C435" s="6" t="s">
        <v>115</v>
      </c>
      <c r="D435" s="6" t="s">
        <v>17</v>
      </c>
      <c r="E435" s="6" t="s">
        <v>304</v>
      </c>
      <c r="F435" s="6" t="s">
        <v>60</v>
      </c>
      <c r="G435" s="6">
        <v>80504271</v>
      </c>
      <c r="H435" t="str">
        <f t="shared" si="13"/>
        <v>INSERT INTO `parqueadero`.`vehiculo` (`Oid`, `Placa`, `Medio`, `Tipo`, `Marca`, `Color`, `IdConductor`) VALUES ('428','DWK452','AUTOMÓVIL','COMBUSTIBLE','RENAULT','GRIS','80504271');</v>
      </c>
    </row>
    <row r="436" spans="1:8" ht="14.4" x14ac:dyDescent="0.3">
      <c r="A436" s="5">
        <f t="shared" si="12"/>
        <v>429</v>
      </c>
      <c r="B436" s="17" t="s">
        <v>2012</v>
      </c>
      <c r="C436" s="6" t="s">
        <v>115</v>
      </c>
      <c r="D436" s="17" t="s">
        <v>17</v>
      </c>
      <c r="E436" s="17" t="s">
        <v>75</v>
      </c>
      <c r="F436" s="17" t="s">
        <v>2013</v>
      </c>
      <c r="G436" s="17">
        <v>91110560</v>
      </c>
      <c r="H436" t="str">
        <f t="shared" si="13"/>
        <v>INSERT INTO `parqueadero`.`vehiculo` (`Oid`, `Placa`, `Medio`, `Tipo`, `Marca`, `Color`, `IdConductor`) VALUES ('429','BOR380','AUTOMÓVIL','COMBUSTIBLE','MAZDA','BLANCO - NEGRO','91110560');</v>
      </c>
    </row>
    <row r="437" spans="1:8" ht="14.4" x14ac:dyDescent="0.3">
      <c r="A437" s="5">
        <f t="shared" si="12"/>
        <v>430</v>
      </c>
      <c r="B437" s="6" t="s">
        <v>2016</v>
      </c>
      <c r="C437" s="6" t="s">
        <v>115</v>
      </c>
      <c r="D437" s="6" t="s">
        <v>253</v>
      </c>
      <c r="E437" s="6" t="s">
        <v>2015</v>
      </c>
      <c r="F437" s="6" t="s">
        <v>60</v>
      </c>
      <c r="G437" s="6">
        <v>1023946531</v>
      </c>
      <c r="H437" t="str">
        <f t="shared" si="13"/>
        <v>INSERT INTO `parqueadero`.`vehiculo` (`Oid`, `Placa`, `Medio`, `Tipo`, `Marca`, `Color`, `IdConductor`) VALUES ('430','JVZ118','AUTOMÓVIL','HÍBRIDO','MAZDA 3 TOURING','GRIS','1023946531');</v>
      </c>
    </row>
    <row r="438" spans="1:8" ht="14.4" x14ac:dyDescent="0.3">
      <c r="A438" s="5">
        <f t="shared" si="12"/>
        <v>431</v>
      </c>
      <c r="B438" s="17" t="s">
        <v>2018</v>
      </c>
      <c r="C438" s="6" t="s">
        <v>143</v>
      </c>
      <c r="D438" s="6" t="s">
        <v>129</v>
      </c>
      <c r="E438" s="17" t="s">
        <v>2017</v>
      </c>
      <c r="F438" s="17" t="s">
        <v>52</v>
      </c>
      <c r="G438" s="17">
        <v>1020716220</v>
      </c>
      <c r="H438" t="str">
        <f t="shared" si="13"/>
        <v>INSERT INTO `parqueadero`.`vehiculo` (`Oid`, `Placa`, `Medio`, `Tipo`, `Marca`, `Color`, `IdConductor`) VALUES ('431','QQU671','CAMIONETA','ELÉCTRICO','GEELY','PLATA','1020716220');</v>
      </c>
    </row>
    <row r="439" spans="1:8" ht="14.4" x14ac:dyDescent="0.3">
      <c r="A439" s="5">
        <f t="shared" si="12"/>
        <v>432</v>
      </c>
      <c r="B439" s="6" t="s">
        <v>2021</v>
      </c>
      <c r="C439" s="6" t="s">
        <v>115</v>
      </c>
      <c r="D439" s="6" t="s">
        <v>17</v>
      </c>
      <c r="E439" s="6" t="s">
        <v>116</v>
      </c>
      <c r="F439" s="6" t="s">
        <v>60</v>
      </c>
      <c r="G439" s="6">
        <v>79756851</v>
      </c>
      <c r="H439" t="str">
        <f t="shared" si="13"/>
        <v>INSERT INTO `parqueadero`.`vehiculo` (`Oid`, `Placa`, `Medio`, `Tipo`, `Marca`, `Color`, `IdConductor`) VALUES ('432','REK534','AUTOMÓVIL','COMBUSTIBLE','HYUNDAI','GRIS','79756851');</v>
      </c>
    </row>
    <row r="440" spans="1:8" ht="14.4" x14ac:dyDescent="0.3">
      <c r="A440" s="5">
        <f t="shared" si="12"/>
        <v>433</v>
      </c>
      <c r="B440" s="6" t="s">
        <v>2023</v>
      </c>
      <c r="C440" s="6" t="s">
        <v>115</v>
      </c>
      <c r="D440" s="6" t="s">
        <v>129</v>
      </c>
      <c r="E440" s="6" t="s">
        <v>2022</v>
      </c>
      <c r="F440" s="6" t="s">
        <v>24</v>
      </c>
      <c r="G440" s="6">
        <v>1012383494</v>
      </c>
      <c r="H440" t="str">
        <f t="shared" si="13"/>
        <v>INSERT INTO `parqueadero`.`vehiculo` (`Oid`, `Placa`, `Medio`, `Tipo`, `Marca`, `Color`, `IdConductor`) VALUES ('433','QQS652','AUTOMÓVIL','ELÉCTRICO','MG S5','NEGRO','1012383494');</v>
      </c>
    </row>
    <row r="441" spans="1:8" ht="14.4" x14ac:dyDescent="0.3">
      <c r="A441" s="5">
        <f t="shared" si="12"/>
        <v>434</v>
      </c>
      <c r="B441" s="6" t="s">
        <v>2027</v>
      </c>
      <c r="C441" s="6" t="s">
        <v>115</v>
      </c>
      <c r="D441" s="6" t="s">
        <v>129</v>
      </c>
      <c r="E441" s="6" t="s">
        <v>2017</v>
      </c>
      <c r="F441" s="6" t="s">
        <v>52</v>
      </c>
      <c r="G441" s="6">
        <v>13741047</v>
      </c>
      <c r="H441" t="str">
        <f t="shared" si="13"/>
        <v>INSERT INTO `parqueadero`.`vehiculo` (`Oid`, `Placa`, `Medio`, `Tipo`, `Marca`, `Color`, `IdConductor`) VALUES ('434','QQW391','AUTOMÓVIL','ELÉCTRICO','GEELY','PLATA','13741047');</v>
      </c>
    </row>
    <row r="442" spans="1:8" ht="14.4" x14ac:dyDescent="0.3">
      <c r="A442" s="5">
        <f t="shared" si="12"/>
        <v>435</v>
      </c>
      <c r="B442" s="6" t="s">
        <v>2030</v>
      </c>
      <c r="C442" s="6" t="s">
        <v>2196</v>
      </c>
      <c r="D442" s="6" t="s">
        <v>17</v>
      </c>
      <c r="E442" s="6" t="s">
        <v>2029</v>
      </c>
      <c r="F442" s="6" t="s">
        <v>2031</v>
      </c>
      <c r="G442" s="6">
        <v>79979024</v>
      </c>
      <c r="H442" t="str">
        <f t="shared" si="13"/>
        <v>INSERT INTO `parqueadero`.`vehiculo` (`Oid`, `Placa`, `Medio`, `Tipo`, `Marca`, `Color`, `IdConductor`) VALUES ('435','RSQ67H','MOTOCICLETA','COMBUSTIBLE','HONDA XBLADE 160','NEGRO - NARANJA','79979024');</v>
      </c>
    </row>
    <row r="443" spans="1:8" ht="14.4" x14ac:dyDescent="0.3">
      <c r="A443" s="5">
        <f t="shared" si="12"/>
        <v>436</v>
      </c>
      <c r="B443" s="6" t="s">
        <v>2033</v>
      </c>
      <c r="C443" s="6" t="s">
        <v>2196</v>
      </c>
      <c r="D443" s="6" t="s">
        <v>17</v>
      </c>
      <c r="E443" s="6" t="s">
        <v>175</v>
      </c>
      <c r="F443" s="6" t="s">
        <v>66</v>
      </c>
      <c r="G443" s="6">
        <v>1030615542</v>
      </c>
      <c r="H443" t="str">
        <f t="shared" si="13"/>
        <v>INSERT INTO `parqueadero`.`vehiculo` (`Oid`, `Placa`, `Medio`, `Tipo`, `Marca`, `Color`, `IdConductor`) VALUES ('436','GXY89I','MOTOCICLETA','COMBUSTIBLE','AKT','BLANCO','1030615542');</v>
      </c>
    </row>
    <row r="444" spans="1:8" ht="14.4" x14ac:dyDescent="0.3">
      <c r="A444" s="5">
        <f t="shared" si="12"/>
        <v>437</v>
      </c>
      <c r="B444" s="17" t="s">
        <v>2034</v>
      </c>
      <c r="C444" s="6" t="s">
        <v>115</v>
      </c>
      <c r="D444" s="6" t="s">
        <v>129</v>
      </c>
      <c r="E444" s="17" t="s">
        <v>1948</v>
      </c>
      <c r="F444" s="17" t="s">
        <v>18</v>
      </c>
      <c r="G444" s="24">
        <v>45361037</v>
      </c>
      <c r="H444" t="str">
        <f t="shared" si="13"/>
        <v>INSERT INTO `parqueadero`.`vehiculo` (`Oid`, `Placa`, `Medio`, `Tipo`, `Marca`, `Color`, `IdConductor`) VALUES ('437','PRP903','AUTOMÓVIL','ELÉCTRICO','TESLA','AZUL','45361037');</v>
      </c>
    </row>
    <row r="445" spans="1:8" ht="14.4" x14ac:dyDescent="0.3">
      <c r="A445" s="5">
        <f t="shared" si="12"/>
        <v>438</v>
      </c>
      <c r="B445" s="6" t="s">
        <v>2035</v>
      </c>
      <c r="C445" s="6" t="s">
        <v>115</v>
      </c>
      <c r="D445" s="6" t="s">
        <v>17</v>
      </c>
      <c r="E445" s="6" t="s">
        <v>354</v>
      </c>
      <c r="F445" s="6" t="s">
        <v>18</v>
      </c>
      <c r="G445" s="6">
        <v>1026261037</v>
      </c>
      <c r="H445" t="str">
        <f t="shared" si="13"/>
        <v>INSERT INTO `parqueadero`.`vehiculo` (`Oid`, `Placa`, `Medio`, `Tipo`, `Marca`, `Color`, `IdConductor`) VALUES ('438','QQX340','AUTOMÓVIL','COMBUSTIBLE','NISSAN ','AZUL','1026261037');</v>
      </c>
    </row>
    <row r="446" spans="1:8" ht="14.4" x14ac:dyDescent="0.3">
      <c r="A446" s="5">
        <f t="shared" si="12"/>
        <v>439</v>
      </c>
      <c r="B446" s="6" t="s">
        <v>2039</v>
      </c>
      <c r="C446" s="6" t="s">
        <v>115</v>
      </c>
      <c r="D446" s="6" t="s">
        <v>129</v>
      </c>
      <c r="E446" s="6" t="s">
        <v>22</v>
      </c>
      <c r="F446" s="6" t="s">
        <v>66</v>
      </c>
      <c r="G446" s="6">
        <v>79737240</v>
      </c>
      <c r="H446" t="str">
        <f t="shared" si="13"/>
        <v>INSERT INTO `parqueadero`.`vehiculo` (`Oid`, `Placa`, `Medio`, `Tipo`, `Marca`, `Color`, `IdConductor`) VALUES ('439','PXW080','AUTOMÓVIL','ELÉCTRICO','BYD','BLANCO','79737240');</v>
      </c>
    </row>
    <row r="447" spans="1:8" ht="14.4" x14ac:dyDescent="0.3">
      <c r="A447" s="5">
        <f t="shared" si="12"/>
        <v>440</v>
      </c>
      <c r="B447" s="6" t="s">
        <v>2044</v>
      </c>
      <c r="C447" s="6" t="s">
        <v>2196</v>
      </c>
      <c r="D447" s="6" t="s">
        <v>17</v>
      </c>
      <c r="E447" s="6" t="s">
        <v>2043</v>
      </c>
      <c r="F447" s="6" t="s">
        <v>157</v>
      </c>
      <c r="G447" s="6">
        <v>1018493388</v>
      </c>
      <c r="H447" t="str">
        <f t="shared" si="13"/>
        <v>INSERT INTO `parqueadero`.`vehiculo` (`Oid`, `Placa`, `Medio`, `Tipo`, `Marca`, `Color`, `IdConductor`) VALUES ('440','GFY38I','MOTOCICLETA','COMBUSTIBLE','HUSQVARNA SVARTPILEN','NEGRA','1018493388');</v>
      </c>
    </row>
    <row r="448" spans="1:8" ht="14.4" x14ac:dyDescent="0.3">
      <c r="A448" s="5">
        <f t="shared" si="12"/>
        <v>441</v>
      </c>
      <c r="B448" s="17" t="s">
        <v>2049</v>
      </c>
      <c r="C448" s="6" t="s">
        <v>143</v>
      </c>
      <c r="D448" s="6" t="s">
        <v>129</v>
      </c>
      <c r="E448" s="17" t="s">
        <v>2048</v>
      </c>
      <c r="F448" s="17" t="s">
        <v>52</v>
      </c>
      <c r="G448" s="17">
        <v>1120747558</v>
      </c>
      <c r="H448" t="str">
        <f t="shared" si="13"/>
        <v>INSERT INTO `parqueadero`.`vehiculo` (`Oid`, `Placa`, `Medio`, `Tipo`, `Marca`, `Color`, `IdConductor`) VALUES ('441','QQX355','CAMIONETA','ELÉCTRICO','CHERY','PLATA','1120747558');</v>
      </c>
    </row>
    <row r="449" spans="1:8" ht="14.4" x14ac:dyDescent="0.3">
      <c r="A449" s="5">
        <f t="shared" si="12"/>
        <v>442</v>
      </c>
      <c r="B449" s="6" t="s">
        <v>2192</v>
      </c>
      <c r="C449" s="6" t="s">
        <v>2196</v>
      </c>
      <c r="D449" s="6" t="s">
        <v>129</v>
      </c>
      <c r="E449" s="6" t="s">
        <v>1953</v>
      </c>
      <c r="F449" s="6" t="s">
        <v>44</v>
      </c>
      <c r="G449" s="6">
        <v>1026273797</v>
      </c>
      <c r="H449" t="str">
        <f t="shared" si="13"/>
        <v>INSERT INTO `parqueadero`.`vehiculo` (`Oid`, `Placa`, `Medio`, `Tipo`, `Marca`, `Color`, `IdConductor`) VALUES ('442','MOT-005','MOTOCICLETA','ELÉCTRICO','EVOBIKE','ROJO','1026273797');</v>
      </c>
    </row>
    <row r="450" spans="1:8" ht="14.4" x14ac:dyDescent="0.3">
      <c r="A450" s="5">
        <f t="shared" si="12"/>
        <v>443</v>
      </c>
      <c r="B450" s="6" t="s">
        <v>2053</v>
      </c>
      <c r="C450" s="6" t="s">
        <v>143</v>
      </c>
      <c r="D450" s="6" t="s">
        <v>17</v>
      </c>
      <c r="E450" s="6" t="s">
        <v>75</v>
      </c>
      <c r="F450" s="6" t="s">
        <v>60</v>
      </c>
      <c r="G450" s="6">
        <v>4228842</v>
      </c>
      <c r="H450" t="str">
        <f t="shared" si="13"/>
        <v>INSERT INTO `parqueadero`.`vehiculo` (`Oid`, `Placa`, `Medio`, `Tipo`, `Marca`, `Color`, `IdConductor`) VALUES ('443','AVI453','CAMIONETA','COMBUSTIBLE','MAZDA','GRIS','4228842');</v>
      </c>
    </row>
    <row r="451" spans="1:8" ht="14.4" x14ac:dyDescent="0.3">
      <c r="A451" s="5">
        <f t="shared" si="12"/>
        <v>444</v>
      </c>
      <c r="B451" s="6" t="s">
        <v>2057</v>
      </c>
      <c r="C451" s="6" t="s">
        <v>143</v>
      </c>
      <c r="D451" s="6" t="s">
        <v>17</v>
      </c>
      <c r="E451" s="6" t="s">
        <v>354</v>
      </c>
      <c r="F451" s="6" t="s">
        <v>60</v>
      </c>
      <c r="G451" s="6">
        <v>1136879147</v>
      </c>
      <c r="H451" t="str">
        <f t="shared" si="13"/>
        <v>INSERT INTO `parqueadero`.`vehiculo` (`Oid`, `Placa`, `Medio`, `Tipo`, `Marca`, `Color`, `IdConductor`) VALUES ('444','JEK683','CAMIONETA','COMBUSTIBLE','NISSAN ','GRIS','1136879147');</v>
      </c>
    </row>
    <row r="452" spans="1:8" ht="14.4" x14ac:dyDescent="0.3">
      <c r="A452" s="5">
        <f t="shared" si="12"/>
        <v>445</v>
      </c>
      <c r="B452" s="6" t="s">
        <v>2060</v>
      </c>
      <c r="C452" s="6" t="s">
        <v>115</v>
      </c>
      <c r="D452" s="6" t="s">
        <v>17</v>
      </c>
      <c r="E452" s="6" t="s">
        <v>1348</v>
      </c>
      <c r="F452" s="6" t="s">
        <v>66</v>
      </c>
      <c r="G452" s="6">
        <v>13499548</v>
      </c>
      <c r="H452" t="str">
        <f t="shared" si="13"/>
        <v>INSERT INTO `parqueadero`.`vehiculo` (`Oid`, `Placa`, `Medio`, `Tipo`, `Marca`, `Color`, `IdConductor`) VALUES ('445','POR856','AUTOMÓVIL','COMBUSTIBLE','CITROEN','BLANCO','13499548');</v>
      </c>
    </row>
    <row r="453" spans="1:8" ht="14.4" x14ac:dyDescent="0.3">
      <c r="A453" s="5">
        <f t="shared" si="12"/>
        <v>446</v>
      </c>
      <c r="B453" s="6" t="s">
        <v>2063</v>
      </c>
      <c r="C453" s="6" t="s">
        <v>115</v>
      </c>
      <c r="D453" s="6" t="s">
        <v>17</v>
      </c>
      <c r="E453" s="6" t="s">
        <v>202</v>
      </c>
      <c r="F453" s="6" t="s">
        <v>248</v>
      </c>
      <c r="G453" s="6">
        <v>1118649429</v>
      </c>
      <c r="H453" t="str">
        <f t="shared" si="13"/>
        <v>INSERT INTO `parqueadero`.`vehiculo` (`Oid`, `Placa`, `Medio`, `Tipo`, `Marca`, `Color`, `IdConductor`) VALUES ('446','FYK571','AUTOMÓVIL','COMBUSTIBLE','VOLKSWAGEN','GRIS PLATA','1118649429');</v>
      </c>
    </row>
    <row r="454" spans="1:8" ht="14.4" x14ac:dyDescent="0.3">
      <c r="A454" s="5">
        <f t="shared" si="12"/>
        <v>447</v>
      </c>
      <c r="B454" s="6" t="s">
        <v>2067</v>
      </c>
      <c r="C454" s="6" t="s">
        <v>2196</v>
      </c>
      <c r="D454" s="6" t="s">
        <v>17</v>
      </c>
      <c r="E454" s="6" t="s">
        <v>175</v>
      </c>
      <c r="F454" s="6" t="s">
        <v>316</v>
      </c>
      <c r="G454" s="6">
        <v>1140882040</v>
      </c>
      <c r="H454" t="str">
        <f t="shared" si="13"/>
        <v>INSERT INTO `parqueadero`.`vehiculo` (`Oid`, `Placa`, `Medio`, `Tipo`, `Marca`, `Color`, `IdConductor`) VALUES ('447','SJP89G','MOTOCICLETA','COMBUSTIBLE','AKT','NEGRO MATE','1140882040');</v>
      </c>
    </row>
    <row r="455" spans="1:8" ht="14.4" x14ac:dyDescent="0.3">
      <c r="A455" s="5">
        <f t="shared" si="12"/>
        <v>448</v>
      </c>
      <c r="B455" s="6" t="s">
        <v>2070</v>
      </c>
      <c r="C455" s="6" t="s">
        <v>2196</v>
      </c>
      <c r="D455" s="6" t="s">
        <v>17</v>
      </c>
      <c r="E455" s="6" t="s">
        <v>363</v>
      </c>
      <c r="F455" s="6" t="s">
        <v>374</v>
      </c>
      <c r="G455" s="6">
        <v>1026578164</v>
      </c>
      <c r="H455" t="str">
        <f t="shared" si="13"/>
        <v>INSERT INTO `parqueadero`.`vehiculo` (`Oid`, `Placa`, `Medio`, `Tipo`, `Marca`, `Color`, `IdConductor`) VALUES ('448','KCE11I','MOTOCICLETA','COMBUSTIBLE','SUSUKI','AMARILLO - NEGRO','1026578164');</v>
      </c>
    </row>
    <row r="456" spans="1:8" ht="14.4" x14ac:dyDescent="0.3">
      <c r="A456" s="5">
        <f t="shared" si="12"/>
        <v>449</v>
      </c>
      <c r="B456" s="6" t="s">
        <v>2076</v>
      </c>
      <c r="C456" s="6" t="s">
        <v>2196</v>
      </c>
      <c r="D456" s="6" t="s">
        <v>17</v>
      </c>
      <c r="E456" s="6" t="s">
        <v>2075</v>
      </c>
      <c r="F456" s="6" t="s">
        <v>316</v>
      </c>
      <c r="G456" s="6">
        <v>79698622</v>
      </c>
      <c r="H456" t="str">
        <f t="shared" si="13"/>
        <v>INSERT INTO `parqueadero`.`vehiculo` (`Oid`, `Placa`, `Medio`, `Tipo`, `Marca`, `Color`, `IdConductor`) VALUES ('449','ICM27G','MOTOCICLETA','COMBUSTIBLE','YAMAHA FZ 250-A','NEGRO MATE','79698622');</v>
      </c>
    </row>
    <row r="457" spans="1:8" ht="14.4" x14ac:dyDescent="0.3">
      <c r="A457" s="5">
        <f t="shared" ref="A457:A464" si="14">ROW()-7</f>
        <v>450</v>
      </c>
      <c r="B457" s="6" t="s">
        <v>2079</v>
      </c>
      <c r="C457" s="6" t="s">
        <v>2196</v>
      </c>
      <c r="D457" s="6" t="s">
        <v>17</v>
      </c>
      <c r="E457" s="6" t="s">
        <v>2078</v>
      </c>
      <c r="F457" s="6" t="s">
        <v>2080</v>
      </c>
      <c r="G457" s="6">
        <v>79637566</v>
      </c>
      <c r="H457" t="str">
        <f t="shared" ref="H457:H464" si="15">CONCATENATE("INSERT INTO `parqueadero`.`vehiculo` (`",$A$7,"`, `",$B$7,"`, `",$C$7,"`, `",$D$7,"`, `",$E$7,"`, `",$F$7,"`, `",$G$7,"`) VALUES ('",A457,"','",B457,"','",C457,"','",D457,"','",E457,"','",F457,"','",G457,"');" )</f>
        <v>INSERT INTO `parqueadero`.`vehiculo` (`Oid`, `Placa`, `Medio`, `Tipo`, `Marca`, `Color`, `IdConductor`) VALUES ('450','RAK41C','MOTOCICLETA','COMBUSTIBLE','BAJAJ PULSAR 180 UG','NEGRO - AZUL','79637566');</v>
      </c>
    </row>
    <row r="458" spans="1:8" ht="14.4" x14ac:dyDescent="0.3">
      <c r="A458" s="5">
        <f t="shared" si="14"/>
        <v>451</v>
      </c>
      <c r="B458" s="17" t="s">
        <v>2081</v>
      </c>
      <c r="C458" s="6" t="s">
        <v>115</v>
      </c>
      <c r="D458" s="17" t="s">
        <v>17</v>
      </c>
      <c r="E458" s="17" t="s">
        <v>320</v>
      </c>
      <c r="F458" s="17" t="s">
        <v>60</v>
      </c>
      <c r="G458" s="17">
        <v>1075257769</v>
      </c>
      <c r="H458" t="str">
        <f t="shared" si="15"/>
        <v>INSERT INTO `parqueadero`.`vehiculo` (`Oid`, `Placa`, `Medio`, `Tipo`, `Marca`, `Color`, `IdConductor`) VALUES ('451','HTQ061','AUTOMÓVIL','COMBUSTIBLE','AUDI','GRIS','1075257769');</v>
      </c>
    </row>
    <row r="459" spans="1:8" ht="14.4" x14ac:dyDescent="0.3">
      <c r="A459" s="5">
        <f t="shared" si="14"/>
        <v>452</v>
      </c>
      <c r="B459" s="6" t="s">
        <v>2086</v>
      </c>
      <c r="C459" s="6" t="s">
        <v>143</v>
      </c>
      <c r="D459" s="6" t="s">
        <v>17</v>
      </c>
      <c r="E459" s="6" t="s">
        <v>2085</v>
      </c>
      <c r="F459" s="6" t="s">
        <v>238</v>
      </c>
      <c r="G459" s="6">
        <v>19226003</v>
      </c>
      <c r="H459" t="str">
        <f t="shared" si="15"/>
        <v>INSERT INTO `parqueadero`.`vehiculo` (`Oid`, `Placa`, `Medio`, `Tipo`, `Marca`, `Color`, `IdConductor`) VALUES ('452','TEP001','CAMIONETA','COMBUSTIBLE','VOLKSWAGEN AMAROK','BLANCA','19226003');</v>
      </c>
    </row>
    <row r="460" spans="1:8" ht="14.4" x14ac:dyDescent="0.3">
      <c r="A460" s="5">
        <f t="shared" si="14"/>
        <v>453</v>
      </c>
      <c r="B460" s="6" t="s">
        <v>2087</v>
      </c>
      <c r="C460" s="6" t="s">
        <v>143</v>
      </c>
      <c r="D460" s="6" t="s">
        <v>129</v>
      </c>
      <c r="E460" s="6" t="s">
        <v>2048</v>
      </c>
      <c r="F460" s="6" t="s">
        <v>60</v>
      </c>
      <c r="G460" s="6">
        <v>19226003</v>
      </c>
      <c r="H460" t="str">
        <f t="shared" si="15"/>
        <v>INSERT INTO `parqueadero`.`vehiculo` (`Oid`, `Placa`, `Medio`, `Tipo`, `Marca`, `Color`, `IdConductor`) VALUES ('453','QQU531','CAMIONETA','ELÉCTRICO','CHERY','GRIS','19226003');</v>
      </c>
    </row>
    <row r="461" spans="1:8" ht="14.4" x14ac:dyDescent="0.3">
      <c r="A461" s="5">
        <f t="shared" si="14"/>
        <v>454</v>
      </c>
      <c r="B461" s="6" t="s">
        <v>2090</v>
      </c>
      <c r="C461" s="6" t="s">
        <v>115</v>
      </c>
      <c r="D461" s="6" t="s">
        <v>17</v>
      </c>
      <c r="E461" s="6" t="s">
        <v>337</v>
      </c>
      <c r="F461" s="6" t="s">
        <v>60</v>
      </c>
      <c r="G461" s="6">
        <v>1020789222</v>
      </c>
      <c r="H461" t="str">
        <f t="shared" si="15"/>
        <v>INSERT INTO `parqueadero`.`vehiculo` (`Oid`, `Placa`, `Medio`, `Tipo`, `Marca`, `Color`, `IdConductor`) VALUES ('454','BRD379','AUTOMÓVIL','COMBUSTIBLE','MERCEDES BENZ','GRIS','1020789222');</v>
      </c>
    </row>
    <row r="462" spans="1:8" ht="14.4" x14ac:dyDescent="0.3">
      <c r="A462" s="5">
        <f t="shared" si="14"/>
        <v>455</v>
      </c>
      <c r="B462" s="6" t="s">
        <v>2092</v>
      </c>
      <c r="C462" s="6" t="s">
        <v>143</v>
      </c>
      <c r="D462" s="6" t="s">
        <v>17</v>
      </c>
      <c r="E462" s="6" t="s">
        <v>2091</v>
      </c>
      <c r="F462" s="6" t="s">
        <v>66</v>
      </c>
      <c r="G462" s="6">
        <v>1020806493</v>
      </c>
      <c r="H462" t="str">
        <f t="shared" si="15"/>
        <v>INSERT INTO `parqueadero`.`vehiculo` (`Oid`, `Placa`, `Medio`, `Tipo`, `Marca`, `Color`, `IdConductor`) VALUES ('455','FNY762','CAMIONETA','COMBUSTIBLE','PEUGEOT 3008','BLANCO','1020806493');</v>
      </c>
    </row>
    <row r="463" spans="1:8" ht="14.4" x14ac:dyDescent="0.3">
      <c r="A463" s="5">
        <f t="shared" si="14"/>
        <v>456</v>
      </c>
      <c r="B463" s="6" t="s">
        <v>2096</v>
      </c>
      <c r="C463" s="6" t="s">
        <v>143</v>
      </c>
      <c r="D463" s="6" t="s">
        <v>253</v>
      </c>
      <c r="E463" s="6" t="s">
        <v>363</v>
      </c>
      <c r="F463" s="6" t="s">
        <v>18</v>
      </c>
      <c r="G463" s="6">
        <v>52454937</v>
      </c>
      <c r="H463" t="str">
        <f t="shared" si="15"/>
        <v>INSERT INTO `parqueadero`.`vehiculo` (`Oid`, `Placa`, `Medio`, `Tipo`, `Marca`, `Color`, `IdConductor`) VALUES ('456','NJR865','CAMIONETA','HÍBRIDO','SUSUKI','AZUL','52454937');</v>
      </c>
    </row>
    <row r="464" spans="1:8" ht="14.4" x14ac:dyDescent="0.3">
      <c r="A464" s="5">
        <f t="shared" si="14"/>
        <v>457</v>
      </c>
      <c r="B464" s="6" t="s">
        <v>2097</v>
      </c>
      <c r="C464" s="6" t="s">
        <v>115</v>
      </c>
      <c r="D464" s="6" t="s">
        <v>17</v>
      </c>
      <c r="E464" s="6" t="s">
        <v>681</v>
      </c>
      <c r="F464" s="6" t="s">
        <v>60</v>
      </c>
      <c r="G464" s="6">
        <v>80019944</v>
      </c>
      <c r="H464" t="str">
        <f t="shared" si="15"/>
        <v>INSERT INTO `parqueadero`.`vehiculo` (`Oid`, `Placa`, `Medio`, `Tipo`, `Marca`, `Color`, `IdConductor`) VALUES ('457','LNL878','AUTOMÓVIL','COMBUSTIBLE','MAZDA 2','GRIS','80019944');</v>
      </c>
    </row>
  </sheetData>
  <mergeCells count="1">
    <mergeCell ref="A3:F4"/>
  </mergeCells>
  <conditionalFormatting sqref="B452:B464 B8:B450">
    <cfRule type="duplicateValues" dxfId="10" priority="3"/>
  </conditionalFormatting>
  <conditionalFormatting sqref="G7:G464 H7">
    <cfRule type="duplicateValues" dxfId="9" priority="2"/>
  </conditionalFormatting>
  <conditionalFormatting sqref="B1:B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7"/>
  <sheetViews>
    <sheetView workbookViewId="0">
      <selection activeCell="D13" sqref="D13"/>
    </sheetView>
  </sheetViews>
  <sheetFormatPr baseColWidth="10" defaultRowHeight="14.4" x14ac:dyDescent="0.3"/>
  <sheetData>
    <row r="1" spans="1:2" x14ac:dyDescent="0.3">
      <c r="A1" s="6" t="s">
        <v>16</v>
      </c>
      <c r="B1" t="str">
        <f>CONCATENATE("mk dir ",A1)</f>
        <v>mk dir HHC30F</v>
      </c>
    </row>
    <row r="2" spans="1:2" x14ac:dyDescent="0.3">
      <c r="A2" s="6" t="s">
        <v>23</v>
      </c>
      <c r="B2" t="str">
        <f t="shared" ref="B2:B65" si="0">CONCATENATE("mk dir ",A2)</f>
        <v>mk dir PYO819</v>
      </c>
    </row>
    <row r="3" spans="1:2" x14ac:dyDescent="0.3">
      <c r="A3" s="6" t="s">
        <v>29</v>
      </c>
      <c r="B3" t="str">
        <f t="shared" si="0"/>
        <v>mk dir PZK790</v>
      </c>
    </row>
    <row r="4" spans="1:2" x14ac:dyDescent="0.3">
      <c r="A4" s="17" t="s">
        <v>33</v>
      </c>
      <c r="B4" t="str">
        <f t="shared" si="0"/>
        <v>mk dir GBN050</v>
      </c>
    </row>
    <row r="5" spans="1:2" x14ac:dyDescent="0.3">
      <c r="A5" s="17" t="s">
        <v>43</v>
      </c>
      <c r="B5" t="str">
        <f t="shared" si="0"/>
        <v>mk dir NJW140</v>
      </c>
    </row>
    <row r="6" spans="1:2" x14ac:dyDescent="0.3">
      <c r="A6" s="6" t="s">
        <v>48</v>
      </c>
      <c r="B6" t="str">
        <f t="shared" si="0"/>
        <v>mk dir UBT13H</v>
      </c>
    </row>
    <row r="7" spans="1:2" x14ac:dyDescent="0.3">
      <c r="A7" s="6" t="s">
        <v>51</v>
      </c>
      <c r="B7" t="str">
        <f t="shared" si="0"/>
        <v>mk dir PBV621</v>
      </c>
    </row>
    <row r="8" spans="1:2" x14ac:dyDescent="0.3">
      <c r="A8" s="6" t="s">
        <v>57</v>
      </c>
      <c r="B8" t="str">
        <f t="shared" si="0"/>
        <v>mk dir XBE29G</v>
      </c>
    </row>
    <row r="9" spans="1:2" x14ac:dyDescent="0.3">
      <c r="A9" s="6" t="s">
        <v>59</v>
      </c>
      <c r="B9" t="str">
        <f t="shared" si="0"/>
        <v>mk dir NDP314</v>
      </c>
    </row>
    <row r="10" spans="1:2" x14ac:dyDescent="0.3">
      <c r="A10" s="6" t="s">
        <v>65</v>
      </c>
      <c r="B10" t="str">
        <f t="shared" si="0"/>
        <v>mk dir PCX986</v>
      </c>
    </row>
    <row r="11" spans="1:2" x14ac:dyDescent="0.3">
      <c r="A11" s="6" t="s">
        <v>71</v>
      </c>
      <c r="B11" t="str">
        <f t="shared" si="0"/>
        <v>mk dir IHS476</v>
      </c>
    </row>
    <row r="12" spans="1:2" x14ac:dyDescent="0.3">
      <c r="A12" s="6" t="s">
        <v>76</v>
      </c>
      <c r="B12" t="str">
        <f t="shared" si="0"/>
        <v>mk dir KXR994</v>
      </c>
    </row>
    <row r="13" spans="1:2" x14ac:dyDescent="0.3">
      <c r="A13" s="6" t="s">
        <v>86</v>
      </c>
      <c r="B13" t="str">
        <f t="shared" si="0"/>
        <v>mk dir WLO17E</v>
      </c>
    </row>
    <row r="14" spans="1:2" x14ac:dyDescent="0.3">
      <c r="A14" s="6" t="s">
        <v>95</v>
      </c>
      <c r="B14" t="str">
        <f t="shared" si="0"/>
        <v>mk dir PZR618</v>
      </c>
    </row>
    <row r="15" spans="1:2" x14ac:dyDescent="0.3">
      <c r="A15" s="6" t="s">
        <v>100</v>
      </c>
      <c r="B15" t="str">
        <f t="shared" si="0"/>
        <v>mk dir DOU159</v>
      </c>
    </row>
    <row r="16" spans="1:2" x14ac:dyDescent="0.3">
      <c r="A16" s="6" t="s">
        <v>105</v>
      </c>
      <c r="B16" t="str">
        <f t="shared" si="0"/>
        <v>mk dir WVZ58G</v>
      </c>
    </row>
    <row r="17" spans="1:2" x14ac:dyDescent="0.3">
      <c r="A17" s="17" t="s">
        <v>111</v>
      </c>
      <c r="B17" t="str">
        <f t="shared" si="0"/>
        <v>mk dir EDW320</v>
      </c>
    </row>
    <row r="18" spans="1:2" x14ac:dyDescent="0.3">
      <c r="A18" s="6" t="s">
        <v>117</v>
      </c>
      <c r="B18" t="str">
        <f t="shared" si="0"/>
        <v>mk dir CYG124</v>
      </c>
    </row>
    <row r="19" spans="1:2" x14ac:dyDescent="0.3">
      <c r="A19" s="6" t="s">
        <v>124</v>
      </c>
      <c r="B19" t="str">
        <f t="shared" si="0"/>
        <v>mk dir CEW125</v>
      </c>
    </row>
    <row r="20" spans="1:2" x14ac:dyDescent="0.3">
      <c r="A20" s="6" t="s">
        <v>133</v>
      </c>
      <c r="B20" t="str">
        <f t="shared" si="0"/>
        <v>mk dir JDK292</v>
      </c>
    </row>
    <row r="21" spans="1:2" x14ac:dyDescent="0.3">
      <c r="A21" s="6" t="s">
        <v>139</v>
      </c>
      <c r="B21" t="str">
        <f t="shared" si="0"/>
        <v>mk dir UBL721</v>
      </c>
    </row>
    <row r="22" spans="1:2" x14ac:dyDescent="0.3">
      <c r="A22" s="6" t="s">
        <v>145</v>
      </c>
      <c r="B22" t="str">
        <f t="shared" si="0"/>
        <v>mk dir IRW101</v>
      </c>
    </row>
    <row r="23" spans="1:2" x14ac:dyDescent="0.3">
      <c r="A23" s="6" t="s">
        <v>151</v>
      </c>
      <c r="B23" t="str">
        <f t="shared" si="0"/>
        <v>mk dir JMK619</v>
      </c>
    </row>
    <row r="24" spans="1:2" x14ac:dyDescent="0.3">
      <c r="A24" s="17" t="s">
        <v>160</v>
      </c>
      <c r="B24" t="str">
        <f t="shared" si="0"/>
        <v>mk dir HKL409</v>
      </c>
    </row>
    <row r="25" spans="1:2" x14ac:dyDescent="0.3">
      <c r="A25" s="6" t="s">
        <v>165</v>
      </c>
      <c r="B25" t="str">
        <f t="shared" si="0"/>
        <v>mk dir PWO708</v>
      </c>
    </row>
    <row r="26" spans="1:2" x14ac:dyDescent="0.3">
      <c r="A26" s="6" t="s">
        <v>171</v>
      </c>
      <c r="B26" t="str">
        <f t="shared" si="0"/>
        <v>mk dir MWQ77H</v>
      </c>
    </row>
    <row r="27" spans="1:2" x14ac:dyDescent="0.3">
      <c r="A27" s="6" t="s">
        <v>176</v>
      </c>
      <c r="B27" t="str">
        <f t="shared" si="0"/>
        <v>mk dir CAU94H</v>
      </c>
    </row>
    <row r="28" spans="1:2" x14ac:dyDescent="0.3">
      <c r="A28" s="6" t="s">
        <v>182</v>
      </c>
      <c r="B28" t="str">
        <f t="shared" si="0"/>
        <v>mk dir NJS729</v>
      </c>
    </row>
    <row r="29" spans="1:2" x14ac:dyDescent="0.3">
      <c r="A29" s="6" t="s">
        <v>186</v>
      </c>
      <c r="B29" t="str">
        <f t="shared" si="0"/>
        <v>mk dir UCY144</v>
      </c>
    </row>
    <row r="30" spans="1:2" x14ac:dyDescent="0.3">
      <c r="A30" s="6" t="s">
        <v>191</v>
      </c>
      <c r="B30" t="str">
        <f t="shared" si="0"/>
        <v>mk dir JWQ20F</v>
      </c>
    </row>
    <row r="31" spans="1:2" x14ac:dyDescent="0.3">
      <c r="A31" s="6" t="s">
        <v>197</v>
      </c>
      <c r="B31" t="str">
        <f t="shared" si="0"/>
        <v>mk dir DNT964</v>
      </c>
    </row>
    <row r="32" spans="1:2" x14ac:dyDescent="0.3">
      <c r="A32" s="6" t="s">
        <v>203</v>
      </c>
      <c r="B32" t="str">
        <f t="shared" si="0"/>
        <v>mk dir LJQ380</v>
      </c>
    </row>
    <row r="33" spans="1:2" x14ac:dyDescent="0.3">
      <c r="A33" s="17" t="s">
        <v>209</v>
      </c>
      <c r="B33" t="str">
        <f t="shared" si="0"/>
        <v>mk dir HVQ896</v>
      </c>
    </row>
    <row r="34" spans="1:2" x14ac:dyDescent="0.3">
      <c r="A34" s="6" t="s">
        <v>215</v>
      </c>
      <c r="B34" t="str">
        <f t="shared" si="0"/>
        <v>mk dir HIT028</v>
      </c>
    </row>
    <row r="35" spans="1:2" x14ac:dyDescent="0.3">
      <c r="A35" s="6" t="s">
        <v>220</v>
      </c>
      <c r="B35" t="str">
        <f t="shared" si="0"/>
        <v>mk dir PKK961</v>
      </c>
    </row>
    <row r="36" spans="1:2" x14ac:dyDescent="0.3">
      <c r="A36" s="6" t="s">
        <v>226</v>
      </c>
      <c r="B36" t="str">
        <f t="shared" si="0"/>
        <v>mk dir LRK237</v>
      </c>
    </row>
    <row r="37" spans="1:2" x14ac:dyDescent="0.3">
      <c r="A37" s="17" t="s">
        <v>231</v>
      </c>
      <c r="B37" t="str">
        <f t="shared" si="0"/>
        <v>mk dir GPW925</v>
      </c>
    </row>
    <row r="38" spans="1:2" x14ac:dyDescent="0.3">
      <c r="A38" s="6" t="s">
        <v>237</v>
      </c>
      <c r="B38" t="str">
        <f t="shared" si="0"/>
        <v>mk dir TOO29E</v>
      </c>
    </row>
    <row r="39" spans="1:2" x14ac:dyDescent="0.3">
      <c r="A39" s="6" t="s">
        <v>242</v>
      </c>
      <c r="B39" t="str">
        <f t="shared" si="0"/>
        <v>mk dir CXO597</v>
      </c>
    </row>
    <row r="40" spans="1:2" x14ac:dyDescent="0.3">
      <c r="A40" s="17" t="s">
        <v>247</v>
      </c>
      <c r="B40" t="str">
        <f t="shared" si="0"/>
        <v>mk dir CCT166</v>
      </c>
    </row>
    <row r="41" spans="1:2" x14ac:dyDescent="0.3">
      <c r="A41" s="6" t="s">
        <v>252</v>
      </c>
      <c r="B41" t="str">
        <f t="shared" si="0"/>
        <v>mk dir KWP790</v>
      </c>
    </row>
    <row r="42" spans="1:2" x14ac:dyDescent="0.3">
      <c r="A42" s="6" t="s">
        <v>258</v>
      </c>
      <c r="B42" t="str">
        <f t="shared" si="0"/>
        <v>mk dir CZT814</v>
      </c>
    </row>
    <row r="43" spans="1:2" x14ac:dyDescent="0.3">
      <c r="A43" s="6" t="s">
        <v>261</v>
      </c>
      <c r="B43" t="str">
        <f t="shared" si="0"/>
        <v>mk dir RDT94H</v>
      </c>
    </row>
    <row r="44" spans="1:2" x14ac:dyDescent="0.3">
      <c r="A44" s="6" t="s">
        <v>265</v>
      </c>
      <c r="B44" t="str">
        <f t="shared" si="0"/>
        <v>mk dir QLO085</v>
      </c>
    </row>
    <row r="45" spans="1:2" x14ac:dyDescent="0.3">
      <c r="A45" s="6" t="s">
        <v>272</v>
      </c>
      <c r="B45" t="str">
        <f t="shared" si="0"/>
        <v>mk dir DDR152</v>
      </c>
    </row>
    <row r="46" spans="1:2" x14ac:dyDescent="0.3">
      <c r="A46" s="6" t="s">
        <v>277</v>
      </c>
      <c r="B46" t="str">
        <f t="shared" si="0"/>
        <v>mk dir LTW847</v>
      </c>
    </row>
    <row r="47" spans="1:2" x14ac:dyDescent="0.3">
      <c r="A47" s="6" t="s">
        <v>281</v>
      </c>
      <c r="B47" t="str">
        <f t="shared" si="0"/>
        <v>mk dir JEZ418</v>
      </c>
    </row>
    <row r="48" spans="1:2" x14ac:dyDescent="0.3">
      <c r="A48" s="6" t="s">
        <v>286</v>
      </c>
      <c r="B48" t="str">
        <f t="shared" si="0"/>
        <v>mk dir PYW679</v>
      </c>
    </row>
    <row r="49" spans="1:2" x14ac:dyDescent="0.3">
      <c r="A49" s="6" t="s">
        <v>290</v>
      </c>
      <c r="B49" t="str">
        <f t="shared" si="0"/>
        <v>mk dir IHK708</v>
      </c>
    </row>
    <row r="50" spans="1:2" x14ac:dyDescent="0.3">
      <c r="A50" s="6" t="s">
        <v>295</v>
      </c>
      <c r="B50" t="str">
        <f t="shared" si="0"/>
        <v>mk dir IXS573</v>
      </c>
    </row>
    <row r="51" spans="1:2" x14ac:dyDescent="0.3">
      <c r="A51" s="6" t="s">
        <v>300</v>
      </c>
      <c r="B51" t="str">
        <f t="shared" si="0"/>
        <v>mk dir NIR622</v>
      </c>
    </row>
    <row r="52" spans="1:2" x14ac:dyDescent="0.3">
      <c r="A52" s="6" t="s">
        <v>305</v>
      </c>
      <c r="B52" t="str">
        <f t="shared" si="0"/>
        <v>mk dir NLV039</v>
      </c>
    </row>
    <row r="53" spans="1:2" x14ac:dyDescent="0.3">
      <c r="A53" s="6" t="s">
        <v>310</v>
      </c>
      <c r="B53" t="str">
        <f t="shared" si="0"/>
        <v>mk dir PGR899</v>
      </c>
    </row>
    <row r="54" spans="1:2" x14ac:dyDescent="0.3">
      <c r="A54" s="6" t="s">
        <v>315</v>
      </c>
      <c r="B54" t="str">
        <f t="shared" si="0"/>
        <v>mk dir OAP88G</v>
      </c>
    </row>
    <row r="55" spans="1:2" x14ac:dyDescent="0.3">
      <c r="A55" s="17" t="s">
        <v>321</v>
      </c>
      <c r="B55" t="str">
        <f t="shared" si="0"/>
        <v>mk dir HJZ870</v>
      </c>
    </row>
    <row r="56" spans="1:2" x14ac:dyDescent="0.3">
      <c r="A56" s="6" t="s">
        <v>326</v>
      </c>
      <c r="B56" t="str">
        <f t="shared" si="0"/>
        <v>mk dir KHB999</v>
      </c>
    </row>
    <row r="57" spans="1:2" x14ac:dyDescent="0.3">
      <c r="A57" s="6" t="s">
        <v>329</v>
      </c>
      <c r="B57" t="str">
        <f t="shared" si="0"/>
        <v>mk dir LNP307</v>
      </c>
    </row>
    <row r="58" spans="1:2" x14ac:dyDescent="0.3">
      <c r="A58" s="17" t="s">
        <v>334</v>
      </c>
      <c r="B58" t="str">
        <f t="shared" si="0"/>
        <v>mk dir MSM158</v>
      </c>
    </row>
    <row r="59" spans="1:2" x14ac:dyDescent="0.3">
      <c r="A59" s="6" t="s">
        <v>338</v>
      </c>
      <c r="B59" t="str">
        <f t="shared" si="0"/>
        <v>mk dir JON445</v>
      </c>
    </row>
    <row r="60" spans="1:2" x14ac:dyDescent="0.3">
      <c r="A60" s="6" t="s">
        <v>344</v>
      </c>
      <c r="B60" t="str">
        <f t="shared" si="0"/>
        <v>mk dir KMS378</v>
      </c>
    </row>
    <row r="61" spans="1:2" x14ac:dyDescent="0.3">
      <c r="A61" s="6" t="s">
        <v>349</v>
      </c>
      <c r="B61" t="str">
        <f t="shared" si="0"/>
        <v>mk dir PXW002</v>
      </c>
    </row>
    <row r="62" spans="1:2" x14ac:dyDescent="0.3">
      <c r="A62" s="6" t="s">
        <v>355</v>
      </c>
      <c r="B62" t="str">
        <f t="shared" si="0"/>
        <v>mk dir JVZ512</v>
      </c>
    </row>
    <row r="63" spans="1:2" x14ac:dyDescent="0.3">
      <c r="A63" s="6" t="s">
        <v>359</v>
      </c>
      <c r="B63" t="str">
        <f t="shared" si="0"/>
        <v>mk dir HFS366</v>
      </c>
    </row>
    <row r="64" spans="1:2" x14ac:dyDescent="0.3">
      <c r="A64" s="6" t="s">
        <v>364</v>
      </c>
      <c r="B64" t="str">
        <f t="shared" si="0"/>
        <v>mk dir LMV460</v>
      </c>
    </row>
    <row r="65" spans="1:2" x14ac:dyDescent="0.3">
      <c r="A65" s="6" t="s">
        <v>369</v>
      </c>
      <c r="B65" t="str">
        <f t="shared" si="0"/>
        <v>mk dir KAM648</v>
      </c>
    </row>
    <row r="66" spans="1:2" x14ac:dyDescent="0.3">
      <c r="A66" s="6" t="s">
        <v>373</v>
      </c>
      <c r="B66" t="str">
        <f t="shared" ref="B66:B129" si="1">CONCATENATE("mk dir ",A66)</f>
        <v>mk dir RTN03C</v>
      </c>
    </row>
    <row r="67" spans="1:2" x14ac:dyDescent="0.3">
      <c r="A67" s="6" t="s">
        <v>378</v>
      </c>
      <c r="B67" t="str">
        <f t="shared" si="1"/>
        <v>mk dir WLR267</v>
      </c>
    </row>
    <row r="68" spans="1:2" x14ac:dyDescent="0.3">
      <c r="A68" s="6" t="s">
        <v>388</v>
      </c>
      <c r="B68" t="str">
        <f t="shared" si="1"/>
        <v>mk dir UBO156</v>
      </c>
    </row>
    <row r="69" spans="1:2" x14ac:dyDescent="0.3">
      <c r="A69" s="6" t="s">
        <v>394</v>
      </c>
      <c r="B69" t="str">
        <f t="shared" si="1"/>
        <v>mk dir ELQ834</v>
      </c>
    </row>
    <row r="70" spans="1:2" x14ac:dyDescent="0.3">
      <c r="A70" s="6" t="s">
        <v>399</v>
      </c>
      <c r="B70" t="str">
        <f t="shared" si="1"/>
        <v>mk dir PYO907</v>
      </c>
    </row>
    <row r="71" spans="1:2" x14ac:dyDescent="0.3">
      <c r="A71" s="6" t="s">
        <v>404</v>
      </c>
      <c r="B71" t="str">
        <f t="shared" si="1"/>
        <v>mk dir ZSD48H</v>
      </c>
    </row>
    <row r="72" spans="1:2" x14ac:dyDescent="0.3">
      <c r="A72" s="17" t="s">
        <v>413</v>
      </c>
      <c r="B72" t="str">
        <f t="shared" si="1"/>
        <v>mk dir LTP577</v>
      </c>
    </row>
    <row r="73" spans="1:2" x14ac:dyDescent="0.3">
      <c r="A73" s="6" t="s">
        <v>417</v>
      </c>
      <c r="B73" t="str">
        <f t="shared" si="1"/>
        <v>mk dir PHX295</v>
      </c>
    </row>
    <row r="74" spans="1:2" x14ac:dyDescent="0.3">
      <c r="A74" s="6" t="s">
        <v>426</v>
      </c>
      <c r="B74" t="str">
        <f t="shared" si="1"/>
        <v>mk dir KWX244</v>
      </c>
    </row>
    <row r="75" spans="1:2" x14ac:dyDescent="0.3">
      <c r="A75" s="6" t="s">
        <v>2188</v>
      </c>
      <c r="B75" t="str">
        <f t="shared" si="1"/>
        <v>mk dir MOT-001</v>
      </c>
    </row>
    <row r="76" spans="1:2" x14ac:dyDescent="0.3">
      <c r="A76" s="6" t="s">
        <v>435</v>
      </c>
      <c r="B76" t="str">
        <f t="shared" si="1"/>
        <v>mk dir AVF201</v>
      </c>
    </row>
    <row r="77" spans="1:2" x14ac:dyDescent="0.3">
      <c r="A77" s="17" t="s">
        <v>440</v>
      </c>
      <c r="B77" t="str">
        <f t="shared" si="1"/>
        <v>mk dir FPQ281</v>
      </c>
    </row>
    <row r="78" spans="1:2" x14ac:dyDescent="0.3">
      <c r="A78" s="6" t="s">
        <v>444</v>
      </c>
      <c r="B78" t="str">
        <f t="shared" si="1"/>
        <v>mk dir ELP818</v>
      </c>
    </row>
    <row r="79" spans="1:2" x14ac:dyDescent="0.3">
      <c r="A79" s="6" t="s">
        <v>448</v>
      </c>
      <c r="B79" t="str">
        <f t="shared" si="1"/>
        <v>mk dir IVP630</v>
      </c>
    </row>
    <row r="80" spans="1:2" x14ac:dyDescent="0.3">
      <c r="A80" s="6" t="s">
        <v>453</v>
      </c>
      <c r="B80" t="str">
        <f t="shared" si="1"/>
        <v>mk dir GBU698</v>
      </c>
    </row>
    <row r="81" spans="1:2" x14ac:dyDescent="0.3">
      <c r="A81" s="17" t="s">
        <v>457</v>
      </c>
      <c r="B81" t="str">
        <f t="shared" si="1"/>
        <v>mk dir NLV749</v>
      </c>
    </row>
    <row r="82" spans="1:2" x14ac:dyDescent="0.3">
      <c r="A82" s="17" t="s">
        <v>462</v>
      </c>
      <c r="B82" t="str">
        <f t="shared" si="1"/>
        <v>mk dir RKY958</v>
      </c>
    </row>
    <row r="83" spans="1:2" x14ac:dyDescent="0.3">
      <c r="A83" s="6" t="s">
        <v>466</v>
      </c>
      <c r="B83" t="str">
        <f t="shared" si="1"/>
        <v>mk dir DJO120</v>
      </c>
    </row>
    <row r="84" spans="1:2" x14ac:dyDescent="0.3">
      <c r="A84" s="6" t="s">
        <v>472</v>
      </c>
      <c r="B84" t="str">
        <f t="shared" si="1"/>
        <v>mk dir DZZ039</v>
      </c>
    </row>
    <row r="85" spans="1:2" x14ac:dyDescent="0.3">
      <c r="A85" s="6" t="s">
        <v>477</v>
      </c>
      <c r="B85" t="str">
        <f t="shared" si="1"/>
        <v>mk dir JRM107</v>
      </c>
    </row>
    <row r="86" spans="1:2" x14ac:dyDescent="0.3">
      <c r="A86" s="6" t="s">
        <v>481</v>
      </c>
      <c r="B86" t="str">
        <f t="shared" si="1"/>
        <v>mk dir POT693</v>
      </c>
    </row>
    <row r="87" spans="1:2" x14ac:dyDescent="0.3">
      <c r="A87" s="6" t="s">
        <v>486</v>
      </c>
      <c r="B87" t="str">
        <f t="shared" si="1"/>
        <v>mk dir PHL863</v>
      </c>
    </row>
    <row r="88" spans="1:2" x14ac:dyDescent="0.3">
      <c r="A88" s="6" t="s">
        <v>492</v>
      </c>
      <c r="B88" t="str">
        <f t="shared" si="1"/>
        <v>mk dir JCX491</v>
      </c>
    </row>
    <row r="89" spans="1:2" x14ac:dyDescent="0.3">
      <c r="A89" s="6" t="s">
        <v>496</v>
      </c>
      <c r="B89" t="str">
        <f t="shared" si="1"/>
        <v>mk dir ELR761</v>
      </c>
    </row>
    <row r="90" spans="1:2" x14ac:dyDescent="0.3">
      <c r="A90" s="6" t="s">
        <v>502</v>
      </c>
      <c r="B90" t="str">
        <f t="shared" si="1"/>
        <v>mk dir DCT374</v>
      </c>
    </row>
    <row r="91" spans="1:2" x14ac:dyDescent="0.3">
      <c r="A91" s="6" t="s">
        <v>507</v>
      </c>
      <c r="B91" t="str">
        <f t="shared" si="1"/>
        <v>mk dir JVS865</v>
      </c>
    </row>
    <row r="92" spans="1:2" x14ac:dyDescent="0.3">
      <c r="A92" s="6" t="s">
        <v>511</v>
      </c>
      <c r="B92" t="str">
        <f t="shared" si="1"/>
        <v>mk dir DDD459</v>
      </c>
    </row>
    <row r="93" spans="1:2" x14ac:dyDescent="0.3">
      <c r="A93" s="6" t="s">
        <v>517</v>
      </c>
      <c r="B93" t="str">
        <f t="shared" si="1"/>
        <v>mk dir OBG31E</v>
      </c>
    </row>
    <row r="94" spans="1:2" x14ac:dyDescent="0.3">
      <c r="A94" s="6" t="s">
        <v>521</v>
      </c>
      <c r="B94" t="str">
        <f t="shared" si="1"/>
        <v>mk dir RMM055</v>
      </c>
    </row>
    <row r="95" spans="1:2" x14ac:dyDescent="0.3">
      <c r="A95" s="6" t="s">
        <v>525</v>
      </c>
      <c r="B95" t="str">
        <f t="shared" si="1"/>
        <v>mk dir KPK172</v>
      </c>
    </row>
    <row r="96" spans="1:2" x14ac:dyDescent="0.3">
      <c r="A96" s="6" t="s">
        <v>530</v>
      </c>
      <c r="B96" t="str">
        <f t="shared" si="1"/>
        <v>mk dir JNO190</v>
      </c>
    </row>
    <row r="97" spans="1:2" x14ac:dyDescent="0.3">
      <c r="A97" s="6" t="s">
        <v>534</v>
      </c>
      <c r="B97" t="str">
        <f t="shared" si="1"/>
        <v>mk dir DZV347</v>
      </c>
    </row>
    <row r="98" spans="1:2" x14ac:dyDescent="0.3">
      <c r="A98" s="6" t="s">
        <v>538</v>
      </c>
      <c r="B98" t="str">
        <f t="shared" si="1"/>
        <v>mk dir DBI304</v>
      </c>
    </row>
    <row r="99" spans="1:2" x14ac:dyDescent="0.3">
      <c r="A99" s="17" t="s">
        <v>542</v>
      </c>
      <c r="B99" t="str">
        <f t="shared" si="1"/>
        <v>mk dir JNQ616</v>
      </c>
    </row>
    <row r="100" spans="1:2" x14ac:dyDescent="0.3">
      <c r="A100" s="17" t="s">
        <v>546</v>
      </c>
      <c r="B100" t="str">
        <f t="shared" si="1"/>
        <v>mk dir JBN324</v>
      </c>
    </row>
    <row r="101" spans="1:2" x14ac:dyDescent="0.3">
      <c r="A101" s="6" t="s">
        <v>555</v>
      </c>
      <c r="B101" t="str">
        <f t="shared" si="1"/>
        <v>mk dir JDV193</v>
      </c>
    </row>
    <row r="102" spans="1:2" x14ac:dyDescent="0.3">
      <c r="A102" s="6" t="s">
        <v>560</v>
      </c>
      <c r="B102" t="str">
        <f t="shared" si="1"/>
        <v>mk dir JNK827</v>
      </c>
    </row>
    <row r="103" spans="1:2" x14ac:dyDescent="0.3">
      <c r="A103" s="6" t="s">
        <v>564</v>
      </c>
      <c r="B103" t="str">
        <f t="shared" si="1"/>
        <v>mk dir BYR110</v>
      </c>
    </row>
    <row r="104" spans="1:2" x14ac:dyDescent="0.3">
      <c r="A104" s="6" t="s">
        <v>569</v>
      </c>
      <c r="B104" t="str">
        <f t="shared" si="1"/>
        <v>mk dir LNP411</v>
      </c>
    </row>
    <row r="105" spans="1:2" x14ac:dyDescent="0.3">
      <c r="A105" s="6" t="s">
        <v>573</v>
      </c>
      <c r="B105" t="str">
        <f t="shared" si="1"/>
        <v>mk dir EHM75F</v>
      </c>
    </row>
    <row r="106" spans="1:2" x14ac:dyDescent="0.3">
      <c r="A106" s="6" t="s">
        <v>577</v>
      </c>
      <c r="B106" t="str">
        <f t="shared" si="1"/>
        <v>mk dir NIU313</v>
      </c>
    </row>
    <row r="107" spans="1:2" x14ac:dyDescent="0.3">
      <c r="A107" s="17" t="s">
        <v>583</v>
      </c>
      <c r="B107" t="str">
        <f t="shared" si="1"/>
        <v>mk dir BHT12C</v>
      </c>
    </row>
    <row r="108" spans="1:2" x14ac:dyDescent="0.3">
      <c r="A108" s="17" t="s">
        <v>588</v>
      </c>
      <c r="B108" t="str">
        <f t="shared" si="1"/>
        <v>mk dir UBZ404</v>
      </c>
    </row>
    <row r="109" spans="1:2" x14ac:dyDescent="0.3">
      <c r="A109" s="6" t="s">
        <v>593</v>
      </c>
      <c r="B109" t="str">
        <f t="shared" si="1"/>
        <v>mk dir DAX652</v>
      </c>
    </row>
    <row r="110" spans="1:2" x14ac:dyDescent="0.3">
      <c r="A110" s="6" t="s">
        <v>597</v>
      </c>
      <c r="B110" t="str">
        <f t="shared" si="1"/>
        <v>mk dir JVT391</v>
      </c>
    </row>
    <row r="111" spans="1:2" x14ac:dyDescent="0.3">
      <c r="A111" s="6" t="s">
        <v>601</v>
      </c>
      <c r="B111" t="str">
        <f t="shared" si="1"/>
        <v>mk dir PCU762</v>
      </c>
    </row>
    <row r="112" spans="1:2" x14ac:dyDescent="0.3">
      <c r="A112" s="17" t="s">
        <v>607</v>
      </c>
      <c r="B112" t="str">
        <f t="shared" si="1"/>
        <v>mk dir KJJ76G</v>
      </c>
    </row>
    <row r="113" spans="1:2" x14ac:dyDescent="0.3">
      <c r="A113" s="6" t="s">
        <v>612</v>
      </c>
      <c r="B113" t="str">
        <f t="shared" si="1"/>
        <v>mk dir UTQ561</v>
      </c>
    </row>
    <row r="114" spans="1:2" x14ac:dyDescent="0.3">
      <c r="A114" s="6" t="s">
        <v>617</v>
      </c>
      <c r="B114" t="str">
        <f t="shared" si="1"/>
        <v>mk dir KWZ109</v>
      </c>
    </row>
    <row r="115" spans="1:2" x14ac:dyDescent="0.3">
      <c r="A115" s="6" t="s">
        <v>621</v>
      </c>
      <c r="B115" t="str">
        <f t="shared" si="1"/>
        <v>mk dir KXR481</v>
      </c>
    </row>
    <row r="116" spans="1:2" x14ac:dyDescent="0.3">
      <c r="A116" s="6" t="s">
        <v>625</v>
      </c>
      <c r="B116" t="str">
        <f t="shared" si="1"/>
        <v>mk dir SCX09F</v>
      </c>
    </row>
    <row r="117" spans="1:2" x14ac:dyDescent="0.3">
      <c r="A117" s="6" t="s">
        <v>629</v>
      </c>
      <c r="B117" t="str">
        <f t="shared" si="1"/>
        <v>mk dir CSF967</v>
      </c>
    </row>
    <row r="118" spans="1:2" x14ac:dyDescent="0.3">
      <c r="A118" s="6" t="s">
        <v>634</v>
      </c>
      <c r="B118" t="str">
        <f t="shared" si="1"/>
        <v>mk dir PCM045</v>
      </c>
    </row>
    <row r="119" spans="1:2" x14ac:dyDescent="0.3">
      <c r="A119" s="17" t="s">
        <v>639</v>
      </c>
      <c r="B119" t="str">
        <f t="shared" si="1"/>
        <v>mk dir LWM872</v>
      </c>
    </row>
    <row r="120" spans="1:2" x14ac:dyDescent="0.3">
      <c r="A120" s="6" t="s">
        <v>643</v>
      </c>
      <c r="B120" t="str">
        <f t="shared" si="1"/>
        <v>mk dir MYL89H</v>
      </c>
    </row>
    <row r="121" spans="1:2" x14ac:dyDescent="0.3">
      <c r="A121" s="6" t="s">
        <v>647</v>
      </c>
      <c r="B121" t="str">
        <f t="shared" si="1"/>
        <v>mk dir LMZ504</v>
      </c>
    </row>
    <row r="122" spans="1:2" x14ac:dyDescent="0.3">
      <c r="A122" s="6" t="s">
        <v>652</v>
      </c>
      <c r="B122" t="str">
        <f t="shared" si="1"/>
        <v>mk dir MJW540</v>
      </c>
    </row>
    <row r="123" spans="1:2" x14ac:dyDescent="0.3">
      <c r="A123" s="6" t="s">
        <v>658</v>
      </c>
      <c r="B123" t="str">
        <f t="shared" si="1"/>
        <v>mk dir LWM992</v>
      </c>
    </row>
    <row r="124" spans="1:2" x14ac:dyDescent="0.3">
      <c r="A124" s="17" t="s">
        <v>662</v>
      </c>
      <c r="B124" t="str">
        <f t="shared" si="1"/>
        <v>mk dir MLJ42</v>
      </c>
    </row>
    <row r="125" spans="1:2" x14ac:dyDescent="0.3">
      <c r="A125" s="6" t="s">
        <v>666</v>
      </c>
      <c r="B125" t="str">
        <f t="shared" si="1"/>
        <v>mk dir KYZ718</v>
      </c>
    </row>
    <row r="126" spans="1:2" x14ac:dyDescent="0.3">
      <c r="A126" s="6" t="s">
        <v>671</v>
      </c>
      <c r="B126" t="str">
        <f t="shared" si="1"/>
        <v>mk dir FUA84H</v>
      </c>
    </row>
    <row r="127" spans="1:2" x14ac:dyDescent="0.3">
      <c r="A127" s="6" t="s">
        <v>677</v>
      </c>
      <c r="B127" t="str">
        <f t="shared" si="1"/>
        <v>mk dir KXQ945</v>
      </c>
    </row>
    <row r="128" spans="1:2" x14ac:dyDescent="0.3">
      <c r="A128" s="6" t="s">
        <v>682</v>
      </c>
      <c r="B128" t="str">
        <f t="shared" si="1"/>
        <v>mk dir JLK455</v>
      </c>
    </row>
    <row r="129" spans="1:2" x14ac:dyDescent="0.3">
      <c r="A129" s="6" t="s">
        <v>687</v>
      </c>
      <c r="B129" t="str">
        <f t="shared" si="1"/>
        <v>mk dir JDN117</v>
      </c>
    </row>
    <row r="130" spans="1:2" x14ac:dyDescent="0.3">
      <c r="A130" s="6" t="s">
        <v>692</v>
      </c>
      <c r="B130" t="str">
        <f t="shared" ref="B130:B193" si="2">CONCATENATE("mk dir ",A130)</f>
        <v>mk dir CYT553</v>
      </c>
    </row>
    <row r="131" spans="1:2" x14ac:dyDescent="0.3">
      <c r="A131" s="6" t="s">
        <v>697</v>
      </c>
      <c r="B131" t="str">
        <f t="shared" si="2"/>
        <v>mk dir HSQ116</v>
      </c>
    </row>
    <row r="132" spans="1:2" x14ac:dyDescent="0.3">
      <c r="A132" s="6" t="s">
        <v>702</v>
      </c>
      <c r="B132" t="str">
        <f t="shared" si="2"/>
        <v>mk dir ODK66E</v>
      </c>
    </row>
    <row r="133" spans="1:2" x14ac:dyDescent="0.3">
      <c r="A133" s="6" t="s">
        <v>707</v>
      </c>
      <c r="B133" t="str">
        <f t="shared" si="2"/>
        <v>mk dir HIU615</v>
      </c>
    </row>
    <row r="134" spans="1:2" x14ac:dyDescent="0.3">
      <c r="A134" s="6" t="s">
        <v>713</v>
      </c>
      <c r="B134" t="str">
        <f t="shared" si="2"/>
        <v>mk dir NDX070</v>
      </c>
    </row>
    <row r="135" spans="1:2" x14ac:dyDescent="0.3">
      <c r="A135" s="17" t="s">
        <v>717</v>
      </c>
      <c r="B135" t="str">
        <f t="shared" si="2"/>
        <v>mk dir ZAD20G</v>
      </c>
    </row>
    <row r="136" spans="1:2" x14ac:dyDescent="0.3">
      <c r="A136" s="6" t="s">
        <v>720</v>
      </c>
      <c r="B136" t="str">
        <f t="shared" si="2"/>
        <v>mk dir HJN091</v>
      </c>
    </row>
    <row r="137" spans="1:2" x14ac:dyDescent="0.3">
      <c r="A137" s="6" t="s">
        <v>724</v>
      </c>
      <c r="B137" t="str">
        <f t="shared" si="2"/>
        <v>mk dir GFN340</v>
      </c>
    </row>
    <row r="138" spans="1:2" x14ac:dyDescent="0.3">
      <c r="A138" s="6" t="s">
        <v>729</v>
      </c>
      <c r="B138" t="str">
        <f t="shared" si="2"/>
        <v>mk dir FOO895</v>
      </c>
    </row>
    <row r="139" spans="1:2" x14ac:dyDescent="0.3">
      <c r="A139" s="6" t="s">
        <v>733</v>
      </c>
      <c r="B139" t="str">
        <f t="shared" si="2"/>
        <v>mk dir SCP49F</v>
      </c>
    </row>
    <row r="140" spans="1:2" x14ac:dyDescent="0.3">
      <c r="A140" s="6" t="s">
        <v>738</v>
      </c>
      <c r="B140" t="str">
        <f t="shared" si="2"/>
        <v>mk dir JDZ500</v>
      </c>
    </row>
    <row r="141" spans="1:2" x14ac:dyDescent="0.3">
      <c r="A141" s="6" t="s">
        <v>744</v>
      </c>
      <c r="B141" t="str">
        <f t="shared" si="2"/>
        <v>mk dir FNQ384</v>
      </c>
    </row>
    <row r="142" spans="1:2" x14ac:dyDescent="0.3">
      <c r="A142" s="6" t="s">
        <v>748</v>
      </c>
      <c r="B142" t="str">
        <f t="shared" si="2"/>
        <v>mk dir JMV160</v>
      </c>
    </row>
    <row r="143" spans="1:2" x14ac:dyDescent="0.3">
      <c r="A143" s="6" t="s">
        <v>752</v>
      </c>
      <c r="B143" t="str">
        <f t="shared" si="2"/>
        <v>mk dir RMZ758</v>
      </c>
    </row>
    <row r="144" spans="1:2" x14ac:dyDescent="0.3">
      <c r="A144" s="6" t="s">
        <v>755</v>
      </c>
      <c r="B144" t="str">
        <f t="shared" si="2"/>
        <v>mk dir DIP89H</v>
      </c>
    </row>
    <row r="145" spans="1:2" x14ac:dyDescent="0.3">
      <c r="A145" s="6" t="s">
        <v>759</v>
      </c>
      <c r="B145" t="str">
        <f t="shared" si="2"/>
        <v>mk dir KPM490</v>
      </c>
    </row>
    <row r="146" spans="1:2" x14ac:dyDescent="0.3">
      <c r="A146" s="6" t="s">
        <v>763</v>
      </c>
      <c r="B146" t="str">
        <f t="shared" si="2"/>
        <v>mk dir JJP900</v>
      </c>
    </row>
    <row r="147" spans="1:2" x14ac:dyDescent="0.3">
      <c r="A147" s="6" t="s">
        <v>767</v>
      </c>
      <c r="B147" t="str">
        <f t="shared" si="2"/>
        <v>mk dir MRZ989</v>
      </c>
    </row>
    <row r="148" spans="1:2" x14ac:dyDescent="0.3">
      <c r="A148" s="6" t="s">
        <v>772</v>
      </c>
      <c r="B148" t="str">
        <f t="shared" si="2"/>
        <v>mk dir NOM978</v>
      </c>
    </row>
    <row r="149" spans="1:2" x14ac:dyDescent="0.3">
      <c r="A149" s="6" t="s">
        <v>778</v>
      </c>
      <c r="B149" t="str">
        <f t="shared" si="2"/>
        <v>mk dir FXY022</v>
      </c>
    </row>
    <row r="150" spans="1:2" x14ac:dyDescent="0.3">
      <c r="A150" s="6" t="s">
        <v>782</v>
      </c>
      <c r="B150" t="str">
        <f t="shared" si="2"/>
        <v>mk dir URX028</v>
      </c>
    </row>
    <row r="151" spans="1:2" x14ac:dyDescent="0.3">
      <c r="A151" s="17" t="s">
        <v>786</v>
      </c>
      <c r="B151" t="str">
        <f t="shared" si="2"/>
        <v>mk dir LMQ898</v>
      </c>
    </row>
    <row r="152" spans="1:2" x14ac:dyDescent="0.3">
      <c r="A152" s="6" t="s">
        <v>791</v>
      </c>
      <c r="B152" t="str">
        <f t="shared" si="2"/>
        <v>mk dir NJX700</v>
      </c>
    </row>
    <row r="153" spans="1:2" x14ac:dyDescent="0.3">
      <c r="A153" s="6" t="s">
        <v>796</v>
      </c>
      <c r="B153" t="str">
        <f t="shared" si="2"/>
        <v>mk dir DCL80E</v>
      </c>
    </row>
    <row r="154" spans="1:2" x14ac:dyDescent="0.3">
      <c r="A154" s="6" t="s">
        <v>801</v>
      </c>
      <c r="B154" t="str">
        <f t="shared" si="2"/>
        <v>mk dir JLQ291</v>
      </c>
    </row>
    <row r="155" spans="1:2" x14ac:dyDescent="0.3">
      <c r="A155" s="17" t="s">
        <v>806</v>
      </c>
      <c r="B155" t="str">
        <f t="shared" si="2"/>
        <v>mk dir RPK84E</v>
      </c>
    </row>
    <row r="156" spans="1:2" x14ac:dyDescent="0.3">
      <c r="A156" s="6" t="s">
        <v>811</v>
      </c>
      <c r="B156" t="str">
        <f t="shared" si="2"/>
        <v>mk dir NJZ832</v>
      </c>
    </row>
    <row r="157" spans="1:2" x14ac:dyDescent="0.3">
      <c r="A157" s="17" t="s">
        <v>30</v>
      </c>
      <c r="B157" t="str">
        <f t="shared" si="2"/>
        <v>mk dir PENDIENTE</v>
      </c>
    </row>
    <row r="158" spans="1:2" x14ac:dyDescent="0.3">
      <c r="A158" s="6" t="s">
        <v>818</v>
      </c>
      <c r="B158" t="str">
        <f t="shared" si="2"/>
        <v>mk dir INK096</v>
      </c>
    </row>
    <row r="159" spans="1:2" x14ac:dyDescent="0.3">
      <c r="A159" s="17" t="s">
        <v>822</v>
      </c>
      <c r="B159" t="str">
        <f t="shared" si="2"/>
        <v>mk dir NBW294</v>
      </c>
    </row>
    <row r="160" spans="1:2" x14ac:dyDescent="0.3">
      <c r="A160" s="6" t="s">
        <v>826</v>
      </c>
      <c r="B160" t="str">
        <f t="shared" si="2"/>
        <v>mk dir PZV518</v>
      </c>
    </row>
    <row r="161" spans="1:2" x14ac:dyDescent="0.3">
      <c r="A161" s="6" t="s">
        <v>831</v>
      </c>
      <c r="B161" t="str">
        <f t="shared" si="2"/>
        <v>mk dir DQO942</v>
      </c>
    </row>
    <row r="162" spans="1:2" x14ac:dyDescent="0.3">
      <c r="A162" s="6" t="s">
        <v>835</v>
      </c>
      <c r="B162" t="str">
        <f t="shared" si="2"/>
        <v>mk dir QTN58C</v>
      </c>
    </row>
    <row r="163" spans="1:2" x14ac:dyDescent="0.3">
      <c r="A163" s="6" t="s">
        <v>839</v>
      </c>
      <c r="B163" t="str">
        <f t="shared" si="2"/>
        <v>mk dir BZL830</v>
      </c>
    </row>
    <row r="164" spans="1:2" x14ac:dyDescent="0.3">
      <c r="A164" s="6" t="s">
        <v>844</v>
      </c>
      <c r="B164" t="str">
        <f t="shared" si="2"/>
        <v>mk dir CXU008</v>
      </c>
    </row>
    <row r="165" spans="1:2" x14ac:dyDescent="0.3">
      <c r="A165" s="6" t="s">
        <v>850</v>
      </c>
      <c r="B165" t="str">
        <f t="shared" si="2"/>
        <v>mk dir JWN05G</v>
      </c>
    </row>
    <row r="166" spans="1:2" x14ac:dyDescent="0.3">
      <c r="A166" s="6" t="s">
        <v>854</v>
      </c>
      <c r="B166" t="str">
        <f t="shared" si="2"/>
        <v>mk dir ZYX282</v>
      </c>
    </row>
    <row r="167" spans="1:2" x14ac:dyDescent="0.3">
      <c r="A167" s="6" t="s">
        <v>858</v>
      </c>
      <c r="B167" t="str">
        <f t="shared" si="2"/>
        <v>mk dir GPP291</v>
      </c>
    </row>
    <row r="168" spans="1:2" x14ac:dyDescent="0.3">
      <c r="A168" s="17" t="s">
        <v>863</v>
      </c>
      <c r="B168" t="str">
        <f t="shared" si="2"/>
        <v>mk dir JLW677</v>
      </c>
    </row>
    <row r="169" spans="1:2" x14ac:dyDescent="0.3">
      <c r="A169" s="6" t="s">
        <v>867</v>
      </c>
      <c r="B169" t="str">
        <f t="shared" si="2"/>
        <v>mk dir EJL040</v>
      </c>
    </row>
    <row r="170" spans="1:2" x14ac:dyDescent="0.3">
      <c r="A170" s="17" t="s">
        <v>870</v>
      </c>
      <c r="B170" t="str">
        <f t="shared" si="2"/>
        <v>mk dir NKX356</v>
      </c>
    </row>
    <row r="171" spans="1:2" x14ac:dyDescent="0.3">
      <c r="A171" s="17" t="s">
        <v>874</v>
      </c>
      <c r="B171" t="str">
        <f t="shared" si="2"/>
        <v>mk dir XCP05C</v>
      </c>
    </row>
    <row r="172" spans="1:2" x14ac:dyDescent="0.3">
      <c r="A172" s="6" t="s">
        <v>879</v>
      </c>
      <c r="B172" t="str">
        <f t="shared" si="2"/>
        <v>mk dir UDD71H</v>
      </c>
    </row>
    <row r="173" spans="1:2" x14ac:dyDescent="0.3">
      <c r="A173" s="6" t="s">
        <v>884</v>
      </c>
      <c r="B173" t="str">
        <f t="shared" si="2"/>
        <v>mk dir LNL046</v>
      </c>
    </row>
    <row r="174" spans="1:2" x14ac:dyDescent="0.3">
      <c r="A174" s="6" t="s">
        <v>888</v>
      </c>
      <c r="B174" t="str">
        <f t="shared" si="2"/>
        <v>mk dir DXT697</v>
      </c>
    </row>
    <row r="175" spans="1:2" x14ac:dyDescent="0.3">
      <c r="A175" s="6" t="s">
        <v>893</v>
      </c>
      <c r="B175" t="str">
        <f t="shared" si="2"/>
        <v>mk dir GSQ121</v>
      </c>
    </row>
    <row r="176" spans="1:2" x14ac:dyDescent="0.3">
      <c r="A176" s="17" t="s">
        <v>897</v>
      </c>
      <c r="B176" t="str">
        <f t="shared" si="2"/>
        <v>mk dir JCU242</v>
      </c>
    </row>
    <row r="177" spans="1:2" x14ac:dyDescent="0.3">
      <c r="A177" s="6" t="s">
        <v>901</v>
      </c>
      <c r="B177" t="str">
        <f t="shared" si="2"/>
        <v>mk dir UDY304</v>
      </c>
    </row>
    <row r="178" spans="1:2" x14ac:dyDescent="0.3">
      <c r="A178" s="6" t="s">
        <v>906</v>
      </c>
      <c r="B178" t="str">
        <f t="shared" si="2"/>
        <v>mk dir MKU320</v>
      </c>
    </row>
    <row r="179" spans="1:2" x14ac:dyDescent="0.3">
      <c r="A179" s="6" t="s">
        <v>910</v>
      </c>
      <c r="B179" t="str">
        <f t="shared" si="2"/>
        <v>mk dir UDK33H</v>
      </c>
    </row>
    <row r="180" spans="1:2" x14ac:dyDescent="0.3">
      <c r="A180" s="6" t="s">
        <v>915</v>
      </c>
      <c r="B180" t="str">
        <f t="shared" si="2"/>
        <v>mk dir FNM864</v>
      </c>
    </row>
    <row r="181" spans="1:2" x14ac:dyDescent="0.3">
      <c r="A181" s="6" t="s">
        <v>920</v>
      </c>
      <c r="B181" t="str">
        <f t="shared" si="2"/>
        <v>mk dir BLD160</v>
      </c>
    </row>
    <row r="182" spans="1:2" x14ac:dyDescent="0.3">
      <c r="A182" s="6" t="s">
        <v>925</v>
      </c>
      <c r="B182" t="str">
        <f t="shared" si="2"/>
        <v>mk dir KAM927</v>
      </c>
    </row>
    <row r="183" spans="1:2" x14ac:dyDescent="0.3">
      <c r="A183" s="6" t="s">
        <v>930</v>
      </c>
      <c r="B183" t="str">
        <f t="shared" si="2"/>
        <v>mk dir JNU529</v>
      </c>
    </row>
    <row r="184" spans="1:2" x14ac:dyDescent="0.3">
      <c r="A184" s="6" t="s">
        <v>935</v>
      </c>
      <c r="B184" t="str">
        <f t="shared" si="2"/>
        <v>mk dir NJV828</v>
      </c>
    </row>
    <row r="185" spans="1:2" x14ac:dyDescent="0.3">
      <c r="A185" s="6" t="s">
        <v>938</v>
      </c>
      <c r="B185" t="str">
        <f t="shared" si="2"/>
        <v>mk dir NGK802</v>
      </c>
    </row>
    <row r="186" spans="1:2" x14ac:dyDescent="0.3">
      <c r="A186" s="6" t="s">
        <v>942</v>
      </c>
      <c r="B186" t="str">
        <f t="shared" si="2"/>
        <v>mk dir KHY698</v>
      </c>
    </row>
    <row r="187" spans="1:2" x14ac:dyDescent="0.3">
      <c r="A187" s="6" t="s">
        <v>947</v>
      </c>
      <c r="B187" t="str">
        <f t="shared" si="2"/>
        <v>mk dir QPE41H</v>
      </c>
    </row>
    <row r="188" spans="1:2" x14ac:dyDescent="0.3">
      <c r="A188" s="6" t="s">
        <v>951</v>
      </c>
      <c r="B188" t="str">
        <f t="shared" si="2"/>
        <v>mk dir KPM313</v>
      </c>
    </row>
    <row r="189" spans="1:2" x14ac:dyDescent="0.3">
      <c r="A189" s="6" t="s">
        <v>955</v>
      </c>
      <c r="B189" t="str">
        <f t="shared" si="2"/>
        <v>mk dir ZZQ044</v>
      </c>
    </row>
    <row r="190" spans="1:2" x14ac:dyDescent="0.3">
      <c r="A190" s="6" t="s">
        <v>960</v>
      </c>
      <c r="B190" t="str">
        <f t="shared" si="2"/>
        <v>mk dir EBN363</v>
      </c>
    </row>
    <row r="191" spans="1:2" x14ac:dyDescent="0.3">
      <c r="A191" s="6" t="s">
        <v>964</v>
      </c>
      <c r="B191" t="str">
        <f t="shared" si="2"/>
        <v>mk dir DLF53C</v>
      </c>
    </row>
    <row r="192" spans="1:2" x14ac:dyDescent="0.3">
      <c r="A192" s="6" t="s">
        <v>968</v>
      </c>
      <c r="B192" t="str">
        <f t="shared" si="2"/>
        <v>mk dir FLM749</v>
      </c>
    </row>
    <row r="193" spans="1:2" x14ac:dyDescent="0.3">
      <c r="A193" s="17" t="s">
        <v>972</v>
      </c>
      <c r="B193" t="str">
        <f t="shared" si="2"/>
        <v>mk dir HIS237</v>
      </c>
    </row>
    <row r="194" spans="1:2" x14ac:dyDescent="0.3">
      <c r="A194" s="6" t="s">
        <v>977</v>
      </c>
      <c r="B194" t="str">
        <f t="shared" ref="B194:B257" si="3">CONCATENATE("mk dir ",A194)</f>
        <v>mk dir NDW570</v>
      </c>
    </row>
    <row r="195" spans="1:2" x14ac:dyDescent="0.3">
      <c r="A195" s="17" t="s">
        <v>981</v>
      </c>
      <c r="B195" t="str">
        <f t="shared" si="3"/>
        <v>mk dir IXR377</v>
      </c>
    </row>
    <row r="196" spans="1:2" x14ac:dyDescent="0.3">
      <c r="A196" s="6" t="s">
        <v>984</v>
      </c>
      <c r="B196" t="str">
        <f t="shared" si="3"/>
        <v>mk dir RCU484</v>
      </c>
    </row>
    <row r="197" spans="1:2" x14ac:dyDescent="0.3">
      <c r="A197" s="6" t="s">
        <v>989</v>
      </c>
      <c r="B197" t="str">
        <f t="shared" si="3"/>
        <v>mk dir MBM740</v>
      </c>
    </row>
    <row r="198" spans="1:2" x14ac:dyDescent="0.3">
      <c r="A198" s="6" t="s">
        <v>2189</v>
      </c>
      <c r="B198" t="str">
        <f t="shared" si="3"/>
        <v>mk dir MOT-002</v>
      </c>
    </row>
    <row r="199" spans="1:2" x14ac:dyDescent="0.3">
      <c r="A199" s="6" t="s">
        <v>998</v>
      </c>
      <c r="B199" t="str">
        <f t="shared" si="3"/>
        <v>mk dir LRX282</v>
      </c>
    </row>
    <row r="200" spans="1:2" x14ac:dyDescent="0.3">
      <c r="A200" s="6" t="s">
        <v>1002</v>
      </c>
      <c r="B200" t="str">
        <f t="shared" si="3"/>
        <v>mk dir HKS838</v>
      </c>
    </row>
    <row r="201" spans="1:2" x14ac:dyDescent="0.3">
      <c r="A201" s="6" t="s">
        <v>1007</v>
      </c>
      <c r="B201" t="str">
        <f t="shared" si="3"/>
        <v>mk dir FVK55H</v>
      </c>
    </row>
    <row r="202" spans="1:2" x14ac:dyDescent="0.3">
      <c r="A202" s="6" t="s">
        <v>1011</v>
      </c>
      <c r="B202" t="str">
        <f t="shared" si="3"/>
        <v>mk dir LNQ539</v>
      </c>
    </row>
    <row r="203" spans="1:2" x14ac:dyDescent="0.3">
      <c r="A203" s="6" t="s">
        <v>1015</v>
      </c>
      <c r="B203" t="str">
        <f t="shared" si="3"/>
        <v>mk dir QLT32G</v>
      </c>
    </row>
    <row r="204" spans="1:2" x14ac:dyDescent="0.3">
      <c r="A204" s="6" t="s">
        <v>1020</v>
      </c>
      <c r="B204" t="str">
        <f t="shared" si="3"/>
        <v>mk dir PCV468</v>
      </c>
    </row>
    <row r="205" spans="1:2" x14ac:dyDescent="0.3">
      <c r="A205" s="6" t="s">
        <v>1025</v>
      </c>
      <c r="B205" t="str">
        <f t="shared" si="3"/>
        <v>mk dir RKN115</v>
      </c>
    </row>
    <row r="206" spans="1:2" x14ac:dyDescent="0.3">
      <c r="A206" s="6" t="s">
        <v>1029</v>
      </c>
      <c r="B206" t="str">
        <f t="shared" si="3"/>
        <v>mk dir NAF95H</v>
      </c>
    </row>
    <row r="207" spans="1:2" x14ac:dyDescent="0.3">
      <c r="A207" s="6" t="s">
        <v>1032</v>
      </c>
      <c r="B207" t="str">
        <f t="shared" si="3"/>
        <v>mk dir KMY552</v>
      </c>
    </row>
    <row r="208" spans="1:2" x14ac:dyDescent="0.3">
      <c r="A208" s="6" t="s">
        <v>1037</v>
      </c>
      <c r="B208" t="str">
        <f t="shared" si="3"/>
        <v>mk dir NSU353</v>
      </c>
    </row>
    <row r="209" spans="1:2" x14ac:dyDescent="0.3">
      <c r="A209" s="17" t="s">
        <v>1042</v>
      </c>
      <c r="B209" t="str">
        <f t="shared" si="3"/>
        <v>mk dir IVU685</v>
      </c>
    </row>
    <row r="210" spans="1:2" x14ac:dyDescent="0.3">
      <c r="A210" s="17" t="s">
        <v>1047</v>
      </c>
      <c r="B210" t="str">
        <f t="shared" si="3"/>
        <v>mk dir WRI85H</v>
      </c>
    </row>
    <row r="211" spans="1:2" x14ac:dyDescent="0.3">
      <c r="A211" s="6" t="s">
        <v>1052</v>
      </c>
      <c r="B211" t="str">
        <f t="shared" si="3"/>
        <v>mk dir PZT247</v>
      </c>
    </row>
    <row r="212" spans="1:2" x14ac:dyDescent="0.3">
      <c r="A212" s="6" t="s">
        <v>1056</v>
      </c>
      <c r="B212" t="str">
        <f t="shared" si="3"/>
        <v>mk dir CZY815</v>
      </c>
    </row>
    <row r="213" spans="1:2" x14ac:dyDescent="0.3">
      <c r="A213" s="6" t="s">
        <v>1060</v>
      </c>
      <c r="B213" t="str">
        <f t="shared" si="3"/>
        <v>mk dir NCL288</v>
      </c>
    </row>
    <row r="214" spans="1:2" x14ac:dyDescent="0.3">
      <c r="A214" s="6" t="s">
        <v>1065</v>
      </c>
      <c r="B214" t="str">
        <f t="shared" si="3"/>
        <v>mk dir EFL237</v>
      </c>
    </row>
    <row r="215" spans="1:2" x14ac:dyDescent="0.3">
      <c r="A215" s="6" t="s">
        <v>1070</v>
      </c>
      <c r="B215" t="str">
        <f t="shared" si="3"/>
        <v>mk dir JVT888</v>
      </c>
    </row>
    <row r="216" spans="1:2" x14ac:dyDescent="0.3">
      <c r="A216" s="6" t="s">
        <v>1074</v>
      </c>
      <c r="B216" t="str">
        <f t="shared" si="3"/>
        <v>mk dir LLR904</v>
      </c>
    </row>
    <row r="217" spans="1:2" x14ac:dyDescent="0.3">
      <c r="A217" s="6" t="s">
        <v>1078</v>
      </c>
      <c r="B217" t="str">
        <f t="shared" si="3"/>
        <v>mk dir ZXS854</v>
      </c>
    </row>
    <row r="218" spans="1:2" x14ac:dyDescent="0.3">
      <c r="A218" s="6" t="s">
        <v>1082</v>
      </c>
      <c r="B218" t="str">
        <f t="shared" si="3"/>
        <v>mk dir UCT114</v>
      </c>
    </row>
    <row r="219" spans="1:2" x14ac:dyDescent="0.3">
      <c r="A219" s="17" t="s">
        <v>1088</v>
      </c>
      <c r="B219" t="str">
        <f t="shared" si="3"/>
        <v>mk dir HWM047</v>
      </c>
    </row>
    <row r="220" spans="1:2" x14ac:dyDescent="0.3">
      <c r="A220" s="6" t="s">
        <v>1092</v>
      </c>
      <c r="B220" t="str">
        <f t="shared" si="3"/>
        <v>mk dir GPX812</v>
      </c>
    </row>
    <row r="221" spans="1:2" x14ac:dyDescent="0.3">
      <c r="A221" s="6" t="s">
        <v>1097</v>
      </c>
      <c r="B221" t="str">
        <f t="shared" si="3"/>
        <v>mk dir RGN450</v>
      </c>
    </row>
    <row r="222" spans="1:2" x14ac:dyDescent="0.3">
      <c r="A222" s="17" t="s">
        <v>1102</v>
      </c>
      <c r="B222" t="str">
        <f t="shared" si="3"/>
        <v>mk dir PCN272</v>
      </c>
    </row>
    <row r="223" spans="1:2" x14ac:dyDescent="0.3">
      <c r="A223" s="6" t="s">
        <v>1106</v>
      </c>
      <c r="B223" t="str">
        <f t="shared" si="3"/>
        <v>mk dir HVU392</v>
      </c>
    </row>
    <row r="224" spans="1:2" x14ac:dyDescent="0.3">
      <c r="A224" s="6" t="s">
        <v>1110</v>
      </c>
      <c r="B224" t="str">
        <f t="shared" si="3"/>
        <v>mk dir FYO593</v>
      </c>
    </row>
    <row r="225" spans="1:2" x14ac:dyDescent="0.3">
      <c r="A225" s="17" t="s">
        <v>1114</v>
      </c>
      <c r="B225" t="str">
        <f t="shared" si="3"/>
        <v>mk dir NUS236</v>
      </c>
    </row>
    <row r="226" spans="1:2" x14ac:dyDescent="0.3">
      <c r="A226" s="17" t="s">
        <v>1118</v>
      </c>
      <c r="B226" t="str">
        <f t="shared" si="3"/>
        <v>mk dir LUM74G</v>
      </c>
    </row>
    <row r="227" spans="1:2" x14ac:dyDescent="0.3">
      <c r="A227" s="6" t="s">
        <v>1123</v>
      </c>
      <c r="B227" t="str">
        <f t="shared" si="3"/>
        <v>mk dir ZXY753</v>
      </c>
    </row>
    <row r="228" spans="1:2" x14ac:dyDescent="0.3">
      <c r="A228" s="6" t="s">
        <v>1128</v>
      </c>
      <c r="B228" t="str">
        <f t="shared" si="3"/>
        <v>mk dir JXV942</v>
      </c>
    </row>
    <row r="229" spans="1:2" x14ac:dyDescent="0.3">
      <c r="A229" s="6" t="s">
        <v>1132</v>
      </c>
      <c r="B229" t="str">
        <f t="shared" si="3"/>
        <v>mk dir JUW580</v>
      </c>
    </row>
    <row r="230" spans="1:2" x14ac:dyDescent="0.3">
      <c r="A230" s="6" t="s">
        <v>1137</v>
      </c>
      <c r="B230" t="str">
        <f t="shared" si="3"/>
        <v>mk dir BTD47G</v>
      </c>
    </row>
    <row r="231" spans="1:2" x14ac:dyDescent="0.3">
      <c r="A231" s="6" t="s">
        <v>1142</v>
      </c>
      <c r="B231" t="str">
        <f t="shared" si="3"/>
        <v>mk dir IBM82G</v>
      </c>
    </row>
    <row r="232" spans="1:2" x14ac:dyDescent="0.3">
      <c r="A232" s="6" t="s">
        <v>1147</v>
      </c>
      <c r="B232" t="str">
        <f t="shared" si="3"/>
        <v>mk dir LNL250</v>
      </c>
    </row>
    <row r="233" spans="1:2" x14ac:dyDescent="0.3">
      <c r="A233" s="6" t="s">
        <v>1157</v>
      </c>
      <c r="B233" t="str">
        <f t="shared" si="3"/>
        <v>mk dir FNY049</v>
      </c>
    </row>
    <row r="234" spans="1:2" x14ac:dyDescent="0.3">
      <c r="A234" s="6" t="s">
        <v>1162</v>
      </c>
      <c r="B234" t="str">
        <f t="shared" si="3"/>
        <v>mk dir KXE25G</v>
      </c>
    </row>
    <row r="235" spans="1:2" x14ac:dyDescent="0.3">
      <c r="A235" s="17" t="s">
        <v>1167</v>
      </c>
      <c r="B235" t="str">
        <f t="shared" si="3"/>
        <v>mk dir PAX983</v>
      </c>
    </row>
    <row r="236" spans="1:2" x14ac:dyDescent="0.3">
      <c r="A236" s="6" t="s">
        <v>1170</v>
      </c>
      <c r="B236" t="str">
        <f t="shared" si="3"/>
        <v>mk dir GCQ531</v>
      </c>
    </row>
    <row r="237" spans="1:2" x14ac:dyDescent="0.3">
      <c r="A237" s="17" t="s">
        <v>1179</v>
      </c>
      <c r="B237" t="str">
        <f t="shared" si="3"/>
        <v>mk dir QVH56C</v>
      </c>
    </row>
    <row r="238" spans="1:2" x14ac:dyDescent="0.3">
      <c r="A238" s="6" t="s">
        <v>1182</v>
      </c>
      <c r="B238" t="str">
        <f t="shared" si="3"/>
        <v>mk dir FPV215</v>
      </c>
    </row>
    <row r="239" spans="1:2" x14ac:dyDescent="0.3">
      <c r="A239" s="6" t="s">
        <v>1186</v>
      </c>
      <c r="B239" t="str">
        <f t="shared" si="3"/>
        <v>mk dir IJL691</v>
      </c>
    </row>
    <row r="240" spans="1:2" x14ac:dyDescent="0.3">
      <c r="A240" s="6" t="s">
        <v>1191</v>
      </c>
      <c r="B240" t="str">
        <f t="shared" si="3"/>
        <v>mk dir KOV035</v>
      </c>
    </row>
    <row r="241" spans="1:2" x14ac:dyDescent="0.3">
      <c r="A241" s="17" t="s">
        <v>1196</v>
      </c>
      <c r="B241" t="str">
        <f t="shared" si="3"/>
        <v>mk dir FQP716</v>
      </c>
    </row>
    <row r="242" spans="1:2" x14ac:dyDescent="0.3">
      <c r="A242" s="17" t="s">
        <v>1201</v>
      </c>
      <c r="B242" t="str">
        <f t="shared" si="3"/>
        <v>mk dir RKP236</v>
      </c>
    </row>
    <row r="243" spans="1:2" x14ac:dyDescent="0.3">
      <c r="A243" s="17" t="s">
        <v>1205</v>
      </c>
      <c r="B243" t="str">
        <f t="shared" si="3"/>
        <v>mk dir JWY962</v>
      </c>
    </row>
    <row r="244" spans="1:2" x14ac:dyDescent="0.3">
      <c r="A244" s="17" t="s">
        <v>1210</v>
      </c>
      <c r="B244" t="str">
        <f t="shared" si="3"/>
        <v>mk dir IWP358</v>
      </c>
    </row>
    <row r="245" spans="1:2" x14ac:dyDescent="0.3">
      <c r="A245" s="6" t="s">
        <v>1215</v>
      </c>
      <c r="B245" t="str">
        <f t="shared" si="3"/>
        <v>mk dir PDX410</v>
      </c>
    </row>
    <row r="246" spans="1:2" x14ac:dyDescent="0.3">
      <c r="A246" s="6" t="s">
        <v>1221</v>
      </c>
      <c r="B246" t="str">
        <f t="shared" si="3"/>
        <v>mk dir PZS643</v>
      </c>
    </row>
    <row r="247" spans="1:2" x14ac:dyDescent="0.3">
      <c r="A247" s="17" t="s">
        <v>1225</v>
      </c>
      <c r="B247" t="str">
        <f t="shared" si="3"/>
        <v>mk dir JLX436</v>
      </c>
    </row>
    <row r="248" spans="1:2" x14ac:dyDescent="0.3">
      <c r="A248" s="17" t="s">
        <v>1231</v>
      </c>
      <c r="B248" t="str">
        <f t="shared" si="3"/>
        <v>mk dir VEK73F</v>
      </c>
    </row>
    <row r="249" spans="1:2" x14ac:dyDescent="0.3">
      <c r="A249" s="6" t="s">
        <v>1235</v>
      </c>
      <c r="B249" t="str">
        <f t="shared" si="3"/>
        <v>mk dir NLZ576</v>
      </c>
    </row>
    <row r="250" spans="1:2" x14ac:dyDescent="0.3">
      <c r="A250" s="6" t="s">
        <v>1239</v>
      </c>
      <c r="B250" t="str">
        <f t="shared" si="3"/>
        <v>mk dir POT373</v>
      </c>
    </row>
    <row r="251" spans="1:2" x14ac:dyDescent="0.3">
      <c r="A251" s="6" t="s">
        <v>1244</v>
      </c>
      <c r="B251" t="str">
        <f t="shared" si="3"/>
        <v>mk dir URT559</v>
      </c>
    </row>
    <row r="252" spans="1:2" x14ac:dyDescent="0.3">
      <c r="A252" s="6" t="s">
        <v>1249</v>
      </c>
      <c r="B252" t="str">
        <f t="shared" si="3"/>
        <v>mk dir KWO992</v>
      </c>
    </row>
    <row r="253" spans="1:2" x14ac:dyDescent="0.3">
      <c r="A253" s="6" t="s">
        <v>1253</v>
      </c>
      <c r="B253" t="str">
        <f t="shared" si="3"/>
        <v>mk dir LOZ836</v>
      </c>
    </row>
    <row r="254" spans="1:2" x14ac:dyDescent="0.3">
      <c r="A254" s="6" t="s">
        <v>1257</v>
      </c>
      <c r="B254" t="str">
        <f t="shared" si="3"/>
        <v>mk dir ELS298</v>
      </c>
    </row>
    <row r="255" spans="1:2" x14ac:dyDescent="0.3">
      <c r="A255" s="6" t="s">
        <v>1262</v>
      </c>
      <c r="B255" t="str">
        <f t="shared" si="3"/>
        <v>mk dir RSX87G</v>
      </c>
    </row>
    <row r="256" spans="1:2" x14ac:dyDescent="0.3">
      <c r="A256" s="6" t="s">
        <v>1266</v>
      </c>
      <c r="B256" t="str">
        <f t="shared" si="3"/>
        <v>mk dir MCZ065</v>
      </c>
    </row>
    <row r="257" spans="1:2" x14ac:dyDescent="0.3">
      <c r="A257" s="6" t="s">
        <v>1270</v>
      </c>
      <c r="B257" t="str">
        <f t="shared" si="3"/>
        <v>mk dir BWG20C</v>
      </c>
    </row>
    <row r="258" spans="1:2" x14ac:dyDescent="0.3">
      <c r="A258" s="6" t="s">
        <v>1273</v>
      </c>
      <c r="B258" t="str">
        <f t="shared" ref="B258:B321" si="4">CONCATENATE("mk dir ",A258)</f>
        <v>mk dir UAQ31H</v>
      </c>
    </row>
    <row r="259" spans="1:2" x14ac:dyDescent="0.3">
      <c r="A259" s="6" t="s">
        <v>1277</v>
      </c>
      <c r="B259" t="str">
        <f t="shared" si="4"/>
        <v>mk dir FXV46H</v>
      </c>
    </row>
    <row r="260" spans="1:2" x14ac:dyDescent="0.3">
      <c r="A260" s="6" t="s">
        <v>1284</v>
      </c>
      <c r="B260" t="str">
        <f t="shared" si="4"/>
        <v>mk dir KWZ493</v>
      </c>
    </row>
    <row r="261" spans="1:2" x14ac:dyDescent="0.3">
      <c r="A261" s="6" t="s">
        <v>1287</v>
      </c>
      <c r="B261" t="str">
        <f t="shared" si="4"/>
        <v>mk dir ZFD64H</v>
      </c>
    </row>
    <row r="262" spans="1:2" x14ac:dyDescent="0.3">
      <c r="A262" s="6" t="s">
        <v>1291</v>
      </c>
      <c r="B262" t="str">
        <f t="shared" si="4"/>
        <v>mk dir EJU191</v>
      </c>
    </row>
    <row r="263" spans="1:2" x14ac:dyDescent="0.3">
      <c r="A263" s="6" t="s">
        <v>1294</v>
      </c>
      <c r="B263" t="str">
        <f t="shared" si="4"/>
        <v>mk dir ZYM788</v>
      </c>
    </row>
    <row r="264" spans="1:2" x14ac:dyDescent="0.3">
      <c r="A264" s="6" t="s">
        <v>1303</v>
      </c>
      <c r="B264" t="str">
        <f t="shared" si="4"/>
        <v>mk dir GMZ660</v>
      </c>
    </row>
    <row r="265" spans="1:2" x14ac:dyDescent="0.3">
      <c r="A265" s="6" t="s">
        <v>1307</v>
      </c>
      <c r="B265" t="str">
        <f t="shared" si="4"/>
        <v>mk dir JYK889</v>
      </c>
    </row>
    <row r="266" spans="1:2" x14ac:dyDescent="0.3">
      <c r="A266" s="6" t="s">
        <v>1312</v>
      </c>
      <c r="B266" t="str">
        <f t="shared" si="4"/>
        <v>mk dir IKU268</v>
      </c>
    </row>
    <row r="267" spans="1:2" x14ac:dyDescent="0.3">
      <c r="A267" s="6" t="s">
        <v>1317</v>
      </c>
      <c r="B267" t="str">
        <f t="shared" si="4"/>
        <v>mk dir PGR386</v>
      </c>
    </row>
    <row r="268" spans="1:2" x14ac:dyDescent="0.3">
      <c r="A268" s="6" t="s">
        <v>1325</v>
      </c>
      <c r="B268" t="str">
        <f t="shared" si="4"/>
        <v>mk dir UUQ628</v>
      </c>
    </row>
    <row r="269" spans="1:2" x14ac:dyDescent="0.3">
      <c r="A269" s="6" t="s">
        <v>1329</v>
      </c>
      <c r="B269" t="str">
        <f t="shared" si="4"/>
        <v>mk dir KXV319</v>
      </c>
    </row>
    <row r="270" spans="1:2" x14ac:dyDescent="0.3">
      <c r="A270" s="6" t="s">
        <v>1334</v>
      </c>
      <c r="B270" t="str">
        <f t="shared" si="4"/>
        <v>mk dir JRL402</v>
      </c>
    </row>
    <row r="271" spans="1:2" x14ac:dyDescent="0.3">
      <c r="A271" s="6" t="s">
        <v>1340</v>
      </c>
      <c r="B271" t="str">
        <f t="shared" si="4"/>
        <v>mk dir MCV622</v>
      </c>
    </row>
    <row r="272" spans="1:2" x14ac:dyDescent="0.3">
      <c r="A272" s="6" t="s">
        <v>1344</v>
      </c>
      <c r="B272" t="str">
        <f t="shared" si="4"/>
        <v>mk dir GPQ549</v>
      </c>
    </row>
    <row r="273" spans="1:2" x14ac:dyDescent="0.3">
      <c r="A273" s="6" t="s">
        <v>1349</v>
      </c>
      <c r="B273" t="str">
        <f t="shared" si="4"/>
        <v>mk dir EBO249</v>
      </c>
    </row>
    <row r="274" spans="1:2" x14ac:dyDescent="0.3">
      <c r="A274" s="6" t="s">
        <v>1354</v>
      </c>
      <c r="B274" t="str">
        <f t="shared" si="4"/>
        <v>mk dir FOS164</v>
      </c>
    </row>
    <row r="275" spans="1:2" x14ac:dyDescent="0.3">
      <c r="A275" s="6" t="s">
        <v>1358</v>
      </c>
      <c r="B275" t="str">
        <f t="shared" si="4"/>
        <v>mk dir FNR778</v>
      </c>
    </row>
    <row r="276" spans="1:2" x14ac:dyDescent="0.3">
      <c r="A276" s="6" t="s">
        <v>1363</v>
      </c>
      <c r="B276" t="str">
        <f t="shared" si="4"/>
        <v>mk dir DHC86H</v>
      </c>
    </row>
    <row r="277" spans="1:2" x14ac:dyDescent="0.3">
      <c r="A277" s="6" t="s">
        <v>2190</v>
      </c>
      <c r="B277" t="str">
        <f t="shared" si="4"/>
        <v>mk dir MOT-003</v>
      </c>
    </row>
    <row r="278" spans="1:2" x14ac:dyDescent="0.3">
      <c r="A278" s="6" t="s">
        <v>1370</v>
      </c>
      <c r="B278" t="str">
        <f t="shared" si="4"/>
        <v>mk dir RHN498</v>
      </c>
    </row>
    <row r="279" spans="1:2" x14ac:dyDescent="0.3">
      <c r="A279" s="6" t="s">
        <v>1375</v>
      </c>
      <c r="B279" t="str">
        <f t="shared" si="4"/>
        <v>mk dir PCM354</v>
      </c>
    </row>
    <row r="280" spans="1:2" x14ac:dyDescent="0.3">
      <c r="A280" s="6" t="s">
        <v>1379</v>
      </c>
      <c r="B280" t="str">
        <f t="shared" si="4"/>
        <v>mk dir NDR248</v>
      </c>
    </row>
    <row r="281" spans="1:2" x14ac:dyDescent="0.3">
      <c r="A281" s="17" t="s">
        <v>1382</v>
      </c>
      <c r="B281" t="str">
        <f t="shared" si="4"/>
        <v>mk dir DBN175</v>
      </c>
    </row>
    <row r="282" spans="1:2" x14ac:dyDescent="0.3">
      <c r="A282" s="6" t="s">
        <v>1391</v>
      </c>
      <c r="B282" t="str">
        <f t="shared" si="4"/>
        <v>mk dir GZJ15G</v>
      </c>
    </row>
    <row r="283" spans="1:2" x14ac:dyDescent="0.3">
      <c r="A283" s="6" t="s">
        <v>1396</v>
      </c>
      <c r="B283" t="str">
        <f t="shared" si="4"/>
        <v>mk dir HVV023</v>
      </c>
    </row>
    <row r="284" spans="1:2" x14ac:dyDescent="0.3">
      <c r="A284" s="6" t="s">
        <v>1400</v>
      </c>
      <c r="B284" t="str">
        <f t="shared" si="4"/>
        <v>mk dir PGR369</v>
      </c>
    </row>
    <row r="285" spans="1:2" x14ac:dyDescent="0.3">
      <c r="A285" s="6" t="s">
        <v>1404</v>
      </c>
      <c r="B285" t="str">
        <f t="shared" si="4"/>
        <v>mk dir UCW304</v>
      </c>
    </row>
    <row r="286" spans="1:2" x14ac:dyDescent="0.3">
      <c r="A286" s="6" t="s">
        <v>1409</v>
      </c>
      <c r="B286" t="str">
        <f t="shared" si="4"/>
        <v>mk dir NNU114</v>
      </c>
    </row>
    <row r="287" spans="1:2" x14ac:dyDescent="0.3">
      <c r="A287" s="6" t="s">
        <v>1414</v>
      </c>
      <c r="B287" t="str">
        <f t="shared" si="4"/>
        <v>mk dir KOV728</v>
      </c>
    </row>
    <row r="288" spans="1:2" x14ac:dyDescent="0.3">
      <c r="A288" s="6" t="s">
        <v>1418</v>
      </c>
      <c r="B288" t="str">
        <f t="shared" si="4"/>
        <v>mk dir IXN649</v>
      </c>
    </row>
    <row r="289" spans="1:2" x14ac:dyDescent="0.3">
      <c r="A289" s="6" t="s">
        <v>1423</v>
      </c>
      <c r="B289" t="str">
        <f t="shared" si="4"/>
        <v>mk dir BFW48H</v>
      </c>
    </row>
    <row r="290" spans="1:2" x14ac:dyDescent="0.3">
      <c r="A290" s="6" t="s">
        <v>1428</v>
      </c>
      <c r="B290" t="str">
        <f t="shared" si="4"/>
        <v>mk dir HJZ984</v>
      </c>
    </row>
    <row r="291" spans="1:2" x14ac:dyDescent="0.3">
      <c r="A291" s="17" t="s">
        <v>1432</v>
      </c>
      <c r="B291" t="str">
        <f t="shared" si="4"/>
        <v>mk dir IRP136</v>
      </c>
    </row>
    <row r="292" spans="1:2" x14ac:dyDescent="0.3">
      <c r="A292" s="6" t="s">
        <v>1437</v>
      </c>
      <c r="B292" t="str">
        <f t="shared" si="4"/>
        <v>mk dir EBR912</v>
      </c>
    </row>
    <row r="293" spans="1:2" x14ac:dyDescent="0.3">
      <c r="A293" s="6" t="s">
        <v>1442</v>
      </c>
      <c r="B293" t="str">
        <f t="shared" si="4"/>
        <v>mk dir JUR582</v>
      </c>
    </row>
    <row r="294" spans="1:2" x14ac:dyDescent="0.3">
      <c r="A294" s="6" t="s">
        <v>1446</v>
      </c>
      <c r="B294" t="str">
        <f t="shared" si="4"/>
        <v>mk dir BJN042</v>
      </c>
    </row>
    <row r="295" spans="1:2" x14ac:dyDescent="0.3">
      <c r="A295" s="6" t="s">
        <v>1450</v>
      </c>
      <c r="B295" t="str">
        <f t="shared" si="4"/>
        <v>mk dir REO339</v>
      </c>
    </row>
    <row r="296" spans="1:2" x14ac:dyDescent="0.3">
      <c r="A296" s="6" t="s">
        <v>1454</v>
      </c>
      <c r="B296" t="str">
        <f t="shared" si="4"/>
        <v>mk dir GCD58H</v>
      </c>
    </row>
    <row r="297" spans="1:2" x14ac:dyDescent="0.3">
      <c r="A297" s="6" t="s">
        <v>1457</v>
      </c>
      <c r="B297" t="str">
        <f t="shared" si="4"/>
        <v>mk dir EFN811</v>
      </c>
    </row>
    <row r="298" spans="1:2" x14ac:dyDescent="0.3">
      <c r="A298" s="6" t="s">
        <v>1466</v>
      </c>
      <c r="B298" t="str">
        <f t="shared" si="4"/>
        <v>mk dir BTX400</v>
      </c>
    </row>
    <row r="299" spans="1:2" x14ac:dyDescent="0.3">
      <c r="A299" s="6" t="s">
        <v>1470</v>
      </c>
      <c r="B299" t="str">
        <f t="shared" si="4"/>
        <v>mk dir PXT458</v>
      </c>
    </row>
    <row r="300" spans="1:2" x14ac:dyDescent="0.3">
      <c r="A300" s="6" t="s">
        <v>1477</v>
      </c>
      <c r="B300" t="str">
        <f t="shared" si="4"/>
        <v>mk dir JYL341</v>
      </c>
    </row>
    <row r="301" spans="1:2" x14ac:dyDescent="0.3">
      <c r="A301" s="6" t="s">
        <v>1480</v>
      </c>
      <c r="B301" t="str">
        <f t="shared" si="4"/>
        <v>mk dir UWK57D</v>
      </c>
    </row>
    <row r="302" spans="1:2" x14ac:dyDescent="0.3">
      <c r="A302" s="17" t="s">
        <v>1485</v>
      </c>
      <c r="B302" t="str">
        <f t="shared" si="4"/>
        <v>mk dir HKM570</v>
      </c>
    </row>
    <row r="303" spans="1:2" x14ac:dyDescent="0.3">
      <c r="A303" s="6" t="s">
        <v>1489</v>
      </c>
      <c r="B303" t="str">
        <f t="shared" si="4"/>
        <v>mk dir NIW853</v>
      </c>
    </row>
    <row r="304" spans="1:2" x14ac:dyDescent="0.3">
      <c r="A304" s="6" t="s">
        <v>1493</v>
      </c>
      <c r="B304" t="str">
        <f t="shared" si="4"/>
        <v>mk dir JWT919</v>
      </c>
    </row>
    <row r="305" spans="1:2" x14ac:dyDescent="0.3">
      <c r="A305" s="6" t="s">
        <v>1494</v>
      </c>
      <c r="B305" t="str">
        <f t="shared" si="4"/>
        <v>mk dir CIA56F</v>
      </c>
    </row>
    <row r="306" spans="1:2" x14ac:dyDescent="0.3">
      <c r="A306" s="17" t="s">
        <v>1500</v>
      </c>
      <c r="B306" t="str">
        <f t="shared" si="4"/>
        <v>mk dir GLX335</v>
      </c>
    </row>
    <row r="307" spans="1:2" x14ac:dyDescent="0.3">
      <c r="A307" s="6" t="s">
        <v>1501</v>
      </c>
      <c r="B307" t="str">
        <f t="shared" si="4"/>
        <v>mk dir XCG92G</v>
      </c>
    </row>
    <row r="308" spans="1:2" x14ac:dyDescent="0.3">
      <c r="A308" s="17" t="s">
        <v>2194</v>
      </c>
      <c r="B308" t="str">
        <f t="shared" si="4"/>
        <v>mk dir PENDIENTE2</v>
      </c>
    </row>
    <row r="309" spans="1:2" x14ac:dyDescent="0.3">
      <c r="A309" s="6" t="s">
        <v>1510</v>
      </c>
      <c r="B309" t="str">
        <f t="shared" si="4"/>
        <v>mk dir REP460</v>
      </c>
    </row>
    <row r="310" spans="1:2" x14ac:dyDescent="0.3">
      <c r="A310" s="6" t="s">
        <v>1516</v>
      </c>
      <c r="B310" t="str">
        <f t="shared" si="4"/>
        <v>mk dir LNQ833</v>
      </c>
    </row>
    <row r="311" spans="1:2" x14ac:dyDescent="0.3">
      <c r="A311" s="17" t="s">
        <v>1520</v>
      </c>
      <c r="B311" t="str">
        <f t="shared" si="4"/>
        <v>mk dir GJW626</v>
      </c>
    </row>
    <row r="312" spans="1:2" x14ac:dyDescent="0.3">
      <c r="A312" s="6" t="s">
        <v>1524</v>
      </c>
      <c r="B312" t="str">
        <f t="shared" si="4"/>
        <v>mk dir EFL417</v>
      </c>
    </row>
    <row r="313" spans="1:2" x14ac:dyDescent="0.3">
      <c r="A313" s="17" t="s">
        <v>1528</v>
      </c>
      <c r="B313" t="str">
        <f t="shared" si="4"/>
        <v>mk dir FPP374</v>
      </c>
    </row>
    <row r="314" spans="1:2" x14ac:dyDescent="0.3">
      <c r="A314" s="6" t="s">
        <v>1531</v>
      </c>
      <c r="B314" t="str">
        <f t="shared" si="4"/>
        <v>mk dir MVR40E</v>
      </c>
    </row>
    <row r="315" spans="1:2" x14ac:dyDescent="0.3">
      <c r="A315" s="6" t="s">
        <v>1532</v>
      </c>
      <c r="B315" t="str">
        <f t="shared" si="4"/>
        <v>mk dir LLS761</v>
      </c>
    </row>
    <row r="316" spans="1:2" x14ac:dyDescent="0.3">
      <c r="A316" s="6" t="s">
        <v>1535</v>
      </c>
      <c r="B316" t="str">
        <f t="shared" si="4"/>
        <v>mk dir DCC898</v>
      </c>
    </row>
    <row r="317" spans="1:2" x14ac:dyDescent="0.3">
      <c r="A317" s="6" t="s">
        <v>1537</v>
      </c>
      <c r="B317" t="str">
        <f t="shared" si="4"/>
        <v>mk dir LQD87C</v>
      </c>
    </row>
    <row r="318" spans="1:2" x14ac:dyDescent="0.3">
      <c r="A318" s="6" t="s">
        <v>1541</v>
      </c>
      <c r="B318" t="str">
        <f t="shared" si="4"/>
        <v>mk dir LCK17F</v>
      </c>
    </row>
    <row r="319" spans="1:2" x14ac:dyDescent="0.3">
      <c r="A319" s="6" t="s">
        <v>1544</v>
      </c>
      <c r="B319" t="str">
        <f t="shared" si="4"/>
        <v>mk dir HFO454</v>
      </c>
    </row>
    <row r="320" spans="1:2" x14ac:dyDescent="0.3">
      <c r="A320" s="6" t="s">
        <v>1548</v>
      </c>
      <c r="B320" t="str">
        <f t="shared" si="4"/>
        <v>mk dir PET56F</v>
      </c>
    </row>
    <row r="321" spans="1:2" x14ac:dyDescent="0.3">
      <c r="A321" s="6" t="s">
        <v>1552</v>
      </c>
      <c r="B321" t="str">
        <f t="shared" si="4"/>
        <v>mk dir BTI086</v>
      </c>
    </row>
    <row r="322" spans="1:2" x14ac:dyDescent="0.3">
      <c r="A322" s="6" t="s">
        <v>1558</v>
      </c>
      <c r="B322" t="str">
        <f t="shared" ref="B322:B385" si="5">CONCATENATE("mk dir ",A322)</f>
        <v>mk dir JOU639</v>
      </c>
    </row>
    <row r="323" spans="1:2" x14ac:dyDescent="0.3">
      <c r="A323" s="17" t="s">
        <v>1564</v>
      </c>
      <c r="B323" t="str">
        <f t="shared" si="5"/>
        <v>mk dir EMM895</v>
      </c>
    </row>
    <row r="324" spans="1:2" x14ac:dyDescent="0.3">
      <c r="A324" s="17" t="s">
        <v>1568</v>
      </c>
      <c r="B324" t="str">
        <f t="shared" si="5"/>
        <v>mk dir YGT93F</v>
      </c>
    </row>
    <row r="325" spans="1:2" x14ac:dyDescent="0.3">
      <c r="A325" s="6" t="s">
        <v>1572</v>
      </c>
      <c r="B325" t="str">
        <f t="shared" si="5"/>
        <v>mk dir LTW027</v>
      </c>
    </row>
    <row r="326" spans="1:2" x14ac:dyDescent="0.3">
      <c r="A326" s="6" t="s">
        <v>1576</v>
      </c>
      <c r="B326" t="str">
        <f t="shared" si="5"/>
        <v>mk dir UZY09D</v>
      </c>
    </row>
    <row r="327" spans="1:2" x14ac:dyDescent="0.3">
      <c r="A327" s="6" t="s">
        <v>1578</v>
      </c>
      <c r="B327" t="str">
        <f t="shared" si="5"/>
        <v>mk dir LWM604</v>
      </c>
    </row>
    <row r="328" spans="1:2" x14ac:dyDescent="0.3">
      <c r="A328" s="6" t="s">
        <v>1582</v>
      </c>
      <c r="B328" t="str">
        <f t="shared" si="5"/>
        <v>mk dir HKH77E</v>
      </c>
    </row>
    <row r="329" spans="1:2" x14ac:dyDescent="0.3">
      <c r="A329" s="6" t="s">
        <v>1583</v>
      </c>
      <c r="B329" t="str">
        <f t="shared" si="5"/>
        <v>mk dir BUE779</v>
      </c>
    </row>
    <row r="330" spans="1:2" x14ac:dyDescent="0.3">
      <c r="A330" s="6" t="s">
        <v>1584</v>
      </c>
      <c r="B330" t="str">
        <f t="shared" si="5"/>
        <v>mk dir HVE88C</v>
      </c>
    </row>
    <row r="331" spans="1:2" x14ac:dyDescent="0.3">
      <c r="A331" s="6" t="s">
        <v>1587</v>
      </c>
      <c r="B331" t="str">
        <f t="shared" si="5"/>
        <v>mk dir PGQ89H</v>
      </c>
    </row>
    <row r="332" spans="1:2" x14ac:dyDescent="0.3">
      <c r="A332" s="6" t="s">
        <v>1589</v>
      </c>
      <c r="B332" t="str">
        <f t="shared" si="5"/>
        <v>mk dir LOU019</v>
      </c>
    </row>
    <row r="333" spans="1:2" x14ac:dyDescent="0.3">
      <c r="A333" s="6" t="s">
        <v>1592</v>
      </c>
      <c r="B333" t="str">
        <f t="shared" si="5"/>
        <v>mk dir HIE19G</v>
      </c>
    </row>
    <row r="334" spans="1:2" x14ac:dyDescent="0.3">
      <c r="A334" s="6" t="s">
        <v>1596</v>
      </c>
      <c r="B334" t="str">
        <f t="shared" si="5"/>
        <v>mk dir DBH553</v>
      </c>
    </row>
    <row r="335" spans="1:2" x14ac:dyDescent="0.3">
      <c r="A335" s="6" t="s">
        <v>1601</v>
      </c>
      <c r="B335" t="str">
        <f t="shared" si="5"/>
        <v>mk dir IWW58H</v>
      </c>
    </row>
    <row r="336" spans="1:2" x14ac:dyDescent="0.3">
      <c r="A336" s="6" t="s">
        <v>1604</v>
      </c>
      <c r="B336" t="str">
        <f t="shared" si="5"/>
        <v>mk dir PUL897</v>
      </c>
    </row>
    <row r="337" spans="1:2" x14ac:dyDescent="0.3">
      <c r="A337" s="6" t="s">
        <v>1610</v>
      </c>
      <c r="B337" t="str">
        <f t="shared" si="5"/>
        <v>mk dir GMG67E</v>
      </c>
    </row>
    <row r="338" spans="1:2" x14ac:dyDescent="0.3">
      <c r="A338" s="6" t="s">
        <v>1611</v>
      </c>
      <c r="B338" t="str">
        <f t="shared" si="5"/>
        <v>mk dir RHZ663</v>
      </c>
    </row>
    <row r="339" spans="1:2" x14ac:dyDescent="0.3">
      <c r="A339" s="6" t="s">
        <v>1615</v>
      </c>
      <c r="B339" t="str">
        <f t="shared" si="5"/>
        <v>mk dir DQN051</v>
      </c>
    </row>
    <row r="340" spans="1:2" x14ac:dyDescent="0.3">
      <c r="A340" s="6" t="s">
        <v>1620</v>
      </c>
      <c r="B340" t="str">
        <f t="shared" si="5"/>
        <v>mk dir BCG853</v>
      </c>
    </row>
    <row r="341" spans="1:2" x14ac:dyDescent="0.3">
      <c r="A341" s="6" t="s">
        <v>1625</v>
      </c>
      <c r="B341" t="str">
        <f t="shared" si="5"/>
        <v>mk dir DNT647</v>
      </c>
    </row>
    <row r="342" spans="1:2" x14ac:dyDescent="0.3">
      <c r="A342" s="6" t="s">
        <v>1630</v>
      </c>
      <c r="B342" t="str">
        <f t="shared" si="5"/>
        <v>mk dir NFX124</v>
      </c>
    </row>
    <row r="343" spans="1:2" x14ac:dyDescent="0.3">
      <c r="A343" s="6" t="s">
        <v>1635</v>
      </c>
      <c r="B343" t="str">
        <f t="shared" si="5"/>
        <v>mk dir PZX788</v>
      </c>
    </row>
    <row r="344" spans="1:2" x14ac:dyDescent="0.3">
      <c r="A344" s="6" t="s">
        <v>1640</v>
      </c>
      <c r="B344" t="str">
        <f t="shared" si="5"/>
        <v>mk dir EJT705</v>
      </c>
    </row>
    <row r="345" spans="1:2" x14ac:dyDescent="0.3">
      <c r="A345" s="6" t="s">
        <v>1644</v>
      </c>
      <c r="B345" t="str">
        <f t="shared" si="5"/>
        <v>mk dir MCP475</v>
      </c>
    </row>
    <row r="346" spans="1:2" x14ac:dyDescent="0.3">
      <c r="A346" s="6" t="s">
        <v>1645</v>
      </c>
      <c r="B346" t="str">
        <f t="shared" si="5"/>
        <v>mk dir RBH01C</v>
      </c>
    </row>
    <row r="347" spans="1:2" x14ac:dyDescent="0.3">
      <c r="A347" s="6" t="s">
        <v>1648</v>
      </c>
      <c r="B347" t="str">
        <f t="shared" si="5"/>
        <v>mk dir LOW27C</v>
      </c>
    </row>
    <row r="348" spans="1:2" x14ac:dyDescent="0.3">
      <c r="A348" s="6" t="s">
        <v>1654</v>
      </c>
      <c r="B348" t="str">
        <f t="shared" si="5"/>
        <v>mk dir BYC674</v>
      </c>
    </row>
    <row r="349" spans="1:2" x14ac:dyDescent="0.3">
      <c r="A349" s="6" t="s">
        <v>1658</v>
      </c>
      <c r="B349" t="str">
        <f t="shared" si="5"/>
        <v>mk dir ABR967</v>
      </c>
    </row>
    <row r="350" spans="1:2" x14ac:dyDescent="0.3">
      <c r="A350" s="6" t="s">
        <v>1659</v>
      </c>
      <c r="B350" t="str">
        <f t="shared" si="5"/>
        <v>mk dir NXQ369</v>
      </c>
    </row>
    <row r="351" spans="1:2" x14ac:dyDescent="0.3">
      <c r="A351" s="6" t="s">
        <v>1663</v>
      </c>
      <c r="B351" t="str">
        <f t="shared" si="5"/>
        <v>mk dir CUP251</v>
      </c>
    </row>
    <row r="352" spans="1:2" x14ac:dyDescent="0.3">
      <c r="A352" s="6" t="s">
        <v>1669</v>
      </c>
      <c r="B352" t="str">
        <f t="shared" si="5"/>
        <v>mk dir PZP227</v>
      </c>
    </row>
    <row r="353" spans="1:2" x14ac:dyDescent="0.3">
      <c r="A353" s="6" t="s">
        <v>1670</v>
      </c>
      <c r="B353" t="str">
        <f t="shared" si="5"/>
        <v>mk dir PBM692</v>
      </c>
    </row>
    <row r="354" spans="1:2" x14ac:dyDescent="0.3">
      <c r="A354" s="6" t="s">
        <v>1671</v>
      </c>
      <c r="B354" t="str">
        <f t="shared" si="5"/>
        <v>mk dir RDU359</v>
      </c>
    </row>
    <row r="355" spans="1:2" x14ac:dyDescent="0.3">
      <c r="A355" s="6" t="s">
        <v>1674</v>
      </c>
      <c r="B355" t="str">
        <f t="shared" si="5"/>
        <v>mk dir MHW775</v>
      </c>
    </row>
    <row r="356" spans="1:2" x14ac:dyDescent="0.3">
      <c r="A356" s="6" t="s">
        <v>1679</v>
      </c>
      <c r="B356" t="str">
        <f t="shared" si="5"/>
        <v>mk dir PHQ308</v>
      </c>
    </row>
    <row r="357" spans="1:2" x14ac:dyDescent="0.3">
      <c r="A357" s="6" t="s">
        <v>1684</v>
      </c>
      <c r="B357" t="str">
        <f t="shared" si="5"/>
        <v>mk dir FNS114</v>
      </c>
    </row>
    <row r="358" spans="1:2" x14ac:dyDescent="0.3">
      <c r="A358" s="6" t="s">
        <v>1687</v>
      </c>
      <c r="B358" t="str">
        <f t="shared" si="5"/>
        <v>mk dir PYN474</v>
      </c>
    </row>
    <row r="359" spans="1:2" x14ac:dyDescent="0.3">
      <c r="A359" s="6" t="s">
        <v>1691</v>
      </c>
      <c r="B359" t="str">
        <f t="shared" si="5"/>
        <v>mk dir IMT897</v>
      </c>
    </row>
    <row r="360" spans="1:2" x14ac:dyDescent="0.3">
      <c r="A360" s="6" t="s">
        <v>1695</v>
      </c>
      <c r="B360" t="str">
        <f t="shared" si="5"/>
        <v>mk dir PDV885</v>
      </c>
    </row>
    <row r="361" spans="1:2" x14ac:dyDescent="0.3">
      <c r="A361" s="6" t="s">
        <v>1699</v>
      </c>
      <c r="B361" t="str">
        <f t="shared" si="5"/>
        <v>mk dir WOX644</v>
      </c>
    </row>
    <row r="362" spans="1:2" x14ac:dyDescent="0.3">
      <c r="A362" s="6" t="s">
        <v>1704</v>
      </c>
      <c r="B362" t="str">
        <f t="shared" si="5"/>
        <v>mk dir XHI05H</v>
      </c>
    </row>
    <row r="363" spans="1:2" x14ac:dyDescent="0.3">
      <c r="A363" s="6" t="s">
        <v>1708</v>
      </c>
      <c r="B363" t="str">
        <f t="shared" si="5"/>
        <v>mk dir PEM28F</v>
      </c>
    </row>
    <row r="364" spans="1:2" x14ac:dyDescent="0.3">
      <c r="A364" s="6" t="s">
        <v>1711</v>
      </c>
      <c r="B364" t="str">
        <f t="shared" si="5"/>
        <v>mk dir KMY141</v>
      </c>
    </row>
    <row r="365" spans="1:2" x14ac:dyDescent="0.3">
      <c r="A365" s="6" t="s">
        <v>1712</v>
      </c>
      <c r="B365" t="str">
        <f t="shared" si="5"/>
        <v>mk dir NJU676</v>
      </c>
    </row>
    <row r="366" spans="1:2" x14ac:dyDescent="0.3">
      <c r="A366" s="6" t="s">
        <v>1718</v>
      </c>
      <c r="B366" t="str">
        <f t="shared" si="5"/>
        <v>mk dir DOY442</v>
      </c>
    </row>
    <row r="367" spans="1:2" x14ac:dyDescent="0.3">
      <c r="A367" s="6" t="s">
        <v>1722</v>
      </c>
      <c r="B367" t="str">
        <f t="shared" si="5"/>
        <v>mk dir GLM667</v>
      </c>
    </row>
    <row r="368" spans="1:2" x14ac:dyDescent="0.3">
      <c r="A368" s="6" t="s">
        <v>1726</v>
      </c>
      <c r="B368" t="str">
        <f t="shared" si="5"/>
        <v>mk dir GMO67E</v>
      </c>
    </row>
    <row r="369" spans="1:2" x14ac:dyDescent="0.3">
      <c r="A369" s="17" t="s">
        <v>1731</v>
      </c>
      <c r="B369" t="str">
        <f t="shared" si="5"/>
        <v>mk dir HFR301</v>
      </c>
    </row>
    <row r="370" spans="1:2" x14ac:dyDescent="0.3">
      <c r="A370" s="6" t="s">
        <v>1735</v>
      </c>
      <c r="B370" t="str">
        <f t="shared" si="5"/>
        <v>mk dir GLT039</v>
      </c>
    </row>
    <row r="371" spans="1:2" x14ac:dyDescent="0.3">
      <c r="A371" s="6" t="s">
        <v>1739</v>
      </c>
      <c r="B371" t="str">
        <f t="shared" si="5"/>
        <v>mk dir HAS358</v>
      </c>
    </row>
    <row r="372" spans="1:2" x14ac:dyDescent="0.3">
      <c r="A372" s="6" t="s">
        <v>1740</v>
      </c>
      <c r="B372" t="str">
        <f t="shared" si="5"/>
        <v>mk dir BUG80C</v>
      </c>
    </row>
    <row r="373" spans="1:2" x14ac:dyDescent="0.3">
      <c r="A373" s="6" t="s">
        <v>1746</v>
      </c>
      <c r="B373" t="str">
        <f t="shared" si="5"/>
        <v>mk dir YQN70G</v>
      </c>
    </row>
    <row r="374" spans="1:2" x14ac:dyDescent="0.3">
      <c r="A374" s="17" t="s">
        <v>1751</v>
      </c>
      <c r="B374" t="str">
        <f t="shared" si="5"/>
        <v>mk dir ULR42H</v>
      </c>
    </row>
    <row r="375" spans="1:2" x14ac:dyDescent="0.3">
      <c r="A375" s="6" t="s">
        <v>1762</v>
      </c>
      <c r="B375" t="str">
        <f t="shared" si="5"/>
        <v>mk dir LCO60F</v>
      </c>
    </row>
    <row r="376" spans="1:2" x14ac:dyDescent="0.3">
      <c r="A376" s="17" t="s">
        <v>1766</v>
      </c>
      <c r="B376" t="str">
        <f t="shared" si="5"/>
        <v>mk dir RBL47G</v>
      </c>
    </row>
    <row r="377" spans="1:2" x14ac:dyDescent="0.3">
      <c r="A377" s="6" t="s">
        <v>1772</v>
      </c>
      <c r="B377" t="str">
        <f t="shared" si="5"/>
        <v>mk dir SRO755</v>
      </c>
    </row>
    <row r="378" spans="1:2" x14ac:dyDescent="0.3">
      <c r="A378" s="6" t="s">
        <v>1777</v>
      </c>
      <c r="B378" t="str">
        <f t="shared" si="5"/>
        <v>mk dir GLX737</v>
      </c>
    </row>
    <row r="379" spans="1:2" x14ac:dyDescent="0.3">
      <c r="A379" s="6" t="s">
        <v>1786</v>
      </c>
      <c r="B379" t="str">
        <f t="shared" si="5"/>
        <v>mk dir FYX046</v>
      </c>
    </row>
    <row r="380" spans="1:2" x14ac:dyDescent="0.3">
      <c r="A380" s="17" t="s">
        <v>1791</v>
      </c>
      <c r="B380" t="str">
        <f t="shared" si="5"/>
        <v>mk dir DJI56G</v>
      </c>
    </row>
    <row r="381" spans="1:2" x14ac:dyDescent="0.3">
      <c r="A381" s="6" t="s">
        <v>1796</v>
      </c>
      <c r="B381" t="str">
        <f t="shared" si="5"/>
        <v>mk dir EDK255</v>
      </c>
    </row>
    <row r="382" spans="1:2" x14ac:dyDescent="0.3">
      <c r="A382" s="6" t="s">
        <v>1798</v>
      </c>
      <c r="B382" t="str">
        <f t="shared" si="5"/>
        <v>mk dir APS34G</v>
      </c>
    </row>
    <row r="383" spans="1:2" x14ac:dyDescent="0.3">
      <c r="A383" s="6" t="s">
        <v>1803</v>
      </c>
      <c r="B383" t="str">
        <f t="shared" si="5"/>
        <v>mk dir DFO36I</v>
      </c>
    </row>
    <row r="384" spans="1:2" x14ac:dyDescent="0.3">
      <c r="A384" s="6" t="s">
        <v>1808</v>
      </c>
      <c r="B384" t="str">
        <f t="shared" si="5"/>
        <v>mk dir PBP346</v>
      </c>
    </row>
    <row r="385" spans="1:2" x14ac:dyDescent="0.3">
      <c r="A385" s="6" t="s">
        <v>1813</v>
      </c>
      <c r="B385" t="str">
        <f t="shared" si="5"/>
        <v>mk dir BEF748</v>
      </c>
    </row>
    <row r="386" spans="1:2" x14ac:dyDescent="0.3">
      <c r="A386" s="6" t="s">
        <v>1816</v>
      </c>
      <c r="B386" t="str">
        <f t="shared" ref="B386:B449" si="6">CONCATENATE("mk dir ",A386)</f>
        <v>mk dir UQR65F</v>
      </c>
    </row>
    <row r="387" spans="1:2" x14ac:dyDescent="0.3">
      <c r="A387" s="6" t="s">
        <v>1821</v>
      </c>
      <c r="B387" t="str">
        <f t="shared" si="6"/>
        <v>mk dir WGO530</v>
      </c>
    </row>
    <row r="388" spans="1:2" x14ac:dyDescent="0.3">
      <c r="A388" s="6" t="s">
        <v>1827</v>
      </c>
      <c r="B388" t="str">
        <f t="shared" si="6"/>
        <v>mk dir OMG23A</v>
      </c>
    </row>
    <row r="389" spans="1:2" x14ac:dyDescent="0.3">
      <c r="A389" s="6" t="s">
        <v>1832</v>
      </c>
      <c r="B389" t="str">
        <f t="shared" si="6"/>
        <v>mk dir JWV618</v>
      </c>
    </row>
    <row r="390" spans="1:2" x14ac:dyDescent="0.3">
      <c r="A390" s="6" t="s">
        <v>1837</v>
      </c>
      <c r="B390" t="str">
        <f t="shared" si="6"/>
        <v>mk dir PHL713</v>
      </c>
    </row>
    <row r="391" spans="1:2" x14ac:dyDescent="0.3">
      <c r="A391" s="6" t="s">
        <v>1839</v>
      </c>
      <c r="B391" t="str">
        <f t="shared" si="6"/>
        <v>mk dir MPX503</v>
      </c>
    </row>
    <row r="392" spans="1:2" x14ac:dyDescent="0.3">
      <c r="A392" s="6" t="s">
        <v>1845</v>
      </c>
      <c r="B392" t="str">
        <f t="shared" si="6"/>
        <v>mk dir PBS642</v>
      </c>
    </row>
    <row r="393" spans="1:2" x14ac:dyDescent="0.3">
      <c r="A393" s="17" t="s">
        <v>1851</v>
      </c>
      <c r="B393" t="str">
        <f t="shared" si="6"/>
        <v>mk dir LQT109</v>
      </c>
    </row>
    <row r="394" spans="1:2" x14ac:dyDescent="0.3">
      <c r="A394" s="6" t="s">
        <v>1855</v>
      </c>
      <c r="B394" t="str">
        <f t="shared" si="6"/>
        <v>mk dir DFQ65I</v>
      </c>
    </row>
    <row r="395" spans="1:2" x14ac:dyDescent="0.3">
      <c r="A395" s="17" t="s">
        <v>1860</v>
      </c>
      <c r="B395" t="str">
        <f t="shared" si="6"/>
        <v>mk dir CTV652</v>
      </c>
    </row>
    <row r="396" spans="1:2" x14ac:dyDescent="0.3">
      <c r="A396" s="6" t="s">
        <v>1866</v>
      </c>
      <c r="B396" t="str">
        <f t="shared" si="6"/>
        <v>mk dir DZW847</v>
      </c>
    </row>
    <row r="397" spans="1:2" x14ac:dyDescent="0.3">
      <c r="A397" s="6" t="s">
        <v>1871</v>
      </c>
      <c r="B397" t="str">
        <f t="shared" si="6"/>
        <v>mk dir GLY670</v>
      </c>
    </row>
    <row r="398" spans="1:2" x14ac:dyDescent="0.3">
      <c r="A398" s="6" t="s">
        <v>1873</v>
      </c>
      <c r="B398" t="str">
        <f t="shared" si="6"/>
        <v>mk dir BWQ90I</v>
      </c>
    </row>
    <row r="399" spans="1:2" x14ac:dyDescent="0.3">
      <c r="A399" s="6" t="s">
        <v>1876</v>
      </c>
      <c r="B399" t="str">
        <f t="shared" si="6"/>
        <v>mk dir BPC285</v>
      </c>
    </row>
    <row r="400" spans="1:2" x14ac:dyDescent="0.3">
      <c r="A400" s="6" t="s">
        <v>1880</v>
      </c>
      <c r="B400" t="str">
        <f t="shared" si="6"/>
        <v>mk dir HJL465</v>
      </c>
    </row>
    <row r="401" spans="1:2" x14ac:dyDescent="0.3">
      <c r="A401" s="6" t="s">
        <v>1884</v>
      </c>
      <c r="B401" t="str">
        <f t="shared" si="6"/>
        <v>mk dir KWY194</v>
      </c>
    </row>
    <row r="402" spans="1:2" x14ac:dyDescent="0.3">
      <c r="A402" s="6" t="s">
        <v>1892</v>
      </c>
      <c r="B402" t="str">
        <f t="shared" si="6"/>
        <v>mk dir CSC07F</v>
      </c>
    </row>
    <row r="403" spans="1:2" x14ac:dyDescent="0.3">
      <c r="A403" s="17" t="s">
        <v>2191</v>
      </c>
      <c r="B403" t="str">
        <f t="shared" si="6"/>
        <v>mk dir MOT-004</v>
      </c>
    </row>
    <row r="404" spans="1:2" x14ac:dyDescent="0.3">
      <c r="A404" s="6" t="s">
        <v>1901</v>
      </c>
      <c r="B404" t="str">
        <f t="shared" si="6"/>
        <v>mk dir JMN893</v>
      </c>
    </row>
    <row r="405" spans="1:2" x14ac:dyDescent="0.3">
      <c r="A405" s="6" t="s">
        <v>1906</v>
      </c>
      <c r="B405" t="str">
        <f t="shared" si="6"/>
        <v>mk dir IVZ727</v>
      </c>
    </row>
    <row r="406" spans="1:2" x14ac:dyDescent="0.3">
      <c r="A406" s="6" t="s">
        <v>1907</v>
      </c>
      <c r="B406" t="str">
        <f t="shared" si="6"/>
        <v>mk dir DZX196</v>
      </c>
    </row>
    <row r="407" spans="1:2" x14ac:dyDescent="0.3">
      <c r="A407" s="6" t="s">
        <v>1911</v>
      </c>
      <c r="B407" t="str">
        <f t="shared" si="6"/>
        <v>mk dir KWK887</v>
      </c>
    </row>
    <row r="408" spans="1:2" x14ac:dyDescent="0.3">
      <c r="A408" s="6" t="s">
        <v>1915</v>
      </c>
      <c r="B408" t="str">
        <f t="shared" si="6"/>
        <v>mk dir LWP569</v>
      </c>
    </row>
    <row r="409" spans="1:2" x14ac:dyDescent="0.3">
      <c r="A409" s="6" t="s">
        <v>1918</v>
      </c>
      <c r="B409" t="str">
        <f t="shared" si="6"/>
        <v>mk dir EQK16G</v>
      </c>
    </row>
    <row r="410" spans="1:2" x14ac:dyDescent="0.3">
      <c r="A410" s="17" t="s">
        <v>1922</v>
      </c>
      <c r="B410" t="str">
        <f t="shared" si="6"/>
        <v>mk dir GPZ639</v>
      </c>
    </row>
    <row r="411" spans="1:2" x14ac:dyDescent="0.3">
      <c r="A411" s="6" t="s">
        <v>1925</v>
      </c>
      <c r="B411" t="str">
        <f t="shared" si="6"/>
        <v>mk dir QPZ208</v>
      </c>
    </row>
    <row r="412" spans="1:2" x14ac:dyDescent="0.3">
      <c r="A412" s="6" t="s">
        <v>1929</v>
      </c>
      <c r="B412" t="str">
        <f t="shared" si="6"/>
        <v>mk dir NYX244</v>
      </c>
    </row>
    <row r="413" spans="1:2" x14ac:dyDescent="0.3">
      <c r="A413" s="6" t="s">
        <v>1933</v>
      </c>
      <c r="B413" t="str">
        <f t="shared" si="6"/>
        <v>mk dir IIX306</v>
      </c>
    </row>
    <row r="414" spans="1:2" x14ac:dyDescent="0.3">
      <c r="A414" s="6" t="s">
        <v>1937</v>
      </c>
      <c r="B414" t="str">
        <f t="shared" si="6"/>
        <v>mk dir JWP87C</v>
      </c>
    </row>
    <row r="415" spans="1:2" x14ac:dyDescent="0.3">
      <c r="A415" s="6" t="s">
        <v>1945</v>
      </c>
      <c r="B415" t="str">
        <f t="shared" si="6"/>
        <v>mk dir QQL095</v>
      </c>
    </row>
    <row r="416" spans="1:2" x14ac:dyDescent="0.3">
      <c r="A416" s="6" t="s">
        <v>1949</v>
      </c>
      <c r="B416" t="str">
        <f t="shared" si="6"/>
        <v>mk dir QPU078</v>
      </c>
    </row>
    <row r="417" spans="1:2" x14ac:dyDescent="0.3">
      <c r="A417" s="6" t="s">
        <v>1968</v>
      </c>
      <c r="B417" t="str">
        <f t="shared" si="6"/>
        <v>mk dir EDX620</v>
      </c>
    </row>
    <row r="418" spans="1:2" x14ac:dyDescent="0.3">
      <c r="A418" s="17" t="s">
        <v>1973</v>
      </c>
      <c r="B418" t="str">
        <f t="shared" si="6"/>
        <v>mk dir KZY449</v>
      </c>
    </row>
    <row r="419" spans="1:2" x14ac:dyDescent="0.3">
      <c r="A419" s="17" t="s">
        <v>1978</v>
      </c>
      <c r="B419" t="str">
        <f t="shared" si="6"/>
        <v>mk dir PFW145</v>
      </c>
    </row>
    <row r="420" spans="1:2" x14ac:dyDescent="0.3">
      <c r="A420" s="6" t="s">
        <v>1981</v>
      </c>
      <c r="B420" t="str">
        <f t="shared" si="6"/>
        <v>mk dir QQK504</v>
      </c>
    </row>
    <row r="421" spans="1:2" x14ac:dyDescent="0.3">
      <c r="A421" s="6" t="s">
        <v>1985</v>
      </c>
      <c r="B421" t="str">
        <f t="shared" si="6"/>
        <v>mk dir RHO770</v>
      </c>
    </row>
    <row r="422" spans="1:2" x14ac:dyDescent="0.3">
      <c r="A422" s="6" t="s">
        <v>1986</v>
      </c>
      <c r="B422" t="str">
        <f t="shared" si="6"/>
        <v>mk dir LEN12F</v>
      </c>
    </row>
    <row r="423" spans="1:2" x14ac:dyDescent="0.3">
      <c r="A423" s="6" t="s">
        <v>1989</v>
      </c>
      <c r="B423" t="str">
        <f t="shared" si="6"/>
        <v>mk dir FZM862</v>
      </c>
    </row>
    <row r="424" spans="1:2" x14ac:dyDescent="0.3">
      <c r="A424" s="6" t="s">
        <v>1993</v>
      </c>
      <c r="B424" t="str">
        <f t="shared" si="6"/>
        <v>mk dir ELU837</v>
      </c>
    </row>
    <row r="425" spans="1:2" x14ac:dyDescent="0.3">
      <c r="A425" s="6" t="s">
        <v>1996</v>
      </c>
      <c r="B425" t="str">
        <f t="shared" si="6"/>
        <v>mk dir MTY448</v>
      </c>
    </row>
    <row r="426" spans="1:2" x14ac:dyDescent="0.3">
      <c r="A426" s="6" t="s">
        <v>1997</v>
      </c>
      <c r="B426" t="str">
        <f t="shared" si="6"/>
        <v>mk dir NQL91G</v>
      </c>
    </row>
    <row r="427" spans="1:2" x14ac:dyDescent="0.3">
      <c r="A427" s="6" t="s">
        <v>2003</v>
      </c>
      <c r="B427" t="str">
        <f t="shared" si="6"/>
        <v>mk dir HIM091</v>
      </c>
    </row>
    <row r="428" spans="1:2" x14ac:dyDescent="0.3">
      <c r="A428" s="6" t="s">
        <v>2007</v>
      </c>
      <c r="B428" t="str">
        <f t="shared" si="6"/>
        <v>mk dir DWK452</v>
      </c>
    </row>
    <row r="429" spans="1:2" x14ac:dyDescent="0.3">
      <c r="A429" s="17" t="s">
        <v>2012</v>
      </c>
      <c r="B429" t="str">
        <f t="shared" si="6"/>
        <v>mk dir BOR380</v>
      </c>
    </row>
    <row r="430" spans="1:2" x14ac:dyDescent="0.3">
      <c r="A430" s="6" t="s">
        <v>2016</v>
      </c>
      <c r="B430" t="str">
        <f t="shared" si="6"/>
        <v>mk dir JVZ118</v>
      </c>
    </row>
    <row r="431" spans="1:2" x14ac:dyDescent="0.3">
      <c r="A431" s="17" t="s">
        <v>2018</v>
      </c>
      <c r="B431" t="str">
        <f t="shared" si="6"/>
        <v>mk dir QQU671</v>
      </c>
    </row>
    <row r="432" spans="1:2" x14ac:dyDescent="0.3">
      <c r="A432" s="6" t="s">
        <v>2021</v>
      </c>
      <c r="B432" t="str">
        <f t="shared" si="6"/>
        <v>mk dir REK534</v>
      </c>
    </row>
    <row r="433" spans="1:2" x14ac:dyDescent="0.3">
      <c r="A433" s="6" t="s">
        <v>2023</v>
      </c>
      <c r="B433" t="str">
        <f t="shared" si="6"/>
        <v>mk dir QQS652</v>
      </c>
    </row>
    <row r="434" spans="1:2" x14ac:dyDescent="0.3">
      <c r="A434" s="6" t="s">
        <v>2027</v>
      </c>
      <c r="B434" t="str">
        <f t="shared" si="6"/>
        <v>mk dir QQW391</v>
      </c>
    </row>
    <row r="435" spans="1:2" x14ac:dyDescent="0.3">
      <c r="A435" s="6" t="s">
        <v>2030</v>
      </c>
      <c r="B435" t="str">
        <f t="shared" si="6"/>
        <v>mk dir RSQ67H</v>
      </c>
    </row>
    <row r="436" spans="1:2" x14ac:dyDescent="0.3">
      <c r="A436" s="6" t="s">
        <v>2033</v>
      </c>
      <c r="B436" t="str">
        <f t="shared" si="6"/>
        <v>mk dir GXY89I</v>
      </c>
    </row>
    <row r="437" spans="1:2" x14ac:dyDescent="0.3">
      <c r="A437" s="17" t="s">
        <v>2034</v>
      </c>
      <c r="B437" t="str">
        <f t="shared" si="6"/>
        <v>mk dir PRP903</v>
      </c>
    </row>
    <row r="438" spans="1:2" x14ac:dyDescent="0.3">
      <c r="A438" s="6" t="s">
        <v>2035</v>
      </c>
      <c r="B438" t="str">
        <f t="shared" si="6"/>
        <v>mk dir QQX340</v>
      </c>
    </row>
    <row r="439" spans="1:2" x14ac:dyDescent="0.3">
      <c r="A439" s="6" t="s">
        <v>2039</v>
      </c>
      <c r="B439" t="str">
        <f t="shared" si="6"/>
        <v>mk dir PXW080</v>
      </c>
    </row>
    <row r="440" spans="1:2" x14ac:dyDescent="0.3">
      <c r="A440" s="6" t="s">
        <v>2044</v>
      </c>
      <c r="B440" t="str">
        <f t="shared" si="6"/>
        <v>mk dir GFY38I</v>
      </c>
    </row>
    <row r="441" spans="1:2" x14ac:dyDescent="0.3">
      <c r="A441" s="17" t="s">
        <v>2049</v>
      </c>
      <c r="B441" t="str">
        <f t="shared" si="6"/>
        <v>mk dir QQX355</v>
      </c>
    </row>
    <row r="442" spans="1:2" x14ac:dyDescent="0.3">
      <c r="A442" s="6" t="s">
        <v>2192</v>
      </c>
      <c r="B442" t="str">
        <f t="shared" si="6"/>
        <v>mk dir MOT-005</v>
      </c>
    </row>
    <row r="443" spans="1:2" x14ac:dyDescent="0.3">
      <c r="A443" s="6" t="s">
        <v>2053</v>
      </c>
      <c r="B443" t="str">
        <f t="shared" si="6"/>
        <v>mk dir AVI453</v>
      </c>
    </row>
    <row r="444" spans="1:2" x14ac:dyDescent="0.3">
      <c r="A444" s="6" t="s">
        <v>2057</v>
      </c>
      <c r="B444" t="str">
        <f t="shared" si="6"/>
        <v>mk dir JEK683</v>
      </c>
    </row>
    <row r="445" spans="1:2" x14ac:dyDescent="0.3">
      <c r="A445" s="6" t="s">
        <v>2060</v>
      </c>
      <c r="B445" t="str">
        <f t="shared" si="6"/>
        <v>mk dir POR856</v>
      </c>
    </row>
    <row r="446" spans="1:2" x14ac:dyDescent="0.3">
      <c r="A446" s="6" t="s">
        <v>2063</v>
      </c>
      <c r="B446" t="str">
        <f t="shared" si="6"/>
        <v>mk dir FYK571</v>
      </c>
    </row>
    <row r="447" spans="1:2" x14ac:dyDescent="0.3">
      <c r="A447" s="6" t="s">
        <v>2067</v>
      </c>
      <c r="B447" t="str">
        <f t="shared" si="6"/>
        <v>mk dir SJP89G</v>
      </c>
    </row>
    <row r="448" spans="1:2" x14ac:dyDescent="0.3">
      <c r="A448" s="6" t="s">
        <v>2070</v>
      </c>
      <c r="B448" t="str">
        <f t="shared" si="6"/>
        <v>mk dir KCE11I</v>
      </c>
    </row>
    <row r="449" spans="1:2" x14ac:dyDescent="0.3">
      <c r="A449" s="6" t="s">
        <v>2076</v>
      </c>
      <c r="B449" t="str">
        <f t="shared" si="6"/>
        <v>mk dir ICM27G</v>
      </c>
    </row>
    <row r="450" spans="1:2" x14ac:dyDescent="0.3">
      <c r="A450" s="6" t="s">
        <v>2079</v>
      </c>
      <c r="B450" t="str">
        <f t="shared" ref="B450:B457" si="7">CONCATENATE("mk dir ",A450)</f>
        <v>mk dir RAK41C</v>
      </c>
    </row>
    <row r="451" spans="1:2" x14ac:dyDescent="0.3">
      <c r="A451" s="17" t="s">
        <v>2081</v>
      </c>
      <c r="B451" t="str">
        <f t="shared" si="7"/>
        <v>mk dir HTQ061</v>
      </c>
    </row>
    <row r="452" spans="1:2" x14ac:dyDescent="0.3">
      <c r="A452" s="6" t="s">
        <v>2086</v>
      </c>
      <c r="B452" t="str">
        <f t="shared" si="7"/>
        <v>mk dir TEP001</v>
      </c>
    </row>
    <row r="453" spans="1:2" x14ac:dyDescent="0.3">
      <c r="A453" s="6" t="s">
        <v>2087</v>
      </c>
      <c r="B453" t="str">
        <f t="shared" si="7"/>
        <v>mk dir QQU531</v>
      </c>
    </row>
    <row r="454" spans="1:2" x14ac:dyDescent="0.3">
      <c r="A454" s="6" t="s">
        <v>2090</v>
      </c>
      <c r="B454" t="str">
        <f t="shared" si="7"/>
        <v>mk dir BRD379</v>
      </c>
    </row>
    <row r="455" spans="1:2" x14ac:dyDescent="0.3">
      <c r="A455" s="6" t="s">
        <v>2092</v>
      </c>
      <c r="B455" t="str">
        <f t="shared" si="7"/>
        <v>mk dir FNY762</v>
      </c>
    </row>
    <row r="456" spans="1:2" x14ac:dyDescent="0.3">
      <c r="A456" s="6" t="s">
        <v>2096</v>
      </c>
      <c r="B456" t="str">
        <f t="shared" si="7"/>
        <v>mk dir NJR865</v>
      </c>
    </row>
    <row r="457" spans="1:2" x14ac:dyDescent="0.3">
      <c r="A457" s="6" t="s">
        <v>2097</v>
      </c>
      <c r="B457" t="str">
        <f t="shared" si="7"/>
        <v>mk dir LNL878</v>
      </c>
    </row>
  </sheetData>
  <conditionalFormatting sqref="A445:A457 A1:A443">
    <cfRule type="duplicateValues" dxfId="7" priority="2"/>
  </conditionalFormatting>
  <conditionalFormatting sqref="A1:A457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</row>
    <row r="4" spans="1: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5" priority="1"/>
  </conditionalFormatting>
  <conditionalFormatting sqref="L500:L1048576 L7:L498">
    <cfRule type="duplicateValues" dxfId="4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489"/>
  <sheetViews>
    <sheetView topLeftCell="G1" zoomScale="90" zoomScaleNormal="90" workbookViewId="0">
      <pane ySplit="7" topLeftCell="A423" activePane="bottomLeft" state="frozen"/>
      <selection pane="bottomLeft" activeCell="G8" sqref="G8:G445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20" style="9" customWidth="1"/>
    <col min="6" max="6" width="39.77734375" style="9" bestFit="1" customWidth="1"/>
    <col min="7" max="7" width="232.77734375" style="11" bestFit="1" customWidth="1"/>
    <col min="8" max="16384" width="9.109375" style="11"/>
  </cols>
  <sheetData>
    <row r="3" spans="1:7" customFormat="1" ht="14.4" x14ac:dyDescent="0.3">
      <c r="A3" s="36" t="s">
        <v>2147</v>
      </c>
      <c r="B3" s="36"/>
      <c r="C3" s="36"/>
      <c r="D3" s="36"/>
      <c r="E3" s="36"/>
      <c r="F3" s="36"/>
    </row>
    <row r="4" spans="1:7" x14ac:dyDescent="0.25">
      <c r="A4" s="36"/>
      <c r="B4" s="36"/>
      <c r="C4" s="36"/>
      <c r="D4" s="36"/>
      <c r="E4" s="36"/>
      <c r="F4" s="36"/>
    </row>
    <row r="7" spans="1:7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33" t="s">
        <v>2145</v>
      </c>
      <c r="F7" s="3" t="s">
        <v>2146</v>
      </c>
      <c r="G7" s="32" t="s">
        <v>2148</v>
      </c>
    </row>
    <row r="8" spans="1:7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24">
        <v>3015351260</v>
      </c>
      <c r="F8" s="8" t="s">
        <v>1849</v>
      </c>
      <c r="G8" t="str">
        <f t="shared" ref="G8:G71" si="1">CONCATENATE("INSERT INTO `parqueadero`.`conductor` (`",$A$7,"`, `",$B$7,"`, `",$C$7,"`, `",$D$7,"`, `",$E$7,"`, `",$F$7,"`) VALUES ('",A8,"','",B8,"','",C8,"','",D8,"','",E8,"','",F8,"');" )</f>
        <v>INSERT INTO `parqueadero`.`conductor` (`Oid`, `IdConductor`, `Nombre`, `Area`, `Celular`, `correo`) VALUES ('1','45361037','ADRIANA BELLO LEÓN','Dirección Administrativa','3015351260','adriana.bello@habitatbogota.gov.co');</v>
      </c>
    </row>
    <row r="9" spans="1:7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>
        <v>3124527312</v>
      </c>
      <c r="F9" s="8" t="s">
        <v>131</v>
      </c>
      <c r="G9" t="str">
        <f t="shared" si="1"/>
        <v>INSERT INTO `parqueadero`.`conductor` (`Oid`, `IdConductor`, `Nombre`, `Area`, `Celular`, `correo`) VALUES ('2','53006917','ADRIANA IVONNE CÁRDENAS','Dirección de Información de Políticas Públicas','3124527312','ivonne.cardenas@habitatbogota.gov.co');</v>
      </c>
    </row>
    <row r="10" spans="1:7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>
        <v>3103341145</v>
      </c>
      <c r="F10" s="8" t="s">
        <v>615</v>
      </c>
      <c r="G10" t="str">
        <f t="shared" si="1"/>
        <v>INSERT INTO `parqueadero`.`conductor` (`Oid`, `IdConductor`, `Nombre`, `Area`, `Celular`, `correo`) VALUES ('3','39698825','ADRIANA MORENO CHAVES','Subsecretaría de Inspección Vigilancia y Control de Vivienda','3103341145','adriana.moreno@habitatbogota.gov.co');</v>
      </c>
    </row>
    <row r="11" spans="1:7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17">
        <v>3045452585</v>
      </c>
      <c r="F11" s="8" t="s">
        <v>41</v>
      </c>
      <c r="G11" t="str">
        <f t="shared" si="1"/>
        <v>INSERT INTO `parqueadero`.`conductor` (`Oid`, `IdConductor`, `Nombre`, `Area`, `Celular`, `correo`) VALUES ('4','37396460','ADRIANA VILLANEDA URIBE','Dirección de Prevención Arrendamiento y Control de Enajenación','3045452585','adriana.villaneda@habitatbogota.gov.co');</v>
      </c>
    </row>
    <row r="12" spans="1:7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6">
        <v>3164707235</v>
      </c>
      <c r="F12" s="8" t="s">
        <v>800</v>
      </c>
      <c r="G12" t="str">
        <f t="shared" si="1"/>
        <v>INSERT INTO `parqueadero`.`conductor` (`Oid`, `IdConductor`, `Nombre`, `Area`, `Celular`, `correo`) VALUES ('5','5770982','ALDEMAR CASTILLO ARIZA','Oficina de Tecnología y Transformación Digital','3164707235','aldemar.castillo@habitatbogota.gov.co');</v>
      </c>
    </row>
    <row r="13" spans="1:7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>
        <v>3116441544</v>
      </c>
      <c r="F13" s="8" t="s">
        <v>2089</v>
      </c>
      <c r="G13" t="str">
        <f t="shared" si="1"/>
        <v>INSERT INTO `parqueadero`.`conductor` (`Oid`, `IdConductor`, `Nombre`, `Area`, `Celular`, `correo`) VALUES ('6','1020789222','ALEJANDRA FORERO GONZÁLEZ','Subsecretaría de Planeación y Políticas','3116441544','alejandra.forero@habitatbogota.gov.co');</v>
      </c>
    </row>
    <row r="14" spans="1:7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>
        <v>3134801116</v>
      </c>
      <c r="F14" s="8" t="s">
        <v>1199</v>
      </c>
      <c r="G14" t="str">
        <f t="shared" si="1"/>
        <v>INSERT INTO `parqueadero`.`conductor` (`Oid`, `IdConductor`, `Nombre`, `Area`, `Celular`, `correo`) VALUES ('7','1019025949','ALEJANDRA LONDOÑO REYES','Despacho','3134801116','alondono@habitatbogota.gov.co');</v>
      </c>
    </row>
    <row r="15" spans="1:7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>
        <v>3118530471</v>
      </c>
      <c r="F15" s="8" t="s">
        <v>1715</v>
      </c>
      <c r="G15" t="str">
        <f t="shared" si="1"/>
        <v>INSERT INTO `parqueadero`.`conductor` (`Oid`, `IdConductor`, `Nombre`, `Area`, `Celular`, `correo`) VALUES ('8','52963778','ALEJANDRA NEISSA LANCHEROS','Subsecretaría Corporativa','3118530471','noraya.neissa@habitatbogota.gov.co');</v>
      </c>
    </row>
    <row r="16" spans="1:7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>
        <v>3006972526</v>
      </c>
      <c r="F16" s="8" t="s">
        <v>372</v>
      </c>
      <c r="G16" t="str">
        <f t="shared" si="1"/>
        <v>INSERT INTO `parqueadero`.`conductor` (`Oid`, `IdConductor`, `Nombre`, `Area`, `Celular`, `correo`) VALUES ('9','1017140531','ALEX CORREA','Dirección de Operaciones','3006972526','alex.correa@habitatbogota.gov.co');</v>
      </c>
    </row>
    <row r="17" spans="1:7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>
        <v>3108874878</v>
      </c>
      <c r="F17" s="8" t="s">
        <v>2020</v>
      </c>
      <c r="G17" t="str">
        <f t="shared" si="1"/>
        <v>INSERT INTO `parqueadero`.`conductor` (`Oid`, `IdConductor`, `Nombre`, `Area`, `Celular`, `correo`) VALUES ('10','79756851','ALEXANDER PRIETO MUÑOZ','Dirección de Financiación de Vivienda','3108874878','alexander.prieto@habitatbogota.gov.co');</v>
      </c>
    </row>
    <row r="18" spans="1:7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>
        <v>3114873933</v>
      </c>
      <c r="F18" s="8" t="s">
        <v>377</v>
      </c>
      <c r="G18" t="str">
        <f t="shared" si="1"/>
        <v>INSERT INTO `parqueadero`.`conductor` (`Oid`, `IdConductor`, `Nombre`, `Area`, `Celular`, `correo`) VALUES ('11','1014230598','ALFONSO MORENO BUITRAGO','Dirección de Operaciones','3114873933','alfonso.moreno@habitatbogota.gov.co');</v>
      </c>
    </row>
    <row r="19" spans="1:7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>
        <v>3176767882</v>
      </c>
      <c r="F19" s="8" t="s">
        <v>686</v>
      </c>
      <c r="G19" t="str">
        <f t="shared" si="1"/>
        <v>INSERT INTO `parqueadero`.`conductor` (`Oid`, `IdConductor`, `Nombre`, `Area`, `Celular`, `correo`) VALUES ('12','10288931','ALFREDO GOMEZ ARBOLEDA','Subsecretaría Corporativa','3176767882','alfredo.gomez@habitatbogota.gov.co');</v>
      </c>
    </row>
    <row r="20" spans="1:7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>
        <v>3102286082</v>
      </c>
      <c r="F20" s="8" t="s">
        <v>1534</v>
      </c>
      <c r="G20" t="str">
        <f t="shared" si="1"/>
        <v>INSERT INTO `parqueadero`.`conductor` (`Oid`, `IdConductor`, `Nombre`, `Area`, `Celular`, `correo`) VALUES ('13','15958519','ALONSO MARIN CARDONA','Dirección de Investigaciones y Control de Vivienda','3102286082','alonso.marin@habitatbogota.gov.co');</v>
      </c>
    </row>
    <row r="21" spans="1:7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>
        <v>3157902737</v>
      </c>
      <c r="F21" s="8" t="s">
        <v>1081</v>
      </c>
      <c r="G21" t="str">
        <f t="shared" si="1"/>
        <v>INSERT INTO `parqueadero`.`conductor` (`Oid`, `IdConductor`, `Nombre`, `Area`, `Celular`, `correo`) VALUES ('14','80268446','ALVARO BARRETO LUGO','Subsecretaría de Vivienda','3157902737','alvaro.barreto@habitatbogota.gov.co');</v>
      </c>
    </row>
    <row r="22" spans="1:7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>
        <v>3213712008</v>
      </c>
      <c r="F22" s="8" t="s">
        <v>347</v>
      </c>
      <c r="G22" t="str">
        <f t="shared" si="1"/>
        <v>INSERT INTO `parqueadero`.`conductor` (`Oid`, `IdConductor`, `Nombre`, `Area`, `Celular`, `correo`) VALUES ('15','1020767847','AMMY JULIETH MORA PARRALES ','Dirección de Operaciones','3213712008','ammy.mora@habitatbogota.gov.co');</v>
      </c>
    </row>
    <row r="23" spans="1:7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17">
        <v>3204174797</v>
      </c>
      <c r="F23" s="8" t="s">
        <v>1484</v>
      </c>
      <c r="G23" t="str">
        <f t="shared" si="1"/>
        <v>INSERT INTO `parqueadero`.`conductor` (`Oid`, `IdConductor`, `Nombre`, `Area`, `Celular`, `correo`) VALUES ('16','52883834','ANA AMELIA AVILA PALACIOS ','Oficina de Participación y Relacionamiento con la Ciudadanía','3204174797','ana.avila@habitatbogota.gov.co');</v>
      </c>
    </row>
    <row r="24" spans="1:7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17">
        <v>3017008600</v>
      </c>
      <c r="F24" s="8" t="s">
        <v>456</v>
      </c>
      <c r="G24" t="str">
        <f t="shared" si="1"/>
        <v>INSERT INTO `parqueadero`.`conductor` (`Oid`, `IdConductor`, `Nombre`, `Area`, `Celular`, `correo`) VALUES ('17','49606615','ANA CAROLINA ARAÚJO CHÁVEZ ','Dirección de Investigaciones y Control de Vivienda','3017008600','ana.araujo@habitatbogota.gov.co');</v>
      </c>
    </row>
    <row r="25" spans="1:7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>
        <v>3112818293</v>
      </c>
      <c r="F25" s="8" t="s">
        <v>1145</v>
      </c>
      <c r="G25" t="str">
        <f t="shared" si="1"/>
        <v>INSERT INTO `parqueadero`.`conductor` (`Oid`, `IdConductor`, `Nombre`, `Area`, `Celular`, `correo`) VALUES ('18','52226898','ANA JUDITH ABREU MURCIA ','Dirección de Apoyo a la Contrucción','3112818293','ana.abreu@habitatbogota.gov.co');</v>
      </c>
    </row>
    <row r="26" spans="1:7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>
        <v>3124328572</v>
      </c>
      <c r="F26" s="8" t="s">
        <v>2095</v>
      </c>
      <c r="G26" t="str">
        <f t="shared" si="1"/>
        <v>INSERT INTO `parqueadero`.`conductor` (`Oid`, `IdConductor`, `Nombre`, `Area`, `Celular`, `correo`) VALUES ('19','52454937','ANA MARIA PATIÑO DURÁN','Dirección de Operaciones','3124328572','ana.patino@habitatbogota.gov.co');</v>
      </c>
    </row>
    <row r="27" spans="1:7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>
        <v>3044372347</v>
      </c>
      <c r="F27" s="8" t="s">
        <v>1653</v>
      </c>
      <c r="G27" t="str">
        <f t="shared" si="1"/>
        <v>INSERT INTO `parqueadero`.`conductor` (`Oid`, `IdConductor`, `Nombre`, `Area`, `Celular`, `correo`) VALUES ('20','1014307682','ANA SOFÍA RODRÍGUEZ GONZÁLEZ','Dirección de Mejoramiento Habitacional','3044372347','sofiarodriguez258@gmail.com');</v>
      </c>
    </row>
    <row r="28" spans="1:7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6">
        <v>3017566072</v>
      </c>
      <c r="F28" s="8" t="s">
        <v>1347</v>
      </c>
      <c r="G28" t="str">
        <f t="shared" si="1"/>
        <v>INSERT INTO `parqueadero`.`conductor` (`Oid`, `IdConductor`, `Nombre`, `Area`, `Celular`, `correo`) VALUES ('21','1013579971','ANA ZULEIMA BARRERO RODRIGUEZ','Dirección de Hábitat y Entorno','3017566072','ana.barrero@habitatbogota.gov.co');</v>
      </c>
    </row>
    <row r="29" spans="1:7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17">
        <v>3167537379</v>
      </c>
      <c r="F29" s="8" t="s">
        <v>1976</v>
      </c>
      <c r="G29" t="str">
        <f t="shared" si="1"/>
        <v>INSERT INTO `parqueadero`.`conductor` (`Oid`, `IdConductor`, `Nombre`, `Area`, `Celular`, `correo`) VALUES ('22','1032419051','ANDREA CAROLINA TORRES LEÓN','Dirección de Mejoramiento Habitacional','3167537379','andrea.torres@habitatbogota.gov.co');</v>
      </c>
    </row>
    <row r="30" spans="1:7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>
        <v>3208638990</v>
      </c>
      <c r="F30" s="8" t="s">
        <v>392</v>
      </c>
      <c r="G30" t="str">
        <f t="shared" si="1"/>
        <v>INSERT INTO `parqueadero`.`conductor` (`Oid`, `IdConductor`, `Nombre`, `Area`, `Celular`, `correo`) VALUES ('23','52387578','ANDREA FERNANDA GUZMAN RAMOS','Dirección de Operaciones','3208638990','andrea.guzman@habitatbogota.gov.co');</v>
      </c>
    </row>
    <row r="31" spans="1:7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6">
        <v>3208010259</v>
      </c>
      <c r="F31" s="8" t="s">
        <v>1734</v>
      </c>
      <c r="G31" t="str">
        <f t="shared" si="1"/>
        <v>INSERT INTO `parqueadero`.`conductor` (`Oid`, `IdConductor`, `Nombre`, `Area`, `Celular`, `correo`) VALUES ('24','1018455944','ANDREA JULIETH PAVA GOMEZ','Dirección de Hábitat y Entorno','3208010259','andrea.pava@habitatbogota.gov.co');</v>
      </c>
    </row>
    <row r="32" spans="1:7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>
        <v>3195138463</v>
      </c>
      <c r="F32" s="8" t="s">
        <v>218</v>
      </c>
      <c r="G32" t="str">
        <f t="shared" si="1"/>
        <v>INSERT INTO `parqueadero`.`conductor` (`Oid`, `IdConductor`, `Nombre`, `Area`, `Celular`, `correo`) VALUES ('25','52212145','ANDREA PAOLA CORTES CARVAJALINO','Dirección de Mejoramiento Habitacional','3195138463','andrea.cortes@habitatbogota.gov.co');</v>
      </c>
    </row>
    <row r="33" spans="1:7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>
        <v>3118045214</v>
      </c>
      <c r="F33" s="8" t="s">
        <v>255</v>
      </c>
      <c r="G33" t="str">
        <f t="shared" si="1"/>
        <v>INSERT INTO `parqueadero`.`conductor` (`Oid`, `IdConductor`, `Nombre`, `Area`, `Celular`, `correo`) VALUES ('26','1010187540','ANDRES FAID GARZON APONTE','Dirección de Prevención Arrendamiento y Control de Enajenación','3118045214','andres.garzon@habitatbogota.gov.co');</v>
      </c>
    </row>
    <row r="34" spans="1:7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>
        <v>3008532732</v>
      </c>
      <c r="F34" s="8" t="s">
        <v>397</v>
      </c>
      <c r="G34" t="str">
        <f t="shared" si="1"/>
        <v>INSERT INTO `parqueadero`.`conductor` (`Oid`, `IdConductor`, `Nombre`, `Area`, `Celular`, `correo`) VALUES ('27','80136470','ANDRES FARFAN','Dirección de Financiación de Vivienda','3008532732','victor.farfan@habitatbogota.gov.co');</v>
      </c>
    </row>
    <row r="35" spans="1:7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>
        <v>3184658662</v>
      </c>
      <c r="F35" s="8" t="s">
        <v>993</v>
      </c>
      <c r="G35" t="str">
        <f t="shared" si="1"/>
        <v>INSERT INTO `parqueadero`.`conductor` (`Oid`, `IdConductor`, `Nombre`, `Area`, `Celular`, `correo`) VALUES ('28','1010033134','ANDRES FELIPE LEGUIZAMO SANCHEZ','Dirección de Operaciones','3184658662','andres.leguizamon@habitatbogota.gov.co');</v>
      </c>
    </row>
    <row r="36" spans="1:7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>
        <v>3213001212</v>
      </c>
      <c r="F36" s="8" t="s">
        <v>1140</v>
      </c>
      <c r="G36" t="str">
        <f t="shared" si="1"/>
        <v>INSERT INTO `parqueadero`.`conductor` (`Oid`, `IdConductor`, `Nombre`, `Area`, `Celular`, `correo`) VALUES ('29','1018492612','ANDRÉS FELIPE MONROY GUALTERO','Subsecretaría de Inspección Vigilancia y Control de Vivienda','3213001212','andres.monroy@habitatbogota.gov.co');</v>
      </c>
    </row>
    <row r="37" spans="1:7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13">
        <v>3016500846</v>
      </c>
      <c r="F37" s="8" t="s">
        <v>1824</v>
      </c>
      <c r="G37" t="str">
        <f t="shared" si="1"/>
        <v>INSERT INTO `parqueadero`.`conductor` (`Oid`, `IdConductor`, `Nombre`, `Area`, `Celular`, `correo`) VALUES ('30','1012453976','ANDRÉS FELIPE PARRA AVENDAÑO','Oficina de Control Interno','3016500846','andres.parra@habitatbogota.gov.co');</v>
      </c>
    </row>
    <row r="38" spans="1:7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>
        <v>3208732659</v>
      </c>
      <c r="F38" s="8" t="s">
        <v>1488</v>
      </c>
      <c r="G38" t="str">
        <f t="shared" si="1"/>
        <v>INSERT INTO `parqueadero`.`conductor` (`Oid`, `IdConductor`, `Nombre`, `Area`, `Celular`, `correo`) VALUES ('31','80206130','ANDRES FELIPE VILLAMIL CASTRO','Dirección Financiera','3208732659','andres.villamilc@habotatbogota.gov.co');</v>
      </c>
    </row>
    <row r="39" spans="1:7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>
        <v>3102710234</v>
      </c>
      <c r="F39" s="8" t="s">
        <v>103</v>
      </c>
      <c r="G39" t="str">
        <f t="shared" si="1"/>
        <v>INSERT INTO `parqueadero`.`conductor` (`Oid`, `IdConductor`, `Nombre`, `Area`, `Celular`, `correo`) VALUES ('32','1918513898','ANDRES FERNANDO CARDOZO RATIVA','Oficina de Participación y Relacionamiento con la Ciudadanía','3102710234','andres.cardozo45@gmail.com');</v>
      </c>
    </row>
    <row r="40" spans="1:7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17">
        <v>3192601606</v>
      </c>
      <c r="F40" s="8" t="s">
        <v>1228</v>
      </c>
      <c r="G40" t="str">
        <f t="shared" si="1"/>
        <v>INSERT INTO `parqueadero`.`conductor` (`Oid`, `IdConductor`, `Nombre`, `Area`, `Celular`, `correo`) VALUES ('33','1026578164','ANDRES FERNEY ARROYO HERRERA','Dirección de Información de Políticas Públicas','3192601606','andres.arroyo@habitatbogota.gov.co');</v>
      </c>
    </row>
    <row r="41" spans="1:7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>
        <v>3157310092</v>
      </c>
      <c r="F41" s="8" t="s">
        <v>1105</v>
      </c>
      <c r="G41" t="str">
        <f t="shared" si="1"/>
        <v>INSERT INTO `parqueadero`.`conductor` (`Oid`, `IdConductor`, `Nombre`, `Area`, `Celular`, `correo`) VALUES ('34','79867029','ANDRES TRUJILLO MAZA','Subsecretaría Jurídica','3157310092','andres.trujillo@habitatbogota.gov.co');</v>
      </c>
    </row>
    <row r="42" spans="1:7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>
        <v>3108833639</v>
      </c>
      <c r="F42" s="8" t="s">
        <v>1332</v>
      </c>
      <c r="G42" t="str">
        <f t="shared" si="1"/>
        <v>INSERT INTO `parqueadero`.`conductor` (`Oid`, `IdConductor`, `Nombre`, `Area`, `Celular`, `correo`) VALUES ('35','52243622','ANGELA JANNETH CASTIBLANCO PIÑEROS','Dirección de Financiación de Vivienda','3108833639','angela.castiblanco@habitatbogota.gov.co');</v>
      </c>
    </row>
    <row r="43" spans="1:7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>
        <v>3118191247</v>
      </c>
      <c r="F43" s="8" t="s">
        <v>149</v>
      </c>
      <c r="G43" t="str">
        <f t="shared" si="1"/>
        <v>INSERT INTO `parqueadero`.`conductor` (`Oid`, `IdConductor`, `Nombre`, `Area`, `Celular`, `correo`) VALUES ('36','52918998','ANGELA MILENA LATORRE RODRÍGUEZ ','Dirección de Financiación de Vivienda','3118191247','angela.latorre@habitatbogota.gov.co');</v>
      </c>
    </row>
    <row r="44" spans="1:7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>
        <v>3208648492</v>
      </c>
      <c r="F44" s="8" t="s">
        <v>1068</v>
      </c>
      <c r="G44" t="str">
        <f t="shared" si="1"/>
        <v>INSERT INTO `parqueadero`.`conductor` (`Oid`, `IdConductor`, `Nombre`, `Area`, `Celular`, `correo`) VALUES ('37','1022360944','ANGELICA MARCELA LOPEZ CUBILLOS','Dirección de Estructuracion de Proyectos','3208648492','angelica.lopez@habitatbogota.gov.co');</v>
      </c>
    </row>
    <row r="45" spans="1:7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>
        <v>1032400206</v>
      </c>
      <c r="F45" s="8" t="s">
        <v>600</v>
      </c>
      <c r="G45" t="str">
        <f t="shared" si="1"/>
        <v>INSERT INTO `parqueadero`.`conductor` (`Oid`, `IdConductor`, `Nombre`, `Area`, `Celular`, `correo`) VALUES ('38','1032400206','ANGELICA MARIA ANTOLINEZ TIUSABA','Subsecretaría de Inspección Vigilancia y Control de Vivienda','1032400206','angelica.antolinez@habitatbogota.gov.co');</v>
      </c>
    </row>
    <row r="46" spans="1:7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>
        <v>3164900097</v>
      </c>
      <c r="F46" s="8" t="s">
        <v>1121</v>
      </c>
      <c r="G46" t="str">
        <f t="shared" si="1"/>
        <v>INSERT INTO `parqueadero`.`conductor` (`Oid`, `IdConductor`, `Nombre`, `Area`, `Celular`, `correo`) VALUES ('39','1026302501','ANGELICA PAOLA LUNA TORRES','Dirección de Investigaciones y Control de Vivienda','3164900097','angelica.luna@habitatbogota.gov.co');</v>
      </c>
    </row>
    <row r="47" spans="1:7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>
        <v>3118427497</v>
      </c>
      <c r="F47" s="8" t="s">
        <v>1366</v>
      </c>
      <c r="G47" t="str">
        <f t="shared" si="1"/>
        <v>INSERT INTO `parqueadero`.`conductor` (`Oid`, `IdConductor`, `Nombre`, `Area`, `Celular`, `correo`) VALUES ('40','1030623723','ANGELICA QUIÑONES CARRILLO ','Dirección de Operaciones','3118427497','angelica.quinones@habitatbogota.gov.co');</v>
      </c>
    </row>
    <row r="48" spans="1:7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>
        <v>3104810937</v>
      </c>
      <c r="F48" s="8" t="s">
        <v>611</v>
      </c>
      <c r="G48" t="str">
        <f t="shared" si="1"/>
        <v>INSERT INTO `parqueadero`.`conductor` (`Oid`, `IdConductor`, `Nombre`, `Area`, `Celular`, `correo`) VALUES ('41','1015444843','ANGIE DANIELA TIRANO MARTINEZ','Dirección de Apoyo a la Contrucción','3104810937','angie.tirano@habitatbogota.gov.co');</v>
      </c>
    </row>
    <row r="49" spans="1:7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>
        <v>3124438269</v>
      </c>
      <c r="F49" s="8" t="s">
        <v>1343</v>
      </c>
      <c r="G49" t="str">
        <f t="shared" si="1"/>
        <v>INSERT INTO `parqueadero`.`conductor` (`Oid`, `IdConductor`, `Nombre`, `Area`, `Celular`, `correo`) VALUES ('42','1024568532','ANGIE DAYANNA GUILLEN AVILA','Dirección de Estructuracion de Proyectos','3124438269','angie.guillen@habitatbogota.gov.co');</v>
      </c>
    </row>
    <row r="50" spans="1:7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13">
        <v>3209654372</v>
      </c>
      <c r="F50" s="8" t="s">
        <v>1869</v>
      </c>
      <c r="G50" t="str">
        <f t="shared" si="1"/>
        <v>INSERT INTO `parqueadero`.`conductor` (`Oid`, `IdConductor`, `Nombre`, `Area`, `Celular`, `correo`) VALUES ('43','1070977964','ANGIE TATIANA SUTA PARDO','Dirección Administrativa','3209654372','angie.suta@habitatbogota.gov.co');</v>
      </c>
    </row>
    <row r="51" spans="1:7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>
        <v>3002719624</v>
      </c>
      <c r="F51" s="8" t="s">
        <v>941</v>
      </c>
      <c r="G51" t="str">
        <f t="shared" si="1"/>
        <v>INSERT INTO `parqueadero`.`conductor` (`Oid`, `IdConductor`, `Nombre`, `Area`, `Celular`, `correo`) VALUES ('44','1140847934','ANTONIO DAVID MARTINEZ VARGAS ','Oficina de Participación y Relacionamiento con la Ciudadanía','3002719624','antonio.martinez@habitatbogota.gov.co');</v>
      </c>
    </row>
    <row r="52" spans="1:7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>
        <v>3006008179</v>
      </c>
      <c r="F52" s="8" t="s">
        <v>1310</v>
      </c>
      <c r="G52" t="str">
        <f t="shared" si="1"/>
        <v>INSERT INTO `parqueadero`.`conductor` (`Oid`, `IdConductor`, `Nombre`, `Area`, `Celular`, `correo`) VALUES ('45','52086502','BELLANITH PAULINA VARGAS GARZON','Subsecretaría de Inspección Vigilancia y Control de Vivienda','3006008179','bellanith.vargas@habitatbogota.gov.co');</v>
      </c>
    </row>
    <row r="53" spans="1:7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>
        <v>3125685518</v>
      </c>
      <c r="F53" s="8" t="s">
        <v>1014</v>
      </c>
      <c r="G53" t="str">
        <f t="shared" si="1"/>
        <v>INSERT INTO `parqueadero`.`conductor` (`Oid`, `IdConductor`, `Nombre`, `Area`, `Celular`, `correo`) VALUES ('46','1018482735','BRAHAM STUART HERNANDEZ GONZALEZ','Subsecretaría de Intervenciones Integrales','3125685518','bhernandezg3@gmail.com');</v>
      </c>
    </row>
    <row r="54" spans="1:7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>
        <v>3024240848</v>
      </c>
      <c r="F54" s="8" t="s">
        <v>1268</v>
      </c>
      <c r="G54" t="str">
        <f t="shared" si="1"/>
        <v>INSERT INTO `parqueadero`.`conductor` (`Oid`, `IdConductor`, `Nombre`, `Area`, `Celular`, `correo`) VALUES ('47','1012397431','BRANDON STEVEN PACHON','Gestión Documental','3024240848','correspondenciasdht@habitatbogota.gov.co');</v>
      </c>
    </row>
    <row r="55" spans="1:7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>
        <v>3013641971</v>
      </c>
      <c r="F55" s="8" t="s">
        <v>680</v>
      </c>
      <c r="G55" t="str">
        <f t="shared" si="1"/>
        <v>INSERT INTO `parqueadero`.`conductor` (`Oid`, `IdConductor`, `Nombre`, `Area`, `Celular`, `correo`) VALUES ('48','1233895766','BRIAN FELIPE PINILLA GARZÓN ','Dirección de Financiación de Vivienda','3013641971','brian.pinilla@habitatbogota.gov.co');</v>
      </c>
    </row>
    <row r="56" spans="1:7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>
        <v>3142180093</v>
      </c>
      <c r="F56" s="8" t="s">
        <v>303</v>
      </c>
      <c r="G56" t="str">
        <f t="shared" si="1"/>
        <v>INSERT INTO `parqueadero`.`conductor` (`Oid`, `IdConductor`, `Nombre`, `Area`, `Celular`, `correo`) VALUES ('49','80084377','CAMILO AUGUSTO PARDO ROCHA','Dirección de Mejoramiento Habitacional','3142180093','camilo.pardo@habitatbogota.gov.co');</v>
      </c>
    </row>
    <row r="57" spans="1:7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17">
        <v>3045210163</v>
      </c>
      <c r="F57" s="8" t="s">
        <v>1561</v>
      </c>
      <c r="G57" t="str">
        <f t="shared" si="1"/>
        <v>INSERT INTO `parqueadero`.`conductor` (`Oid`, `IdConductor`, `Nombre`, `Area`, `Celular`, `correo`) VALUES ('50','1018466744','CAMILO IBARRA CUBILLOS','Dirección Financiera','3045210163','camilo.cubillos@habitatbogota.gov.co');</v>
      </c>
    </row>
    <row r="58" spans="1:7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6">
        <v>3138863236</v>
      </c>
      <c r="F58" s="8" t="s">
        <v>1677</v>
      </c>
      <c r="G58" t="str">
        <f t="shared" si="1"/>
        <v>INSERT INTO `parqueadero`.`conductor` (`Oid`, `IdConductor`, `Nombre`, `Area`, `Celular`, `correo`) VALUES ('51','80135858','CAMILO MORALES MOSQUERA','Despacho','3138863236','camilo.morales@habitatbogota.gov.co');</v>
      </c>
    </row>
    <row r="59" spans="1:7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>
        <v>3158688113</v>
      </c>
      <c r="F59" s="8" t="s">
        <v>1686</v>
      </c>
      <c r="G59" t="str">
        <f t="shared" si="1"/>
        <v>INSERT INTO `parqueadero`.`conductor` (`Oid`, `IdConductor`, `Nombre`, `Area`, `Celular`, `correo`) VALUES ('52','79316881','CAMILO SARMIENTO GARZÓN','Dirección Administrativa','3158688113','camilo.sarmiento@habitatbogota.gov.co');</v>
      </c>
    </row>
    <row r="60" spans="1:7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>
        <v>3156440350</v>
      </c>
      <c r="F60" s="8" t="s">
        <v>336</v>
      </c>
      <c r="G60" t="str">
        <f t="shared" si="1"/>
        <v>INSERT INTO `parqueadero`.`conductor` (`Oid`, `IdConductor`, `Nombre`, `Area`, `Celular`, `correo`) VALUES ('53','79383437','CAMILO TORRES','Dirección de Operaciones','3156440350','camilo.torres@habitatbogota.gov.co');</v>
      </c>
    </row>
    <row r="61" spans="1:7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17">
        <v>3188362196</v>
      </c>
      <c r="F61" s="8" t="s">
        <v>1943</v>
      </c>
      <c r="G61" t="str">
        <f t="shared" si="1"/>
        <v>INSERT INTO `parqueadero`.`conductor` (`Oid`, `IdConductor`, `Nombre`, `Area`, `Celular`, `correo`) VALUES ('54','1051980148','CARLOS ALBERTO HERRERA CELY','Dirección de Información de Políticas Públicas','3188362196','carlos.herrera@habitatbogota.gov.co');</v>
      </c>
    </row>
    <row r="62" spans="1:7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>
        <v>3102136875</v>
      </c>
      <c r="F62" s="8" t="s">
        <v>700</v>
      </c>
      <c r="G62" t="str">
        <f t="shared" si="1"/>
        <v>INSERT INTO `parqueadero`.`conductor` (`Oid`, `IdConductor`, `Nombre`, `Area`, `Celular`, `correo`) VALUES ('55','80154998','CARLOS ALBERTO ZULUAGA BARRERO','Subsecretaría Jurídica','3102136875','carlos.zuluaga@habitatbogota.gov.co');</v>
      </c>
    </row>
    <row r="63" spans="1:7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>
        <v>3134028913</v>
      </c>
      <c r="F63" s="8" t="s">
        <v>1297</v>
      </c>
      <c r="G63" t="str">
        <f t="shared" si="1"/>
        <v>INSERT INTO `parqueadero`.`conductor` (`Oid`, `IdConductor`, `Nombre`, `Area`, `Celular`, `correo`) VALUES ('56','79920331','CARLOS ANDRES BENAVIDES REYES','Dirección de Prevención Arrendamiento y Control de Enajenación','3134028913','carlos.benavidesr@habitatbogota.gov.co');</v>
      </c>
    </row>
    <row r="64" spans="1:7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>
        <v>3212687523</v>
      </c>
      <c r="F64" s="8" t="s">
        <v>914</v>
      </c>
      <c r="G64" t="str">
        <f t="shared" si="1"/>
        <v>INSERT INTO `parqueadero`.`conductor` (`Oid`, `IdConductor`, `Nombre`, `Area`, `Celular`, `correo`) VALUES ('57','80129534','CARLOS ANDRÉS MÉNDEZ MOJICA ','Dirección de Financiación de Vivienda','3212687523','carlos.mendez@habitatbogota.gov.co');</v>
      </c>
    </row>
    <row r="65" spans="1:7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>
        <v>3164571547</v>
      </c>
      <c r="F65" s="8" t="s">
        <v>174</v>
      </c>
      <c r="G65" t="str">
        <f t="shared" si="1"/>
        <v>INSERT INTO `parqueadero`.`conductor` (`Oid`, `IdConductor`, `Nombre`, `Area`, `Celular`, `correo`) VALUES ('58','9975124','CARLOS ANDRÉS RIVERA TRIVIÑO ','Oficina Asesora de Comunicaciones','3164571547','carlos.riverat@habitatbogota.gov.co');</v>
      </c>
    </row>
    <row r="66" spans="1:7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6">
        <v>3177773377</v>
      </c>
      <c r="F66" s="8" t="s">
        <v>1725</v>
      </c>
      <c r="G66" t="str">
        <f t="shared" si="1"/>
        <v>INSERT INTO `parqueadero`.`conductor` (`Oid`, `IdConductor`, `Nombre`, `Area`, `Celular`, `correo`) VALUES ('59','1026277669','CARLOS ARTURO VILLALOBOS IZQUIERDO','Oficina de Tecnología y Transformación Digital','3177773377','carlos.villalobos@habitatbogota.gov.co');</v>
      </c>
    </row>
    <row r="67" spans="1:7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6">
        <v>3002000265</v>
      </c>
      <c r="F67" s="8" t="s">
        <v>416</v>
      </c>
      <c r="G67" t="str">
        <f t="shared" si="1"/>
        <v>INSERT INTO `parqueadero`.`conductor` (`Oid`, `IdConductor`, `Nombre`, `Area`, `Celular`, `correo`) VALUES ('60','91238271','CARLOS AUGUSTO HERNANDEZ ZAMBRANO','Oficina de Tecnología y Transformación Digital','3002000265','carlos.hernandezz@habitatbogota.gov.co');</v>
      </c>
    </row>
    <row r="68" spans="1:7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>
        <v>3016460457</v>
      </c>
      <c r="F68" s="8" t="s">
        <v>180</v>
      </c>
      <c r="G68" t="str">
        <f t="shared" si="1"/>
        <v>INSERT INTO `parqueadero`.`conductor` (`Oid`, `IdConductor`, `Nombre`, `Area`, `Celular`, `correo`) VALUES ('61','79910378','CARLOS EDUARDO PINILLA HERNANDEZ','Subsecretaría Corporativa','3016460457','carlos.pinilla@habitatbogota.gov.co');</v>
      </c>
    </row>
    <row r="69" spans="1:7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>
        <v>3168321067</v>
      </c>
      <c r="F69" s="8" t="s">
        <v>2025</v>
      </c>
      <c r="G69" t="str">
        <f t="shared" si="1"/>
        <v>INSERT INTO `parqueadero`.`conductor` (`Oid`, `IdConductor`, `Nombre`, `Area`, `Celular`, `correo`) VALUES ('62','7725270','CARLOS ENRIQUE TAMAYO GÓMEZ','Dirección de Operaciones','3168321067','carlos.tamayo@habitatbogota.gov.co');</v>
      </c>
    </row>
    <row r="70" spans="1:7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>
        <v>3213057575</v>
      </c>
      <c r="F70" s="8" t="s">
        <v>866</v>
      </c>
      <c r="G70" t="str">
        <f t="shared" si="1"/>
        <v>INSERT INTO `parqueadero`.`conductor` (`Oid`, `IdConductor`, `Nombre`, `Area`, `Celular`, `correo`) VALUES ('63','1010196659','CARLOS FABIÁN HAMON ALARCÓN ','Dirección de Financiación de Vivienda','3213057575','carlos.hamon@habitatbogota.goc.co');</v>
      </c>
    </row>
    <row r="71" spans="1:7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>
        <v>3183890213</v>
      </c>
      <c r="F71" s="8" t="s">
        <v>1024</v>
      </c>
      <c r="G71" t="str">
        <f t="shared" si="1"/>
        <v>INSERT INTO `parqueadero`.`conductor` (`Oid`, `IdConductor`, `Nombre`, `Area`, `Celular`, `correo`) VALUES ('64','1019005047','CARLOS FELIPE GARCÍA GIL','Dirección de Operaciones','3183890213','carlos.garciag@habitatbogota.gov.co');</v>
      </c>
    </row>
    <row r="72" spans="1:7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6">
        <v>3164725782</v>
      </c>
      <c r="F72" s="8" t="s">
        <v>1666</v>
      </c>
      <c r="G72" t="str">
        <f t="shared" ref="G72:G135" si="3">CONCATENATE("INSERT INTO `parqueadero`.`conductor` (`",$A$7,"`, `",$B$7,"`, `",$C$7,"`, `",$D$7,"`, `",$E$7,"`, `",$F$7,"`) VALUES ('",A72,"','",B72,"','",C72,"','",D72,"','",E72,"','",F72,"');" )</f>
        <v>INSERT INTO `parqueadero`.`conductor` (`Oid`, `IdConductor`, `Nombre`, `Area`, `Celular`, `correo`) VALUES ('65','79553690','CARLOS GABRIEL GUTIERREZ PACHECO','Oficina de Tecnología y Transformación Digital','3164725782','carlos.gutierrezp@habitatbogota.gov.co');</v>
      </c>
    </row>
    <row r="73" spans="1:7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>
        <v>3102412963</v>
      </c>
      <c r="F73" s="8" t="s">
        <v>983</v>
      </c>
      <c r="G73" t="str">
        <f t="shared" si="3"/>
        <v>INSERT INTO `parqueadero`.`conductor` (`Oid`, `IdConductor`, `Nombre`, `Area`, `Celular`, `correo`) VALUES ('66','79802867','CARLOS JAVIER CASTILLO ROMERO','Oficina Asesora de Planeación','3102412963','carlos.castillo@habitatbogota.gov.co');</v>
      </c>
    </row>
    <row r="74" spans="1:7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>
        <v>3118228379</v>
      </c>
      <c r="F74" s="8" t="s">
        <v>1268</v>
      </c>
      <c r="G74" t="str">
        <f t="shared" si="3"/>
        <v>INSERT INTO `parqueadero`.`conductor` (`Oid`, `IdConductor`, `Nombre`, `Area`, `Celular`, `correo`) VALUES ('67','1000180027','CARLOS MATEO CHAVES LASSO','Gestión Documental','3118228379','correspondenciasdht@habitatbogota.gov.co');</v>
      </c>
    </row>
    <row r="75" spans="1:7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17">
        <v>3208290927</v>
      </c>
      <c r="F75" s="8" t="s">
        <v>1209</v>
      </c>
      <c r="G75" t="str">
        <f t="shared" si="3"/>
        <v>INSERT INTO `parqueadero`.`conductor` (`Oid`, `IdConductor`, `Nombre`, `Area`, `Celular`, `correo`) VALUES ('68','74370778','CARLOS NICOLAS BRIJALD MICHAELS','Dirección de Prevención Arrendamiento y Control de Enajenación','3208290927','carlos.brijaldo@habitatbogota.gov.co');</v>
      </c>
    </row>
    <row r="76" spans="1:7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>
        <v>3104971210</v>
      </c>
      <c r="F76" s="8" t="s">
        <v>275</v>
      </c>
      <c r="G76" t="str">
        <f t="shared" si="3"/>
        <v>INSERT INTO `parqueadero`.`conductor` (`Oid`, `IdConductor`, `Nombre`, `Area`, `Celular`, `correo`) VALUES ('69','52517697','CARMEN ELENA CASTAÑEDA RINCÓN','Dirección de Prevención Arrendamiento y Control de Enajenación','3104971210','carmen.castaneda@habitatbogota.gov.co');</v>
      </c>
    </row>
    <row r="77" spans="1:7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17">
        <v>3132523070</v>
      </c>
      <c r="F77" s="8" t="s">
        <v>804</v>
      </c>
      <c r="G77" t="str">
        <f t="shared" si="3"/>
        <v>INSERT INTO `parqueadero`.`conductor` (`Oid`, `IdConductor`, `Nombre`, `Area`, `Celular`, `correo`) VALUES ('70','52494966','CAROL ANDREA GARCÍA GARZÓN ','Dirección de Investigaciones y Control de Vivienda','3132523070','carol.garcia@habitatbogota.gov.co');</v>
      </c>
    </row>
    <row r="78" spans="1:7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6">
        <v>3168291168</v>
      </c>
      <c r="F78" s="8" t="s">
        <v>1251</v>
      </c>
      <c r="G78" t="str">
        <f t="shared" si="3"/>
        <v>INSERT INTO `parqueadero`.`conductor` (`Oid`, `IdConductor`, `Nombre`, `Area`, `Celular`, `correo`) VALUES ('71','52265674','CAROLINA CASTAÑEDA DE AVILA','Despacho','3168291168','carolina.castaneda@habitatbogota.gov.co');</v>
      </c>
    </row>
    <row r="79" spans="1:7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>
        <v>3143575405</v>
      </c>
      <c r="F79" s="8" t="s">
        <v>490</v>
      </c>
      <c r="G79" t="str">
        <f t="shared" si="3"/>
        <v>INSERT INTO `parqueadero`.`conductor` (`Oid`, `IdConductor`, `Nombre`, `Area`, `Celular`, `correo`) VALUES ('72','52355600','CAROLINA FERNÁNDEZ BORDA','Dirección de Financiación de Vivienda','3143575405','carolina.fernandez@habitatbogota.gov.co');</v>
      </c>
    </row>
    <row r="80" spans="1:7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>
        <v>3044142502</v>
      </c>
      <c r="F80" s="8" t="s">
        <v>319</v>
      </c>
      <c r="G80" t="str">
        <f t="shared" si="3"/>
        <v>INSERT INTO `parqueadero`.`conductor` (`Oid`, `IdConductor`, `Nombre`, `Area`, `Celular`, `correo`) VALUES ('73','52831248','CATHERIN ANDREA ALVAREZ HERNANDEZ','Dirección de Hábitat y Entorno','3044142502','catherin.alvarez@habitatbogota.gov.co');</v>
      </c>
    </row>
    <row r="81" spans="1:7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>
        <v>3133627940</v>
      </c>
      <c r="F81" s="8" t="s">
        <v>1268</v>
      </c>
      <c r="G81" t="str">
        <f t="shared" si="3"/>
        <v>INSERT INTO `parqueadero`.`conductor` (`Oid`, `IdConductor`, `Nombre`, `Area`, `Celular`, `correo`) VALUES ('74','79979024','CESAR AUGUSTO CASTEBLANCO PEÑA','Gestión Documental','3133627940','correspondenciasdht@habitatbogota.gov.co');</v>
      </c>
    </row>
    <row r="82" spans="1:7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>
        <v>3108847606</v>
      </c>
      <c r="F82" s="8" t="s">
        <v>762</v>
      </c>
      <c r="G82" t="str">
        <f t="shared" si="3"/>
        <v>INSERT INTO `parqueadero`.`conductor` (`Oid`, `IdConductor`, `Nombre`, `Area`, `Celular`, `correo`) VALUES ('75','80543468','CESAR AUGUSTO POVEDA HERNANDEZ','Subsecretaría de Vivienda','3108847606','pove79@hotmail.com');</v>
      </c>
    </row>
    <row r="83" spans="1:7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>
        <v>3153572466</v>
      </c>
      <c r="F83" s="8" t="s">
        <v>465</v>
      </c>
      <c r="G83" t="str">
        <f t="shared" si="3"/>
        <v>INSERT INTO `parqueadero`.`conductor` (`Oid`, `IdConductor`, `Nombre`, `Area`, `Celular`, `correo`) VALUES ('76','79620120','CÉSAR ENRIQUE GONZÁLEZ ARDILA','Subsecretaría de Vivienda','3153572466','cesar.gonzalez@habitatbogota.gov.co');</v>
      </c>
    </row>
    <row r="84" spans="1:7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17">
        <v>3102141909</v>
      </c>
      <c r="F84" s="8" t="s">
        <v>581</v>
      </c>
      <c r="G84" t="str">
        <f t="shared" si="3"/>
        <v>INSERT INTO `parqueadero`.`conductor` (`Oid`, `IdConductor`, `Nombre`, `Area`, `Celular`, `correo`) VALUES ('77','85203798','CESAR MIGUEL CASERES DIAZ ','Subsecretaría de Inspección Vigilancia y Control de Vivienda','3102141909','césar.caseres@habitatbogota.gov.co');</v>
      </c>
    </row>
    <row r="85" spans="1:7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>
        <v>3006097970</v>
      </c>
      <c r="F85" s="8" t="s">
        <v>1219</v>
      </c>
      <c r="G85" t="str">
        <f t="shared" si="3"/>
        <v>INSERT INTO `parqueadero`.`conductor` (`Oid`, `IdConductor`, `Nombre`, `Area`, `Celular`, `correo`) VALUES ('78','79331288','CHARLES ALFONSO LOPEZ CASTRO','Dirección de Mejoramiento Habitacional','3006097970','charles.lopez@habitatbogota.gov.co');</v>
      </c>
    </row>
    <row r="86" spans="1:7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17">
        <v>3154532732</v>
      </c>
      <c r="F86" s="8" t="s">
        <v>31</v>
      </c>
      <c r="G86" t="str">
        <f t="shared" si="3"/>
        <v>INSERT INTO `parqueadero`.`conductor` (`Oid`, `IdConductor`, `Nombre`, `Area`, `Celular`, `correo`) VALUES ('79','1033757530','CHRISTIAN ALEJANDRO TORRES PATIÑO','Dirección Administrativa','3154532732','ctorresalejandro@gmail.com');</v>
      </c>
    </row>
    <row r="87" spans="1:7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24">
        <v>3165353449</v>
      </c>
      <c r="F87" s="8" t="s">
        <v>1859</v>
      </c>
      <c r="G87" t="str">
        <f t="shared" si="3"/>
        <v>INSERT INTO `parqueadero`.`conductor` (`Oid`, `IdConductor`, `Nombre`, `Area`, `Celular`, `correo`) VALUES ('80','1019038226','CINDY JOHANA VALDERRAMA AMÉZQUITA','Dirección de Prevención Arrendamiento y Control de Enajenación','3165353449','cindy.valderrama@habitatbogota.gov.co');</v>
      </c>
    </row>
    <row r="88" spans="1:7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>
        <v>3176481417</v>
      </c>
      <c r="F88" s="8" t="s">
        <v>533</v>
      </c>
      <c r="G88" t="str">
        <f t="shared" si="3"/>
        <v>INSERT INTO `parqueadero`.`conductor` (`Oid`, `IdConductor`, `Nombre`, `Area`, `Celular`, `correo`) VALUES ('81','79844430','CIRO LEONARDO MARTINEZ SANCHEZ','Subsecretaría de Vivienda','3176481417','ciro.martinez@habitatbogota.gov.co');</v>
      </c>
    </row>
    <row r="89" spans="1:7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>
        <v>3214379017</v>
      </c>
      <c r="F89" s="8" t="s">
        <v>1289</v>
      </c>
      <c r="G89" t="str">
        <f t="shared" si="3"/>
        <v>INSERT INTO `parqueadero`.`conductor` (`Oid`, `IdConductor`, `Nombre`, `Area`, `Celular`, `correo`) VALUES ('82','52712916','CLARA ISABEL ESPINOSA GONZALEZ','Dirección de Mejoramiento Habitacional','3214379017','clara.espinosa@habitatbogota.gov.co');</v>
      </c>
    </row>
    <row r="90" spans="1:7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>
        <v>3232341517</v>
      </c>
      <c r="F90" s="8" t="s">
        <v>567</v>
      </c>
      <c r="G90" t="str">
        <f t="shared" si="3"/>
        <v>INSERT INTO `parqueadero`.`conductor` (`Oid`, `IdConductor`, `Nombre`, `Area`, `Celular`, `correo`) VALUES ('83','1030589207','CLARA LOREN ACUÑA SANCHEZ','Dirección Administrativa','3232341517','clara.acuna@habitatbogota.gov.co');</v>
      </c>
    </row>
    <row r="91" spans="1:7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>
        <v>3103268056</v>
      </c>
      <c r="F91" s="8" t="s">
        <v>554</v>
      </c>
      <c r="G91" t="str">
        <f t="shared" si="3"/>
        <v>INSERT INTO `parqueadero`.`conductor` (`Oid`, `IdConductor`, `Nombre`, `Area`, `Celular`, `correo`) VALUES ('84','52715205','CLAUDIA ALEJANDRA REYES GARCÍA ','Oficina de Participación y Relacionamiento con la Ciudadanía','3103268056','claudia.reyes@habitatbogota.gov.co');</v>
      </c>
    </row>
    <row r="92" spans="1:7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>
        <v>3144114734</v>
      </c>
      <c r="F92" s="8" t="s">
        <v>1594</v>
      </c>
      <c r="G92" t="str">
        <f t="shared" si="3"/>
        <v>INSERT INTO `parqueadero`.`conductor` (`Oid`, `IdConductor`, `Nombre`, `Area`, `Celular`, `correo`) VALUES ('85','51975445','CLAUDIA ELIZABETH BOHORQUEZ HERNANDEZ','Dirección de Investigaciones y Control de Vivienda','3144114734','claudia.bohorquez@habitatbogota.gov.co');</v>
      </c>
    </row>
    <row r="93" spans="1:7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>
        <v>3108023562</v>
      </c>
      <c r="F93" s="8" t="s">
        <v>1169</v>
      </c>
      <c r="G93" t="str">
        <f t="shared" si="3"/>
        <v>INSERT INTO `parqueadero`.`conductor` (`Oid`, `IdConductor`, `Nombre`, `Area`, `Celular`, `correo`) VALUES ('86','52084821','CLAUDIA GÓMEZ MORALES','Dirección Administrativa','3108023562','claudia.gomez@habitatbogota.gov.co');</v>
      </c>
    </row>
    <row r="94" spans="1:7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17">
        <v>3166231174</v>
      </c>
      <c r="F94" s="8" t="s">
        <v>971</v>
      </c>
      <c r="G94" t="str">
        <f t="shared" si="3"/>
        <v>INSERT INTO `parqueadero`.`conductor` (`Oid`, `IdConductor`, `Nombre`, `Area`, `Celular`, `correo`) VALUES ('87','31422496','CLAUDIA MARCELA GARCÍA','Oficina Asesora de Planeación','3166231174','claudia.garcia@habitatbogota.gov.co');</v>
      </c>
    </row>
    <row r="95" spans="1:7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>
        <v>3104717361</v>
      </c>
      <c r="F95" s="8" t="s">
        <v>520</v>
      </c>
      <c r="G95" t="str">
        <f t="shared" si="3"/>
        <v>INSERT INTO `parqueadero`.`conductor` (`Oid`, `IdConductor`, `Nombre`, `Area`, `Celular`, `correo`) VALUES ('88','52096386','CLAUDIA MARCELA LONDOÑO LOPEZ ','Dirección Financiera','3104717361','claudia.londono@habitatbogota.gov.co');</v>
      </c>
    </row>
    <row r="96" spans="1:7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>
        <v>3206522181</v>
      </c>
      <c r="F96" s="8" t="s">
        <v>809</v>
      </c>
      <c r="G96" t="str">
        <f t="shared" si="3"/>
        <v>INSERT INTO `parqueadero`.`conductor` (`Oid`, `IdConductor`, `Nombre`, `Area`, `Celular`, `correo`) VALUES ('89','28483877','CLAUDIA PATRICIA RUEDA PLATA ','Dirección de Investigaciones y Control de Vivienda','3206522181','claudia.rueda@habitatbogota.gov.co');</v>
      </c>
    </row>
    <row r="97" spans="1:7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>
        <v>3224017010</v>
      </c>
      <c r="F97" s="8" t="s">
        <v>425</v>
      </c>
      <c r="G97" t="str">
        <f t="shared" si="3"/>
        <v>INSERT INTO `parqueadero`.`conductor` (`Oid`, `IdConductor`, `Nombre`, `Area`, `Celular`, `correo`) VALUES ('90','39755949','CLAUDIA PATRICIA TRIVIÑO ROJAS','Dirección de Contratación','3224017010','claudia.trivino@habitatbogota.gov.co');</v>
      </c>
    </row>
    <row r="98" spans="1:7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>
        <v>3125627087</v>
      </c>
      <c r="F98" s="8" t="s">
        <v>896</v>
      </c>
      <c r="G98" t="str">
        <f t="shared" si="3"/>
        <v>INSERT INTO `parqueadero`.`conductor` (`Oid`, `IdConductor`, `Nombre`, `Area`, `Celular`, `correo`) VALUES ('91','39707570','CONSUELO ARIZA MAHECHA','Dirección de Servicios Públicos','3125627087','consuelo.ariza@habitatbogota.gov.co');</v>
      </c>
    </row>
    <row r="99" spans="1:7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>
        <v>3163729000</v>
      </c>
      <c r="F99" s="8" t="s">
        <v>1320</v>
      </c>
      <c r="G99" t="str">
        <f t="shared" si="3"/>
        <v>INSERT INTO `parqueadero`.`conductor` (`Oid`, `IdConductor`, `Nombre`, `Area`, `Celular`, `correo`) VALUES ('92','1085297902','CRISLY CAROLINA RIVAS ORDOÑEZ ','Dirección de Financiación de Vivienda','3163729000','crisly.rivas@habitatbogota.gov.co');</v>
      </c>
    </row>
    <row r="100" spans="1:7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>
        <v>3143622249</v>
      </c>
      <c r="F100" s="8" t="s">
        <v>656</v>
      </c>
      <c r="G100" t="str">
        <f t="shared" si="3"/>
        <v>INSERT INTO `parqueadero`.`conductor` (`Oid`, `IdConductor`, `Nombre`, `Area`, `Celular`, `correo`) VALUES ('93','1070306077','CRISTIAN CAMILO GUERRERO CALVO','Dirección de Contratación','3143622249','cristian.guerrero@habitatbogota.gov.co');</v>
      </c>
    </row>
    <row r="101" spans="1:7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>
        <v>3145159290</v>
      </c>
      <c r="F101" s="8" t="s">
        <v>1077</v>
      </c>
      <c r="G101" t="str">
        <f t="shared" si="3"/>
        <v>INSERT INTO `parqueadero`.`conductor` (`Oid`, `IdConductor`, `Nombre`, `Area`, `Celular`, `correo`) VALUES ('94','1010184160','CRISTIAN CAMILO PEÑA TABARQUINO','Dirección de Financiación de Vivienda','3145159290','cristian.pena@habitatbogota.gov.co');</v>
      </c>
    </row>
    <row r="102" spans="1:7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>
        <v>0</v>
      </c>
      <c r="F102" s="7" t="s">
        <v>20</v>
      </c>
      <c r="G102" t="str">
        <f t="shared" si="3"/>
        <v>INSERT INTO `parqueadero`.`conductor` (`Oid`, `IdConductor`, `Nombre`, `Area`, `Celular`, `correo`) VALUES ('95','1023946531','CRISTIAN GÓMEZ','Contraloría de Bogotá','0','NA');</v>
      </c>
    </row>
    <row r="103" spans="1:7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17">
        <v>3014996335</v>
      </c>
      <c r="F103" s="8" t="s">
        <v>438</v>
      </c>
      <c r="G103" t="str">
        <f t="shared" si="3"/>
        <v>INSERT INTO `parqueadero`.`conductor` (`Oid`, `IdConductor`, `Nombre`, `Area`, `Celular`, `correo`) VALUES ('96','81715332','DAIRON ANDRES CAMILO GALINDO CASTRO','Dirección de Contratación','3014996335','dairon.galindo@habitatbogota.gov.co');</v>
      </c>
    </row>
    <row r="104" spans="1:7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>
        <v>3148350647</v>
      </c>
      <c r="F104" s="8" t="s">
        <v>883</v>
      </c>
      <c r="G104" t="str">
        <f t="shared" si="3"/>
        <v>INSERT INTO `parqueadero`.`conductor` (`Oid`, `IdConductor`, `Nombre`, `Area`, `Celular`, `correo`) VALUES ('97','6070137','DANIEL ALFREDO ROMERO JAIMES','Subsecretaría Corporativa','3148350647','daniel.romeroj@habitatbogota.gov.co');</v>
      </c>
    </row>
    <row r="105" spans="1:7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>
        <v>3013370145</v>
      </c>
      <c r="F105" s="8" t="s">
        <v>1302</v>
      </c>
      <c r="G105" t="str">
        <f t="shared" si="3"/>
        <v>INSERT INTO `parqueadero`.`conductor` (`Oid`, `IdConductor`, `Nombre`, `Area`, `Celular`, `correo`) VALUES ('98','79688967','DANIEL ARCILA ','Subsecretaría de Vivienda','3013370145','daniel.arcila@habitatbogota.gov.co');</v>
      </c>
    </row>
    <row r="106" spans="1:7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6">
        <v>3057457779</v>
      </c>
      <c r="F106" s="8" t="s">
        <v>74</v>
      </c>
      <c r="G106" t="str">
        <f t="shared" si="3"/>
        <v>INSERT INTO `parqueadero`.`conductor` (`Oid`, `IdConductor`, `Nombre`, `Area`, `Celular`, `correo`) VALUES ('99','79905794','DANIEL BARRERA BUSTOS','Dirección de Gestión de Suelo','3057457779','daniel.barrera@habitatbogota.gov.co');</v>
      </c>
    </row>
    <row r="107" spans="1:7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>
        <v>3205611748</v>
      </c>
      <c r="F107" s="8" t="s">
        <v>1390</v>
      </c>
      <c r="G107" t="str">
        <f t="shared" si="3"/>
        <v>INSERT INTO `parqueadero`.`conductor` (`Oid`, `IdConductor`, `Nombre`, `Area`, `Celular`, `correo`) VALUES ('100','80147258','DANIEL DELGADO BRAVO','Oficina de Participación y Relacionamiento con la Ciudadanía','3205611748','daniel.delgado@habitatbogota.gov.co');</v>
      </c>
    </row>
    <row r="108" spans="1:7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>
        <v>3104356273</v>
      </c>
      <c r="F108" s="8" t="s">
        <v>1784</v>
      </c>
      <c r="G108" t="str">
        <f t="shared" si="3"/>
        <v>INSERT INTO `parqueadero`.`conductor` (`Oid`, `IdConductor`, `Nombre`, `Area`, `Celular`, `correo`) VALUES ('101','1010213543','DANIEL FABIÁN CASTRO MORA','Gestión Documental','3104356273','daniel.castro@habitatbogota.gov.co');</v>
      </c>
    </row>
    <row r="109" spans="1:7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>
        <v>3057833039</v>
      </c>
      <c r="F109" s="8" t="s">
        <v>69</v>
      </c>
      <c r="G109" t="str">
        <f t="shared" si="3"/>
        <v>INSERT INTO `parqueadero`.`conductor` (`Oid`, `IdConductor`, `Nombre`, `Area`, `Celular`, `correo`) VALUES ('102','105466109','DANIEL FELIPE GOMEZ PARRA','Dirección de Prevención Arrendamiento y Control de Enajenación','3057833039','dnaiel.gomezf@habitatbogota.gov.co');</v>
      </c>
    </row>
    <row r="110" spans="1:7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>
        <v>3057833039</v>
      </c>
      <c r="F110" s="8" t="s">
        <v>1590</v>
      </c>
      <c r="G110" t="str">
        <f t="shared" si="3"/>
        <v>INSERT INTO `parqueadero`.`conductor` (`Oid`, `IdConductor`, `Nombre`, `Area`, `Celular`, `correo`) VALUES ('103','1015466109','DANIEL FELIPE GOMEZ PARRA','Dirección de Prevención Arrendamiento y Control de Enajenación','3057833039','daniel.gomezp@habitatbogota.gov.co');</v>
      </c>
    </row>
    <row r="111" spans="1:7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17">
        <v>3155428490</v>
      </c>
      <c r="F111" s="8" t="s">
        <v>1113</v>
      </c>
      <c r="G111" t="str">
        <f t="shared" si="3"/>
        <v>INSERT INTO `parqueadero`.`conductor` (`Oid`, `IdConductor`, `Nombre`, `Area`, `Celular`, `correo`) VALUES ('104','79328078','DANIEL OSWALDO GUERRERO OTERP','Dirección de Prevención Arrendamiento y Control de Enajenación','3155428490','daniel.guerrero@habitatbogota.gov.cp');</v>
      </c>
    </row>
    <row r="112" spans="1:7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13">
        <v>3107723081</v>
      </c>
      <c r="F112" s="8" t="s">
        <v>1801</v>
      </c>
      <c r="G112" t="str">
        <f t="shared" si="3"/>
        <v>INSERT INTO `parqueadero`.`conductor` (`Oid`, `IdConductor`, `Nombre`, `Area`, `Celular`, `correo`) VALUES ('105','1026292170','DANIEL ROJAS ARAQUE','Dirección Administrativa','3107723081','daniel.rojas@habitatbogota.gov.co');</v>
      </c>
    </row>
    <row r="113" spans="1:7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>
        <v>3116240199</v>
      </c>
      <c r="F113" s="8" t="s">
        <v>1268</v>
      </c>
      <c r="G113" t="str">
        <f t="shared" si="3"/>
        <v>INSERT INTO `parqueadero`.`conductor` (`Oid`, `IdConductor`, `Nombre`, `Area`, `Celular`, `correo`) VALUES ('106','1012337063','DANIEL SANTIGO GUARNIZO  NEIRA','Gestión Documental','3116240199','correspondenciasdht@habitatbogota.gov.co');</v>
      </c>
    </row>
    <row r="114" spans="1:7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>
        <v>3187118262</v>
      </c>
      <c r="F114" s="8" t="s">
        <v>63</v>
      </c>
      <c r="G114" t="str">
        <f t="shared" si="3"/>
        <v>INSERT INTO `parqueadero`.`conductor` (`Oid`, `IdConductor`, `Nombre`, `Area`, `Celular`, `correo`) VALUES ('107','1098784496','DANIELA BUENO FLOREZ','Dirección de Mejoramiento Habitacional','3187118262','daniela.bueno@habitatbogota.gov.co');</v>
      </c>
    </row>
    <row r="115" spans="1:7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>
        <v>3114785383</v>
      </c>
      <c r="F115" s="8" t="s">
        <v>358</v>
      </c>
      <c r="G115" t="str">
        <f t="shared" si="3"/>
        <v>INSERT INTO `parqueadero`.`conductor` (`Oid`, `IdConductor`, `Nombre`, `Area`, `Celular`, `correo`) VALUES ('108','15173420','DANILO JOSE VILLAZON','Dirección de Operaciones','3114785383','danilo.villazon@habitatbogota.gov.co');</v>
      </c>
    </row>
    <row r="116" spans="1:7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>
        <v>3124619148</v>
      </c>
      <c r="F116" s="8" t="s">
        <v>789</v>
      </c>
      <c r="G116" t="str">
        <f t="shared" si="3"/>
        <v>INSERT INTO `parqueadero`.`conductor` (`Oid`, `IdConductor`, `Nombre`, `Area`, `Celular`, `correo`) VALUES ('109','80766953','DARIO ALFREDO VEGA CASTILLO','Dirección de Financiación de Vivienda','3124619148','dario.vega@habitatbogota.gov.co');</v>
      </c>
    </row>
    <row r="117" spans="1:7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>
        <v>3012660204</v>
      </c>
      <c r="F117" s="8" t="s">
        <v>1005</v>
      </c>
      <c r="G117" t="str">
        <f t="shared" si="3"/>
        <v>INSERT INTO `parqueadero`.`conductor` (`Oid`, `IdConductor`, `Nombre`, `Area`, `Celular`, `correo`) VALUES ('110','1015479089','DAVID LEONARDO MORENO ','Subsecretaría Jurídica','3012660204','david.morenos@habitatbogota.gov.co');</v>
      </c>
    </row>
    <row r="118" spans="1:7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6">
        <v>3168683061</v>
      </c>
      <c r="F118" s="8" t="s">
        <v>1427</v>
      </c>
      <c r="G118" t="str">
        <f t="shared" si="3"/>
        <v>INSERT INTO `parqueadero`.`conductor` (`Oid`, `IdConductor`, `Nombre`, `Area`, `Celular`, `correo`) VALUES ('111','1026275767','DAVID RECIO BARRENECHE','Despacho','3168683061','david.recio@habitatbogota.gov.co');</v>
      </c>
    </row>
    <row r="119" spans="1:7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>
        <v>3002980068</v>
      </c>
      <c r="F119" s="8" t="s">
        <v>959</v>
      </c>
      <c r="G119" t="str">
        <f t="shared" si="3"/>
        <v>INSERT INTO `parqueadero`.`conductor` (`Oid`, `IdConductor`, `Nombre`, `Area`, `Celular`, `correo`) VALUES ('112','52855892','DEISY CATALINA NIÑO MORANTES','Dirección de Mejoramiento Habitacional','3002980068','deisy.nino@habitatbogota.gov.co');</v>
      </c>
    </row>
    <row r="120" spans="1:7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>
        <v>3103224575</v>
      </c>
      <c r="F120" s="8" t="s">
        <v>189</v>
      </c>
      <c r="G120" t="str">
        <f t="shared" si="3"/>
        <v>INSERT INTO `parqueadero`.`conductor` (`Oid`, `IdConductor`, `Nombre`, `Area`, `Celular`, `correo`) VALUES ('113','1000830438','DEYNA LIZETH CHINCHA TISOY','Gestión Documental','3103224575','gestion.documental@habitatbogota.gov.co');</v>
      </c>
    </row>
    <row r="121" spans="1:7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>
        <v>3155350751</v>
      </c>
      <c r="F121" s="8" t="s">
        <v>825</v>
      </c>
      <c r="G121" t="str">
        <f t="shared" si="3"/>
        <v>INSERT INTO `parqueadero`.`conductor` (`Oid`, `IdConductor`, `Nombre`, `Area`, `Celular`, `correo`) VALUES ('114','1020731626','DIANA CAROLINA GONZALEZ ','Dirección de Operaciones','3155350751','diana.gonzalez@habitatbogota.gov.co');</v>
      </c>
    </row>
    <row r="122" spans="1:7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>
        <v>3002962851</v>
      </c>
      <c r="F122" s="8" t="s">
        <v>1046</v>
      </c>
      <c r="G122" t="str">
        <f t="shared" si="3"/>
        <v>INSERT INTO `parqueadero`.`conductor` (`Oid`, `IdConductor`, `Nombre`, `Area`, `Celular`, `correo`) VALUES ('115','1075257769','DIANA CAROLINA LOSADA RAMÍREZ ','Dirección de Hábitat y Entorno','3002962851','diana.losada@habitatbogota.gov.co');</v>
      </c>
    </row>
    <row r="123" spans="1:7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>
        <v>3013380694</v>
      </c>
      <c r="F123" s="8" t="s">
        <v>1694</v>
      </c>
      <c r="G123" t="str">
        <f t="shared" si="3"/>
        <v>INSERT INTO `parqueadero`.`conductor` (`Oid`, `IdConductor`, `Nombre`, `Area`, `Celular`, `correo`) VALUES ('116','1110466592','DIANA CAROLINA MERCHAN BAQUERO','Dirección de Financiación de Vivienda','3013380694','diana.merchan@habitatbogota.gov.co');</v>
      </c>
    </row>
    <row r="124" spans="1:7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>
        <v>3112413007</v>
      </c>
      <c r="F124" s="8" t="s">
        <v>1914</v>
      </c>
      <c r="G124" t="str">
        <f t="shared" si="3"/>
        <v>INSERT INTO `parqueadero`.`conductor` (`Oid`, `IdConductor`, `Nombre`, `Area`, `Celular`, `correo`) VALUES ('117','1022329322','DIANA CAROLINA NIÑO CLAVIJO','Dirección de Financiación de Vivienda','3112413007','diana.nino@habitatbogota.gov.co');</v>
      </c>
    </row>
    <row r="125" spans="1:7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>
        <v>3174451841</v>
      </c>
      <c r="F125" s="8" t="s">
        <v>950</v>
      </c>
      <c r="G125" t="str">
        <f t="shared" si="3"/>
        <v>INSERT INTO `parqueadero`.`conductor` (`Oid`, `IdConductor`, `Nombre`, `Area`, `Celular`, `correo`) VALUES ('118','53140489','DIANA CAROLINA RICO OROZCO','Subsecretaría de Intervenciones Integrales','3174451841','diana.rico@habitatbogota.gov.co');</v>
      </c>
    </row>
    <row r="126" spans="1:7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6">
        <v>3164533485</v>
      </c>
      <c r="F126" s="8" t="s">
        <v>308</v>
      </c>
      <c r="G126" t="str">
        <f t="shared" si="3"/>
        <v>INSERT INTO `parqueadero`.`conductor` (`Oid`, `IdConductor`, `Nombre`, `Area`, `Celular`, `correo`) VALUES ('119','52057419','DIANA MARCELA PINEDA RODRIGUEZ','Despacho','3164533485','diana.pineda@habitatbogota.gov.co');</v>
      </c>
    </row>
    <row r="127" spans="1:7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17">
        <v>3125774718</v>
      </c>
      <c r="F127" s="8" t="s">
        <v>1195</v>
      </c>
      <c r="G127" t="str">
        <f t="shared" si="3"/>
        <v>INSERT INTO `parqueadero`.`conductor` (`Oid`, `IdConductor`, `Nombre`, `Area`, `Celular`, `correo`) VALUES ('120','1010185027','DIANA VANESSA ACOSTA RAMOS','Oficina Asesora de Comunicaciones','3125774718','diana.acostar@habitatbogota.gov.co');</v>
      </c>
    </row>
    <row r="128" spans="1:7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6">
        <v>3002138043</v>
      </c>
      <c r="F128" s="8" t="s">
        <v>1091</v>
      </c>
      <c r="G128" t="str">
        <f t="shared" si="3"/>
        <v>INSERT INTO `parqueadero`.`conductor` (`Oid`, `IdConductor`, `Nombre`, `Area`, `Celular`, `correo`) VALUES ('121','52146673','DIANAN COVALEDA SALAS','Dirección de Gestión de Suelo','3002138043','diana.covaleda@habitatbogotagov.co');</v>
      </c>
    </row>
    <row r="129" spans="1:7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13">
        <v>3223943468</v>
      </c>
      <c r="F129" s="8" t="s">
        <v>1865</v>
      </c>
      <c r="G129" t="str">
        <f t="shared" si="3"/>
        <v>INSERT INTO `parqueadero`.`conductor` (`Oid`, `IdConductor`, `Nombre`, `Area`, `Celular`, `correo`) VALUES ('122','1032443029','DIEGO ARLEY LIZARAZO LÓPEZ','Dirección de Prevención Arrendamiento y Control de Enajenación','3223943468','diego.lizarazo@habitatbogota.gov.co');</v>
      </c>
    </row>
    <row r="130" spans="1:7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>
        <v>3208723277</v>
      </c>
      <c r="F130" s="8" t="s">
        <v>1018</v>
      </c>
      <c r="G130" t="str">
        <f t="shared" si="3"/>
        <v>INSERT INTO `parqueadero`.`conductor` (`Oid`, `IdConductor`, `Nombre`, `Area`, `Celular`, `correo`) VALUES ('123','1016070278','DIEGO FELIPE LÓPEZ RODRÍGUEZ','Dirección de Investigaciones y Control de Vivienda','3208723277','diego.lopez@habitatbogota.gov.co');</v>
      </c>
    </row>
    <row r="131" spans="1:7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6">
        <v>3108127012</v>
      </c>
      <c r="F131" s="8" t="s">
        <v>1109</v>
      </c>
      <c r="G131" t="str">
        <f t="shared" si="3"/>
        <v>INSERT INTO `parqueadero`.`conductor` (`Oid`, `IdConductor`, `Nombre`, `Area`, `Celular`, `correo`) VALUES ('124','79944990','DIEGO FERNANDO MATEUS RUEDA','Dirección de Gestión de Suelo','3108127012','diego.mateus@habitatbogota.gov.co');</v>
      </c>
    </row>
    <row r="132" spans="1:7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>
        <v>3144430585</v>
      </c>
      <c r="F132" s="8" t="s">
        <v>924</v>
      </c>
      <c r="G132" t="str">
        <f t="shared" si="3"/>
        <v>INSERT INTO `parqueadero`.`conductor` (`Oid`, `IdConductor`, `Nombre`, `Area`, `Celular`, `correo`) VALUES ('125','80401214','DIEGO IVAN NAVARRO JIMENEZ','Dirección de Investigaciones y Control de Vivienda','3144430585','diego.navarro@habitatbogota.gov.co');</v>
      </c>
    </row>
    <row r="133" spans="1:7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>
        <v>3108688874</v>
      </c>
      <c r="F133" s="8" t="s">
        <v>904</v>
      </c>
      <c r="G133" t="str">
        <f t="shared" si="3"/>
        <v>INSERT INTO `parqueadero`.`conductor` (`Oid`, `IdConductor`, `Nombre`, `Area`, `Celular`, `correo`) VALUES ('126','4978456','DONALDO DONALDO VANEGAS PALACIO','Dirección de Financiación de Vivienda','3108688874','donaldo.vanegas@habitatbogota.gov.co');</v>
      </c>
    </row>
    <row r="134" spans="1:7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>
        <v>3108741396</v>
      </c>
      <c r="F134" s="8" t="s">
        <v>523</v>
      </c>
      <c r="G134" t="str">
        <f t="shared" si="3"/>
        <v>INSERT INTO `parqueadero`.`conductor` (`Oid`, `IdConductor`, `Nombre`, `Area`, `Celular`, `correo`) VALUES ('127','396645660','DORA INOCENCIA CASTILLO VALDERRAMA ','Dirección de Investigaciones y Control de Vivienda','3108741396','dora.castillov@habitat.gov.co');</v>
      </c>
    </row>
    <row r="135" spans="1:7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>
        <v>3004427959</v>
      </c>
      <c r="F135" s="7" t="s">
        <v>20</v>
      </c>
      <c r="G135" t="str">
        <f t="shared" si="3"/>
        <v>INSERT INTO `parqueadero`.`conductor` (`Oid`, `IdConductor`, `Nombre`, `Area`, `Celular`, `correo`) VALUES ('128','52218503','DORISNEY ORDUNA HOLGUIN','Contraloría de Bogotá','3004427959','NA');</v>
      </c>
    </row>
    <row r="136" spans="1:7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>
        <v>3105855871</v>
      </c>
      <c r="F136" s="8" t="s">
        <v>1117</v>
      </c>
      <c r="G136" t="str">
        <f t="shared" ref="G136:G199" si="5">CONCATENATE("INSERT INTO `parqueadero`.`conductor` (`",$A$7,"`, `",$B$7,"`, `",$C$7,"`, `",$D$7,"`, `",$E$7,"`, `",$F$7,"`) VALUES ('",A136,"','",B136,"','",C136,"','",D136,"','",E136,"','",F136,"');" )</f>
        <v>INSERT INTO `parqueadero`.`conductor` (`Oid`, `IdConductor`, `Nombre`, `Area`, `Celular`, `correo`) VALUES ('129','1014279715','DUBAN ESNEIDER ROBERTO PINEDA','Dirección de Gestión de Suelo','3105855871','duban.roberto@habitatbogota.gov.co');</v>
      </c>
    </row>
    <row r="137" spans="1:7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>
        <v>3143405600</v>
      </c>
      <c r="F137" s="8" t="s">
        <v>114</v>
      </c>
      <c r="G137" t="str">
        <f t="shared" si="5"/>
        <v>INSERT INTO `parqueadero`.`conductor` (`Oid`, `IdConductor`, `Nombre`, `Area`, `Celular`, `correo`) VALUES ('130','80024049','EDGAR ANDRÉS CASTRO PEÑA','Oficina Asesora de Comunicaciones','3143405600','edgar.castro@habitatbogota.gov.co');</v>
      </c>
    </row>
    <row r="138" spans="1:7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>
        <v>3003457997</v>
      </c>
      <c r="F138" s="8" t="s">
        <v>780</v>
      </c>
      <c r="G138" t="str">
        <f t="shared" si="5"/>
        <v>INSERT INTO `parqueadero`.`conductor` (`Oid`, `IdConductor`, `Nombre`, `Area`, `Celular`, `correo`) VALUES ('131','80121497','EDGAR ANDRÉS ORTIZ VIVAS','Dirección de Información de Políticas Públicas','3003457997','edgar.ortizv@habitatbogota.gov.co');</v>
      </c>
    </row>
    <row r="139" spans="1:7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>
        <v>3212042506</v>
      </c>
      <c r="F139" s="8" t="s">
        <v>328</v>
      </c>
      <c r="G139" t="str">
        <f t="shared" si="5"/>
        <v>INSERT INTO `parqueadero`.`conductor` (`Oid`, `IdConductor`, `Nombre`, `Area`, `Celular`, `correo`) VALUES ('132','71761674','EDISON RESTREPO CEBALLOS ','Dirección de Información de Políticas Públicas','3212042506','edison.restrepo@habitatbogota.gov.co');</v>
      </c>
    </row>
    <row r="140" spans="1:7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>
        <v>3102160889</v>
      </c>
      <c r="F140" s="8" t="s">
        <v>128</v>
      </c>
      <c r="G140" t="str">
        <f t="shared" si="5"/>
        <v>INSERT INTO `parqueadero`.`conductor` (`Oid`, `IdConductor`, `Nombre`, `Area`, `Celular`, `correo`) VALUES ('133','1010171786','EDNA LUCÍA PERILLA MEDINA','Dirección de Información de Políticas Públicas','3102160889','edna.perilla@habitatbogota.gov.co');</v>
      </c>
    </row>
    <row r="141" spans="1:7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17">
        <v>3183891026</v>
      </c>
      <c r="F141" s="8" t="s">
        <v>109</v>
      </c>
      <c r="G141" t="str">
        <f t="shared" si="5"/>
        <v>INSERT INTO `parqueadero`.`conductor` (`Oid`, `IdConductor`, `Nombre`, `Area`, `Celular`, `correo`) VALUES ('134','51831480','EDNA MARCELA MENDEZ PALMA','Dirección de Investigaciones y Control de Vivienda','3183891026','adria.mendez@habitatbogota.gov.co');</v>
      </c>
    </row>
    <row r="142" spans="1:7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>
        <v>3004812996</v>
      </c>
      <c r="F142" s="8" t="s">
        <v>891</v>
      </c>
      <c r="G142" t="str">
        <f t="shared" si="5"/>
        <v>INSERT INTO `parqueadero`.`conductor` (`Oid`, `IdConductor`, `Nombre`, `Area`, `Celular`, `correo`) VALUES ('135','1110494882','EDNA MARGARITA GOMEZ ARBELAEZ','Dirección de Investigaciones y Control de Vivienda','3004812996','edna.gomez@habitatbogota.gov.co');</v>
      </c>
    </row>
    <row r="143" spans="1:7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6">
        <v>3104785629</v>
      </c>
      <c r="F143" s="8" t="s">
        <v>665</v>
      </c>
      <c r="G143" t="str">
        <f t="shared" si="5"/>
        <v>INSERT INTO `parqueadero`.`conductor` (`Oid`, `IdConductor`, `Nombre`, `Area`, `Celular`, `correo`) VALUES ('136','1019023084','EDUARDO CONTA MARTINEZ ','Despacho','3104785629','arnold.conta@habitatbogota.gov.co');</v>
      </c>
    </row>
    <row r="144" spans="1:7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17">
        <v>3114465810</v>
      </c>
      <c r="F144" s="8" t="s">
        <v>1204</v>
      </c>
      <c r="G144" t="str">
        <f t="shared" si="5"/>
        <v>INSERT INTO `parqueadero`.`conductor` (`Oid`, `IdConductor`, `Nombre`, `Area`, `Celular`, `correo`) VALUES ('137','79967484','EDWIN HARLEY REYES MORENO','Dirección de Prevención Arrendamiento y Control de Enajenación','3114465810','edwin.reyesm@habitatbogota.gov.co');</v>
      </c>
    </row>
    <row r="145" spans="1:7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17">
        <v>3122600799</v>
      </c>
      <c r="F145" s="8" t="s">
        <v>605</v>
      </c>
      <c r="G145" t="str">
        <f t="shared" si="5"/>
        <v>INSERT INTO `parqueadero`.`conductor` (`Oid`, `IdConductor`, `Nombre`, `Area`, `Celular`, `correo`) VALUES ('138','80505613','EDWIN HUMBERTO BUSTACARA BETANCOURT','Oficina de Participación y Relacionamiento con la Ciudadanía','3122600799','edwinbustacara@gmail.com');</v>
      </c>
    </row>
    <row r="146" spans="1:7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>
        <v>3108160084</v>
      </c>
      <c r="F146" s="8" t="s">
        <v>1551</v>
      </c>
      <c r="G146" t="str">
        <f t="shared" si="5"/>
        <v>INSERT INTO `parqueadero`.`conductor` (`Oid`, `IdConductor`, `Nombre`, `Area`, `Celular`, `correo`) VALUES ('139','79652526','EDWIN ROBERTO AMADO NIÑO','Dirección de Investigaciones y Control de Vivienda','3108160084','edwin.amado@habitatbogota.gov.co');</v>
      </c>
    </row>
    <row r="147" spans="1:7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>
        <v>3142398567</v>
      </c>
      <c r="F147" s="8" t="s">
        <v>1967</v>
      </c>
      <c r="G147" t="str">
        <f t="shared" si="5"/>
        <v>INSERT INTO `parqueadero`.`conductor` (`Oid`, `IdConductor`, `Nombre`, `Area`, `Celular`, `correo`) VALUES ('140','79954325','EDWIN YAMID ORTÍZ SALAS','Dirección Administrativa','3142398567','edwin.ortiz@habitatbogota.gov.co');</v>
      </c>
    </row>
    <row r="148" spans="1:7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6">
        <v>3114527947</v>
      </c>
      <c r="F148" s="8" t="s">
        <v>1293</v>
      </c>
      <c r="G148" t="str">
        <f t="shared" si="5"/>
        <v>INSERT INTO `parqueadero`.`conductor` (`Oid`, `IdConductor`, `Nombre`, `Area`, `Celular`, `correo`) VALUES ('141','79605849','EFREN EMIGDIO CARDENAS BERMUDEZ','Dirección de Gestión de Suelo','3114527947','efren.cardenas@habitatbogota.gov.co');</v>
      </c>
    </row>
    <row r="149" spans="1:7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>
        <v>3008790148</v>
      </c>
      <c r="F149" s="8" t="s">
        <v>1479</v>
      </c>
      <c r="G149" t="str">
        <f t="shared" si="5"/>
        <v>INSERT INTO `parqueadero`.`conductor` (`Oid`, `IdConductor`, `Nombre`, `Area`, `Celular`, `correo`) VALUES ('142','32711441','ELIZABETH MOZO CRUZ','Dirección Financiera','3008790148','elizabeth.mozo@aspsols.com');</v>
      </c>
    </row>
    <row r="150" spans="1:7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>
        <v>3013739116</v>
      </c>
      <c r="F150" s="8" t="s">
        <v>1992</v>
      </c>
      <c r="G150" t="str">
        <f t="shared" si="5"/>
        <v>INSERT INTO `parqueadero`.`conductor` (`Oid`, `IdConductor`, `Nombre`, `Area`, `Celular`, `correo`) VALUES ('143','84102209','ENEYDER JAVIER LÓPEZ POLOCHE','Dirección Administrativa','3013739116','javier.lopez@habitatbogota.gov.co');</v>
      </c>
    </row>
    <row r="151" spans="1:7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>
        <v>3044630215</v>
      </c>
      <c r="F151" s="8" t="s">
        <v>1706</v>
      </c>
      <c r="G151" t="str">
        <f t="shared" si="5"/>
        <v>INSERT INTO `parqueadero`.`conductor` (`Oid`, `IdConductor`, `Nombre`, `Area`, `Celular`, `correo`) VALUES ('144','1031166153','ERIKA ALEJANDRA BARRIGA MUÑOZ','UT Clean Colombia','3044630215','erikaalejandra1614@gmail.com');</v>
      </c>
    </row>
    <row r="152" spans="1:7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>
        <v>3023671569</v>
      </c>
      <c r="F152" s="8" t="s">
        <v>1136</v>
      </c>
      <c r="G152" t="str">
        <f t="shared" si="5"/>
        <v>INSERT INTO `parqueadero`.`conductor` (`Oid`, `IdConductor`, `Nombre`, `Area`, `Celular`, `correo`) VALUES ('145','1049632235','ERIKA JULIEHT SÁNCHEZ TRIVIÑO','Dirección de Financiación de Vivienda','3023671569','erika.sanchez@habitatbogota.gov.co');</v>
      </c>
    </row>
    <row r="153" spans="1:7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>
        <v>3203940357</v>
      </c>
      <c r="F153" s="8" t="s">
        <v>842</v>
      </c>
      <c r="G153" t="str">
        <f t="shared" si="5"/>
        <v>INSERT INTO `parqueadero`.`conductor` (`Oid`, `IdConductor`, `Nombre`, `Area`, `Celular`, `correo`) VALUES ('146','52152263','ERIKA MARIA BLANCO VARGAS','Dirección de Estructuracion de Proyectos','3203940357','erika.blancov@habitatbogota.gov.co');</v>
      </c>
    </row>
    <row r="154" spans="1:7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>
        <v>3022498107</v>
      </c>
      <c r="F154" s="8" t="s">
        <v>1385</v>
      </c>
      <c r="G154" t="str">
        <f t="shared" si="5"/>
        <v>INSERT INTO `parqueadero`.`conductor` (`Oid`, `IdConductor`, `Nombre`, `Area`, `Celular`, `correo`) VALUES ('147','1019093180','EVELIN PEÑA TOMANN','Dirección de Operaciones','3022498107','evelin.pena@habitatbogota.gov.co');</v>
      </c>
    </row>
    <row r="155" spans="1:7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>
        <v>3212128327</v>
      </c>
      <c r="F155" s="8" t="s">
        <v>728</v>
      </c>
      <c r="G155" t="str">
        <f t="shared" si="5"/>
        <v>INSERT INTO `parqueadero`.`conductor` (`Oid`, `IdConductor`, `Nombre`, `Area`, `Celular`, `correo`) VALUES ('148','52777129','FABIOLA ANDREA RODRIGUEZ ESQUIVEL','Dirección de Apoyo a la Contrucción','3212128327','fabiola.rodriguez@habitatbogota.gov.co');</v>
      </c>
    </row>
    <row r="156" spans="1:7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6">
        <v>3203872487</v>
      </c>
      <c r="F156" s="8" t="s">
        <v>235</v>
      </c>
      <c r="G156" t="str">
        <f t="shared" si="5"/>
        <v>INSERT INTO `parqueadero`.`conductor` (`Oid`, `IdConductor`, `Nombre`, `Area`, `Celular`, `correo`) VALUES ('149','1030524007','FELIX ALEXANDER LOPEZ ANZOLA ','Despacho','3203872487','felix.lopez@habitatbogota.gov.co');</v>
      </c>
    </row>
    <row r="157" spans="1:7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>
        <v>3192525405</v>
      </c>
      <c r="F157" s="8" t="s">
        <v>420</v>
      </c>
      <c r="G157" t="str">
        <f t="shared" si="5"/>
        <v>INSERT INTO `parqueadero`.`conductor` (`Oid`, `IdConductor`, `Nombre`, `Area`, `Celular`, `correo`) VALUES ('150','79466477','FERNANDO BARBOSA OSORIO ','Dirección de Operaciones','3192525405','fernando.barbosa@habitatbogota.gov.co');</v>
      </c>
    </row>
    <row r="158" spans="1:7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6">
        <v>3002715302</v>
      </c>
      <c r="F158" s="8" t="s">
        <v>333</v>
      </c>
      <c r="G158" t="str">
        <f t="shared" si="5"/>
        <v>INSERT INTO `parqueadero`.`conductor` (`Oid`, `IdConductor`, `Nombre`, `Area`, `Celular`, `correo`) VALUES ('151','79794570','FERNANDO PARRA QUIRÓS','Dirección de Gestión de Suelo','3002715302','mary.batero@habitatbogota.gov.co');</v>
      </c>
    </row>
    <row r="159" spans="1:7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13">
        <v>3106630246</v>
      </c>
      <c r="F159" s="8" t="s">
        <v>1875</v>
      </c>
      <c r="G159" t="str">
        <f t="shared" si="5"/>
        <v>INSERT INTO `parqueadero`.`conductor` (`Oid`, `IdConductor`, `Nombre`, `Area`, `Celular`, `correo`) VALUES ('152','79795088','FLAVIO ENRIQUE DAZA ROJAS','Dirección de Investigaciones y Control de Vivienda','3106630246','flavio.daza@habitatbogota.gov.co');</v>
      </c>
    </row>
    <row r="160" spans="1:7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>
        <v>3004336661</v>
      </c>
      <c r="F160" s="8" t="s">
        <v>1775</v>
      </c>
      <c r="G160" t="str">
        <f t="shared" si="5"/>
        <v>INSERT INTO `parqueadero`.`conductor` (`Oid`, `IdConductor`, `Nombre`, `Area`, `Celular`, `correo`) VALUES ('153','1094272550','FRANCISCO JAVIER RODRÍGUEZ CONTRERAS','Dirección de Financiación de Vivienda','3004336661','francisco.rodriguez@habitatbogota.gov.co');</v>
      </c>
    </row>
    <row r="161" spans="1:7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6">
        <v>3103832562</v>
      </c>
      <c r="F161" s="8" t="s">
        <v>142</v>
      </c>
      <c r="G161" t="str">
        <f t="shared" si="5"/>
        <v>INSERT INTO `parqueadero`.`conductor` (`Oid`, `IdConductor`, `Nombre`, `Area`, `Celular`, `correo`) VALUES ('154','1042417351','FRANCISCO PÉREZ MARTÍNEZ ','Oficina de Control Disciplinario Interno','3103832562','francisco.perez@habitatbogota.gov.co');</v>
      </c>
    </row>
    <row r="162" spans="1:7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>
        <v>3114519936</v>
      </c>
      <c r="F162" s="8" t="s">
        <v>1964</v>
      </c>
      <c r="G162" t="str">
        <f t="shared" si="5"/>
        <v>INSERT INTO `parqueadero`.`conductor` (`Oid`, `IdConductor`, `Nombre`, `Area`, `Celular`, `correo`) VALUES ('155','80767685','FRANK DAVID BARRERA SANTOS','Oficina Asesora de Planeación','3114519936','frank.barrera@habitatbogota.gov.co');</v>
      </c>
    </row>
    <row r="163" spans="1:7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>
        <v>3216992593</v>
      </c>
      <c r="F163" s="8" t="s">
        <v>2047</v>
      </c>
      <c r="G163" t="str">
        <f t="shared" si="5"/>
        <v>INSERT INTO `parqueadero`.`conductor` (`Oid`, `IdConductor`, `Nombre`, `Area`, `Celular`, `correo`) VALUES ('156','1120747558','FREDDY ANDRÉS ALTAMAR BULA','Dirección de Servicios Públicos','3216992593','freddy.altamar@habitatbogota.gov.co');</v>
      </c>
    </row>
    <row r="164" spans="1:7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6">
        <v>3118912104</v>
      </c>
      <c r="F164" s="8" t="s">
        <v>1683</v>
      </c>
      <c r="G164" t="str">
        <f t="shared" si="5"/>
        <v>INSERT INTO `parqueadero`.`conductor` (`Oid`, `IdConductor`, `Nombre`, `Area`, `Celular`, `correo`) VALUES ('157','79841486','FREDI YECID MUNAR VERANO','Dirección de Hábitat y Entorno','3118912104','fredi.munar@habitatbogota.gov.co');</v>
      </c>
    </row>
    <row r="165" spans="1:7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>
        <v>2996355</v>
      </c>
      <c r="F165" s="8" t="s">
        <v>1444</v>
      </c>
      <c r="G165" t="str">
        <f t="shared" si="5"/>
        <v>INSERT INTO `parqueadero`.`conductor` (`Oid`, `IdConductor`, `Nombre`, `Area`, `Celular`, `correo`) VALUES ('158','2996355','FREDY DARIO CRUZ GARCÍA ','Dirección Administrativa','2996355','fredy.cruz@habitatbogota.gov.co');</v>
      </c>
    </row>
    <row r="166" spans="1:7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>
        <v>3012185822</v>
      </c>
      <c r="F166" s="8" t="s">
        <v>1001</v>
      </c>
      <c r="G166" t="str">
        <f t="shared" si="5"/>
        <v>INSERT INTO `parqueadero`.`conductor` (`Oid`, `IdConductor`, `Nombre`, `Area`, `Celular`, `correo`) VALUES ('159','80085952','GABRIEL AUGUSTO CANCINO ZAPATA','Dirección de Mejoramiento Habitacional','3012185822','gabriel.cancino@habitatbogota.gov.co');</v>
      </c>
    </row>
    <row r="167" spans="1:7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17">
        <v>3143582790</v>
      </c>
      <c r="F167" s="8" t="s">
        <v>1165</v>
      </c>
      <c r="G167" t="str">
        <f t="shared" si="5"/>
        <v>INSERT INTO `parqueadero`.`conductor` (`Oid`, `IdConductor`, `Nombre`, `Area`, `Celular`, `correo`) VALUES ('160','1136888167','GENNA PAMELA MARTINEZ GUANA','Oficina Asesora de Comunicaciones','3143582790','genna.martinez@habitatbogota.gov.co');</v>
      </c>
    </row>
    <row r="168" spans="1:7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>
        <v>3212732590</v>
      </c>
      <c r="F168" s="8" t="s">
        <v>313</v>
      </c>
      <c r="G168" t="str">
        <f t="shared" si="5"/>
        <v>INSERT INTO `parqueadero`.`conductor` (`Oid`, `IdConductor`, `Nombre`, `Area`, `Celular`, `correo`) VALUES ('161','1010222727','GERMAN ANDRES ORTIZ SABOGAL','Dirección Financiera','3212732590','german.ortiz@habitatbogota.gov.co');</v>
      </c>
    </row>
    <row r="169" spans="1:7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17">
        <v>3204437547</v>
      </c>
      <c r="F169" s="8" t="s">
        <v>245</v>
      </c>
      <c r="G169" t="str">
        <f t="shared" si="5"/>
        <v>INSERT INTO `parqueadero`.`conductor` (`Oid`, `IdConductor`, `Nombre`, `Area`, `Celular`, `correo`) VALUES ('162','11185678','GIOVANNI SOTO CAGUA','Dirección Administrativa','3204437547','giovanni.soto@habitatbogota.gov.co');</v>
      </c>
    </row>
    <row r="170" spans="1:7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>
        <v>3003942680</v>
      </c>
      <c r="F170" s="8" t="s">
        <v>900</v>
      </c>
      <c r="G170" t="str">
        <f t="shared" si="5"/>
        <v>INSERT INTO `parqueadero`.`conductor` (`Oid`, `IdConductor`, `Nombre`, `Area`, `Celular`, `correo`) VALUES ('163','51563303','GLADYS LUNA GAONA','Dirección de Financiación de Vivienda','3003942680','gladys.luna@habitatbogota.gov.co');</v>
      </c>
    </row>
    <row r="171" spans="1:7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>
        <v>3058197451</v>
      </c>
      <c r="F171" s="8" t="s">
        <v>27</v>
      </c>
      <c r="G171" t="str">
        <f t="shared" si="5"/>
        <v>INSERT INTO `parqueadero`.`conductor` (`Oid`, `IdConductor`, `Nombre`, `Area`, `Celular`, `correo`) VALUES ('164','1032357287','GUILLERMO ANDRES PALACIOS LOPEZ','Dirección de Financiación de Vivienda','3058197451','guillermo.palacios@habitatbogota.gov.co');</v>
      </c>
    </row>
    <row r="172" spans="1:7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>
        <v>3024403891</v>
      </c>
      <c r="F172" s="8" t="s">
        <v>1242</v>
      </c>
      <c r="G172" t="str">
        <f t="shared" si="5"/>
        <v>INSERT INTO `parqueadero`.`conductor` (`Oid`, `IdConductor`, `Nombre`, `Area`, `Celular`, `correo`) VALUES ('165','79547192','GUILLERMO ROJAS','Dirección Administrativa','3024403891','guillors@hotmail.com');</v>
      </c>
    </row>
    <row r="173" spans="1:7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>
        <v>3123964150</v>
      </c>
      <c r="F173" s="8" t="s">
        <v>1028</v>
      </c>
      <c r="G173" t="str">
        <f t="shared" si="5"/>
        <v>INSERT INTO `parqueadero`.`conductor` (`Oid`, `IdConductor`, `Nombre`, `Area`, `Celular`, `correo`) VALUES ('166','1030636071','HARLEY FERNEY FERNÁNDEZ ALVARADO','Oficina de Participación y Relacionamiento con la Ciudadanía','3123964150','harley.fernandez@habitatbogota.gov.co');</v>
      </c>
    </row>
    <row r="174" spans="1:7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>
        <v>1002524810</v>
      </c>
      <c r="F174" s="8" t="s">
        <v>1155</v>
      </c>
      <c r="G174" t="str">
        <f t="shared" si="5"/>
        <v>INSERT INTO `parqueadero`.`conductor` (`Oid`, `IdConductor`, `Nombre`, `Area`, `Celular`, `correo`) VALUES ('167','1002524810','HAROL SANTIAGO NUÑEZ PEÑA','Oficina de Participación y Relacionamiento con la Ciudadanía','1002524810','harol.nunez@habitatbogota.gov.co');</v>
      </c>
    </row>
    <row r="175" spans="1:7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>
        <v>3203005342</v>
      </c>
      <c r="F175" s="8" t="s">
        <v>84</v>
      </c>
      <c r="G175" t="str">
        <f t="shared" si="5"/>
        <v>INSERT INTO `parqueadero`.`conductor` (`Oid`, `IdConductor`, `Nombre`, `Area`, `Celular`, `correo`) VALUES ('168','88220846','HELIZANDER VERA CASTRO','Dirección de Financiación de Vivienda','3203005342','helizander.vera@habitatbogota.gov.co');</v>
      </c>
    </row>
    <row r="176" spans="1:7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>
        <v>3214139115</v>
      </c>
      <c r="F176" s="8" t="s">
        <v>976</v>
      </c>
      <c r="G176" t="str">
        <f t="shared" si="5"/>
        <v>INSERT INTO `parqueadero`.`conductor` (`Oid`, `IdConductor`, `Nombre`, `Area`, `Celular`, `correo`) VALUES ('169','1019131919','HENRY DUVAN LEÓN REYES','Oficina de Participación y Relacionamiento con la Ciudadanía','3214139115','henry.leon@habitatbogota.gov.co');</v>
      </c>
    </row>
    <row r="177" spans="1:7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>
        <v>3192887080</v>
      </c>
      <c r="F177" s="8" t="s">
        <v>1586</v>
      </c>
      <c r="G177" t="str">
        <f t="shared" si="5"/>
        <v>INSERT INTO `parqueadero`.`conductor` (`Oid`, `IdConductor`, `Nombre`, `Area`, `Celular`, `correo`) VALUES ('170','1018431754','HERNAN DAVID SANCHEZ ARIAS','Dirección de Contratación','3192887080','hernan.sanchez@habitatbogota.gov.co');</v>
      </c>
    </row>
    <row r="178" spans="1:7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>
        <v>3112227613</v>
      </c>
      <c r="F178" s="8" t="s">
        <v>200</v>
      </c>
      <c r="G178" t="str">
        <f t="shared" si="5"/>
        <v>INSERT INTO `parqueadero`.`conductor` (`Oid`, `IdConductor`, `Nombre`, `Area`, `Celular`, `correo`) VALUES ('171','7726196','HERNAN JAVIER RODRÍGUEZ CERVANTES','Dirección de Mejoramiento Habitacional','3112227613','hernan.rodriguezc@habitatbogotá.gov.co');</v>
      </c>
    </row>
    <row r="179" spans="1:7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>
        <v>3142417321</v>
      </c>
      <c r="F179" s="8" t="s">
        <v>967</v>
      </c>
      <c r="G179" t="str">
        <f t="shared" si="5"/>
        <v>INSERT INTO `parqueadero`.`conductor` (`Oid`, `IdConductor`, `Nombre`, `Area`, `Celular`, `correo`) VALUES ('172','1049640375','HOLLMAN ANDRÉS SILVA GUZMÁN','Dirección de Investigaciones y Control de Vivienda','3142417321','hollman.silva@habitatbogota.gov.co');</v>
      </c>
    </row>
    <row r="180" spans="1:7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>
        <v>3014315127</v>
      </c>
      <c r="F180" s="8" t="s">
        <v>1248</v>
      </c>
      <c r="G180" t="str">
        <f t="shared" si="5"/>
        <v>INSERT INTO `parqueadero`.`conductor` (`Oid`, `IdConductor`, `Nombre`, `Area`, `Celular`, `correo`) VALUES ('173','63548541','INDIRA BELIZA GOENAGA ARIZA','Dirección de Información de Políticas Públicas','3014315127','indira.goenaga@habitabogota.gov.co');</v>
      </c>
    </row>
    <row r="181" spans="1:7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>
        <v>3103348195</v>
      </c>
      <c r="F181" s="8" t="s">
        <v>741</v>
      </c>
      <c r="G181" t="str">
        <f t="shared" si="5"/>
        <v>INSERT INTO `parqueadero`.`conductor` (`Oid`, `IdConductor`, `Nombre`, `Area`, `Celular`, `correo`) VALUES ('174','51940883','INGRID PIEDAD NIÑO BUITRAGO','Gestión Documental','3103348195','ingrid.nino@habitatbogota.gov.co');</v>
      </c>
    </row>
    <row r="182" spans="1:7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6">
        <v>3174248900</v>
      </c>
      <c r="F182" s="8" t="s">
        <v>298</v>
      </c>
      <c r="G182" t="str">
        <f t="shared" si="5"/>
        <v>INSERT INTO `parqueadero`.`conductor` (`Oid`, `IdConductor`, `Nombre`, `Area`, `Celular`, `correo`) VALUES ('175','1001192097','ISABELLA SGUERRA RODRÍGUEZ','Despacho','3174248900','isabella.sguerra@habitatbogota.gov.co');</v>
      </c>
    </row>
    <row r="183" spans="1:7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>
        <v>3169705853</v>
      </c>
      <c r="F183" s="8" t="s">
        <v>442</v>
      </c>
      <c r="G183" t="str">
        <f t="shared" si="5"/>
        <v>INSERT INTO `parqueadero`.`conductor` (`Oid`, `IdConductor`, `Nombre`, `Area`, `Celular`, `correo`) VALUES ('176','4579016','IVÁN GIL ISAZA','Dirección de Investigaciones y Control de Vivienda','3169705853','ivan.gil@habitatbogota.gov.co');</v>
      </c>
    </row>
    <row r="184" spans="1:7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>
        <v>3147420641</v>
      </c>
      <c r="F184" s="8" t="s">
        <v>1690</v>
      </c>
      <c r="G184" t="str">
        <f t="shared" si="5"/>
        <v>INSERT INTO `parqueadero`.`conductor` (`Oid`, `IdConductor`, `Nombre`, `Area`, `Celular`, `correo`) VALUES ('177','80202549','IVÁN NARVÁEZ FORERO','Dirección de Mejoramiento Habitacional','3147420641','infconsultorlegal@gmail.com');</v>
      </c>
    </row>
    <row r="185" spans="1:7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>
        <v>3173320602</v>
      </c>
      <c r="F185" s="8" t="s">
        <v>2107</v>
      </c>
      <c r="G185" t="str">
        <f t="shared" si="5"/>
        <v>INSERT INTO `parqueadero`.`conductor` (`Oid`, `IdConductor`, `Nombre`, `Area`, `Celular`, `correo`) VALUES ('178','98561766','JAIME HUMBERTO ARBOLEDA RESTREPO','Dirección de Investigaciones y Control de Vivienda','3173320602','jaime.arboleda@habitatbogota.gov.co');</v>
      </c>
    </row>
    <row r="186" spans="1:7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>
        <v>3102059928</v>
      </c>
      <c r="F186" s="8" t="s">
        <v>695</v>
      </c>
      <c r="G186" t="str">
        <f t="shared" si="5"/>
        <v>INSERT INTO `parqueadero`.`conductor` (`Oid`, `IdConductor`, `Nombre`, `Area`, `Celular`, `correo`) VALUES ('179','7217591','JAIRO DE JESUS DUITAMA REYES','Dirección de Investigaciones y Control de Vivienda','3102059928','jairo.duitama@habitatbogota.gov.co');</v>
      </c>
    </row>
    <row r="187" spans="1:7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>
        <v>3153353328</v>
      </c>
      <c r="F187" s="8" t="s">
        <v>723</v>
      </c>
      <c r="G187" t="str">
        <f t="shared" si="5"/>
        <v>INSERT INTO `parqueadero`.`conductor` (`Oid`, `IdConductor`, `Nombre`, `Area`, `Celular`, `correo`) VALUES ('180','5710812','JAIRO ENRIQUE MOSQUERA PÁEZ ','Dirección de Investigaciones y Control de Vivienda','3153353328','jairo.mosquera@habitatbogota.gov.co');</v>
      </c>
    </row>
    <row r="188" spans="1:7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>
        <v>3133631892</v>
      </c>
      <c r="F188" s="8" t="s">
        <v>1956</v>
      </c>
      <c r="G188" t="str">
        <f t="shared" si="5"/>
        <v>INSERT INTO `parqueadero`.`conductor` (`Oid`, `IdConductor`, `Nombre`, `Area`, `Celular`, `correo`) VALUES ('181','1090374848','JAMES FERNANDO NÚÑEZ RODRÍGUEZ','Dirección de Mejoramiento Habitacional','3133631892','james.nunez@habitatbogota.gov.co');</v>
      </c>
    </row>
    <row r="189" spans="1:7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>
        <v>3223455521</v>
      </c>
      <c r="F189" s="8" t="s">
        <v>1160</v>
      </c>
      <c r="G189" t="str">
        <f t="shared" si="5"/>
        <v>INSERT INTO `parqueadero`.`conductor` (`Oid`, `IdConductor`, `Nombre`, `Area`, `Celular`, `correo`) VALUES ('182','1020828035','JAVIER DE JESUS DELGADO CARCAMO','Dirección de Financiación de Vivienda','3223455521','javier.delgado@habitatbogota.gov.co');</v>
      </c>
    </row>
    <row r="190" spans="1:7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>
        <v>3102338749</v>
      </c>
      <c r="F190" s="8" t="s">
        <v>633</v>
      </c>
      <c r="G190" t="str">
        <f t="shared" si="5"/>
        <v>INSERT INTO `parqueadero`.`conductor` (`Oid`, `IdConductor`, `Nombre`, `Area`, `Celular`, `correo`) VALUES ('183','1031156687','JAVIER FERNANDO CAICEDO MONTOYA ','Subsecretaría de Inspección Vigilancia y Control de Vivienda','3102338749','javier.caicedo@habitatbogota.gov.co');</v>
      </c>
    </row>
    <row r="191" spans="1:7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>
        <v>3212596174</v>
      </c>
      <c r="F191" s="8" t="s">
        <v>1522</v>
      </c>
      <c r="G191" t="str">
        <f t="shared" si="5"/>
        <v>INSERT INTO `parqueadero`.`conductor` (`Oid`, `IdConductor`, `Nombre`, `Area`, `Celular`, `correo`) VALUES ('184','32798171','JAZMÍN OROZCO RODRÍGUEZ','Dirección de Investigaciones y Control de Vivienda','3212596174','jazmin.orozco@habitatbogota.gov.co');</v>
      </c>
    </row>
    <row r="192" spans="1:7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>
        <v>3212563770</v>
      </c>
      <c r="F192" s="8" t="s">
        <v>1643</v>
      </c>
      <c r="G192" t="str">
        <f t="shared" si="5"/>
        <v>INSERT INTO `parqueadero`.`conductor` (`Oid`, `IdConductor`, `Nombre`, `Area`, `Celular`, `correo`) VALUES ('185','79645809','JEAN ANGARITA VASQUEZ','Dirección de Operaciones','3212563770','jean.angarita@habitatbogota.gov.co');</v>
      </c>
    </row>
    <row r="193" spans="1:7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>
        <v>3123779731</v>
      </c>
      <c r="F193" s="8" t="s">
        <v>829</v>
      </c>
      <c r="G193" t="str">
        <f t="shared" si="5"/>
        <v>INSERT INTO `parqueadero`.`conductor` (`Oid`, `IdConductor`, `Nombre`, `Area`, `Celular`, `correo`) VALUES ('186','52907657','JEIMMY LILIANA GÓMEZ OYOLA ','Subsecretaría de Inspección Vigilancia y Control de Vivienda','3123779731','jeimmy.gomez@habitatbogota.gov.co');</v>
      </c>
    </row>
    <row r="194" spans="1:7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>
        <v>3102900983</v>
      </c>
      <c r="F194" s="8" t="s">
        <v>495</v>
      </c>
      <c r="G194" t="str">
        <f t="shared" si="5"/>
        <v>INSERT INTO `parqueadero`.`conductor` (`Oid`, `IdConductor`, `Nombre`, `Area`, `Celular`, `correo`) VALUES ('187','1010222054','JEIMY CATALINA MORENO CASTAÑEDA','Dirección de Financiación de Vivienda','3102900983','jeimy.moreno@habitatbogota.gov.co');</v>
      </c>
    </row>
    <row r="195" spans="1:7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13">
        <v>3142484242</v>
      </c>
      <c r="F195" s="8" t="s">
        <v>1854</v>
      </c>
      <c r="G195" t="str">
        <f t="shared" si="5"/>
        <v>INSERT INTO `parqueadero`.`conductor` (`Oid`, `IdConductor`, `Nombre`, `Area`, `Celular`, `correo`) VALUES ('188','80258283','JEISON MAURICIO SANTOS TELLEZ','Dirección de Mejoramiento Habitacional','3142484242','jeison.santos@habitatbogota.gov.co');</v>
      </c>
    </row>
    <row r="196" spans="1:7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>
        <v>3006870651</v>
      </c>
      <c r="F196" s="8" t="s">
        <v>1492</v>
      </c>
      <c r="G196" t="str">
        <f t="shared" si="5"/>
        <v>INSERT INTO `parqueadero`.`conductor` (`Oid`, `IdConductor`, `Nombre`, `Area`, `Celular`, `correo`) VALUES ('189','1016021569','JEISSON FABIÁN PÉREZ RODRIGUEZ','Dirección de Apoyo a la Contrucción','3006870651','jeisson.perez@habitatbogota.gov.co');</v>
      </c>
    </row>
    <row r="197" spans="1:7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>
        <v>3156165304</v>
      </c>
      <c r="F197" s="8" t="s">
        <v>776</v>
      </c>
      <c r="G197" t="str">
        <f t="shared" si="5"/>
        <v>INSERT INTO `parqueadero`.`conductor` (`Oid`, `IdConductor`, `Nombre`, `Area`, `Celular`, `correo`) VALUES ('190','1026568929','JENIFER LORENA BELTRAN PENAGOS','Dirección de Mejoramiento Habitacional','3156165304','jenifer.beltran@habitat.gov.co');</v>
      </c>
    </row>
    <row r="198" spans="1:7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>
        <v>3204134805</v>
      </c>
      <c r="F198" s="8" t="s">
        <v>650</v>
      </c>
      <c r="G198" t="str">
        <f t="shared" si="5"/>
        <v>INSERT INTO `parqueadero`.`conductor` (`Oid`, `IdConductor`, `Nombre`, `Area`, `Celular`, `correo`) VALUES ('191','1032464919','JENNY FERNANDA VELANDIA CASTRO ','Dirección de Investigaciones y Control de Vivienda','3204134805','jenny.velandia@habitatbogota.gov.co');</v>
      </c>
    </row>
    <row r="199" spans="1:7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>
        <v>3208359808</v>
      </c>
      <c r="F199" s="8" t="s">
        <v>224</v>
      </c>
      <c r="G199" t="str">
        <f t="shared" si="5"/>
        <v>INSERT INTO `parqueadero`.`conductor` (`Oid`, `IdConductor`, `Nombre`, `Area`, `Celular`, `correo`) VALUES ('192','1010185998','JENNY GARZON TRIVIÑO','Dirección de Financiación de Vivienda','3208359808','jenny.garzon@habitatbogota.gov.co');</v>
      </c>
    </row>
    <row r="200" spans="1:7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>
        <v>3102877763</v>
      </c>
      <c r="F200" s="8" t="s">
        <v>1634</v>
      </c>
      <c r="G200" t="str">
        <f t="shared" ref="G200:G263" si="7">CONCATENATE("INSERT INTO `parqueadero`.`conductor` (`",$A$7,"`, `",$B$7,"`, `",$C$7,"`, `",$D$7,"`, `",$E$7,"`, `",$F$7,"`) VALUES ('",A200,"','",B200,"','",C200,"','",D200,"','",E200,"','",F200,"');" )</f>
        <v>INSERT INTO `parqueadero`.`conductor` (`Oid`, `IdConductor`, `Nombre`, `Area`, `Celular`, `correo`) VALUES ('193','52916779','JENNY MARCELA INFANTE RINCÓN','Dirección de Financiación de Vivienda','3102877763','jenny.infante@habitatbogota.gov.co');</v>
      </c>
    </row>
    <row r="201" spans="1:7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>
        <v>3005554875</v>
      </c>
      <c r="F201" s="8" t="s">
        <v>446</v>
      </c>
      <c r="G201" t="str">
        <f t="shared" si="7"/>
        <v>INSERT INTO `parqueadero`.`conductor` (`Oid`, `IdConductor`, `Nombre`, `Area`, `Celular`, `correo`) VALUES ('194','52820550','JENNY MARITZA BARRERA SUÁREZ ','Dirección Administrativa','3005554875','jenny.barrera@habitatbogota.gov.co');</v>
      </c>
    </row>
    <row r="202" spans="1:7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>
        <v>3103430417</v>
      </c>
      <c r="F202" s="8" t="s">
        <v>1910</v>
      </c>
      <c r="G202" t="str">
        <f t="shared" si="7"/>
        <v>INSERT INTO `parqueadero`.`conductor` (`Oid`, `IdConductor`, `Nombre`, `Area`, `Celular`, `correo`) VALUES ('195','1016008161','JENNY PAOLA BUENO LADINO','Dirección de Financiación de Vivienda','3103430417','jenny.bueno@habitatbogota.gov.co');</v>
      </c>
    </row>
    <row r="203" spans="1:7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13">
        <v>3125579853</v>
      </c>
      <c r="F203" s="8" t="s">
        <v>1795</v>
      </c>
      <c r="G203" t="str">
        <f t="shared" si="7"/>
        <v>INSERT INTO `parqueadero`.`conductor` (`Oid`, `IdConductor`, `Nombre`, `Area`, `Celular`, `correo`) VALUES ('196','1015447384','JENNY PAOLA PALOMA ORTÍZ','Dirección de Financiación de Vivienda','3125579853','jenny.paloma@habitatbogota.gov.co');</v>
      </c>
    </row>
    <row r="204" spans="1:7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>
        <v>3223513584</v>
      </c>
      <c r="F204" s="8" t="s">
        <v>293</v>
      </c>
      <c r="G204" t="str">
        <f t="shared" si="7"/>
        <v>INSERT INTO `parqueadero`.`conductor` (`Oid`, `IdConductor`, `Nombre`, `Area`, `Celular`, `correo`) VALUES ('197','52961000','JENNY PATRICIA MUÑOZ CHAVES','Dirección de Mejoramiento Habitacional','3223513584','jenny.munoz@habitatbogota.gov.co');</v>
      </c>
    </row>
    <row r="205" spans="1:7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>
        <v>3196819874</v>
      </c>
      <c r="F205" s="8" t="s">
        <v>1268</v>
      </c>
      <c r="G205" t="str">
        <f t="shared" si="7"/>
        <v>INSERT INTO `parqueadero`.`conductor` (`Oid`, `IdConductor`, `Nombre`, `Area`, `Celular`, `correo`) VALUES ('198','1030615542','JERSSON LÓPEZ BARRIOS','Gestión Documental','3196819874','correspondenciasdht@habitatbogota.gov.co');</v>
      </c>
    </row>
    <row r="206" spans="1:7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>
        <v>3102403763</v>
      </c>
      <c r="F206" s="8" t="s">
        <v>1928</v>
      </c>
      <c r="G206" t="str">
        <f t="shared" si="7"/>
        <v>INSERT INTO `parqueadero`.`conductor` (`Oid`, `IdConductor`, `Nombre`, `Area`, `Celular`, `correo`) VALUES ('199','1121886960','JESSICA VALENCIA GUERRERO','Dirección de Operaciones','3102403763','jessica.valencia@habitatbogota.gov.co');</v>
      </c>
    </row>
    <row r="207" spans="1:7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6">
        <v>3017719375</v>
      </c>
      <c r="F207" s="8" t="s">
        <v>1755</v>
      </c>
      <c r="G207" t="str">
        <f t="shared" si="7"/>
        <v>INSERT INTO `parqueadero`.`conductor` (`Oid`, `IdConductor`, `Nombre`, `Area`, `Celular`, `correo`) VALUES ('200','1014196580','JESSIKA NICOLE NIÑO GÓMEZ','Oficina de Tecnología y Transformación Digital','3017719375','nicole.nino@habitatbogota.gov.co');</v>
      </c>
    </row>
    <row r="208" spans="1:7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>
        <v>3195918577</v>
      </c>
      <c r="F208" s="8" t="s">
        <v>1452</v>
      </c>
      <c r="G208" t="str">
        <f t="shared" si="7"/>
        <v>INSERT INTO `parqueadero`.`conductor` (`Oid`, `IdConductor`, `Nombre`, `Area`, `Celular`, `correo`) VALUES ('201','1010162896','JESUS MAURICIO SANCHEZ SANCHEZ','Dirección de Financiación de Vivienda','3195918577','jesus.sanchez@habitatbogota.gov.co');</v>
      </c>
    </row>
    <row r="209" spans="1:7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>
        <v>3142011762</v>
      </c>
      <c r="F209" s="8" t="s">
        <v>963</v>
      </c>
      <c r="G209" t="str">
        <f t="shared" si="7"/>
        <v>INSERT INTO `parqueadero`.`conductor` (`Oid`, `IdConductor`, `Nombre`, `Area`, `Celular`, `correo`) VALUES ('202','1001114395','JHOAN STEVE JIMENEZ HERNANDEZ','Dirección de Investigaciones y Control de Vivienda','3142011762','jhoan.jimenez@habitatbogota.gov.co');</v>
      </c>
    </row>
    <row r="210" spans="1:7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6">
        <v>3207707633</v>
      </c>
      <c r="F210" s="8" t="s">
        <v>1770</v>
      </c>
      <c r="G210" t="str">
        <f t="shared" si="7"/>
        <v>INSERT INTO `parqueadero`.`conductor` (`Oid`, `IdConductor`, `Nombre`, `Area`, `Celular`, `correo`) VALUES ('203','79956337','JHON ALEXANDER MELGAREJO CELEITA','Dirección de Gestión de Suelo','3207707633','jhonmelgarejoc@gmail.com');</v>
      </c>
    </row>
    <row r="211" spans="1:7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>
        <v>3504147600</v>
      </c>
      <c r="F211" s="8" t="s">
        <v>1035</v>
      </c>
      <c r="G211" t="str">
        <f t="shared" si="7"/>
        <v>INSERT INTO `parqueadero`.`conductor` (`Oid`, `IdConductor`, `Nombre`, `Area`, `Celular`, `correo`) VALUES ('204','79793117','JHON ALVARO PEREZ CRUZ','Dirección de Estructuracion de Proyectos','3504147600','jhon.perez@habitatbogota.gov.co');</v>
      </c>
    </row>
    <row r="212" spans="1:7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>
        <v>3103201521</v>
      </c>
      <c r="F212" s="8" t="s">
        <v>785</v>
      </c>
      <c r="G212" t="str">
        <f t="shared" si="7"/>
        <v>INSERT INTO `parqueadero`.`conductor` (`Oid`, `IdConductor`, `Nombre`, `Area`, `Celular`, `correo`) VALUES ('205','1020716220','JIMENA DACHIARDI CASTRO','Despacho','3103201521','jimena.dachiardi@habitatbogota.gov.co');</v>
      </c>
    </row>
    <row r="213" spans="1:7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>
        <v>3118556165</v>
      </c>
      <c r="F213" s="8" t="s">
        <v>505</v>
      </c>
      <c r="G213" t="str">
        <f t="shared" si="7"/>
        <v>INSERT INTO `parqueadero`.`conductor` (`Oid`, `IdConductor`, `Nombre`, `Area`, `Celular`, `correo`) VALUES ('206','80723272','JOHN ALBERTO MARTINEZ VARGAS','Dirección de Financiación de Vivienda','3118556165','john.martinezv@habitatbogota.gov.co');</v>
      </c>
    </row>
    <row r="214" spans="1:7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6">
        <v>3902662039</v>
      </c>
      <c r="F214" s="8" t="s">
        <v>1581</v>
      </c>
      <c r="G214" t="str">
        <f t="shared" si="7"/>
        <v>INSERT INTO `parqueadero`.`conductor` (`Oid`, `IdConductor`, `Nombre`, `Area`, `Celular`, `correo`) VALUES ('207','80047722','JOHN ALEXANDER CARDENAS MANCIPE ','Despacho','3902662039','john.cardenas@habitatbogota.gov.co');</v>
      </c>
    </row>
    <row r="215" spans="1:7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>
        <v>3005305868</v>
      </c>
      <c r="F215" s="8" t="s">
        <v>264</v>
      </c>
      <c r="G215" t="str">
        <f t="shared" si="7"/>
        <v>INSERT INTO `parqueadero`.`conductor` (`Oid`, `IdConductor`, `Nombre`, `Area`, `Celular`, `correo`) VALUES ('208','79646925','JOHN ALEXANDER CORREDOR FONSECA','Dirección de Apoyo a la Contrucción','3005305868','john.corredor@habitatbogota.gov.co');</v>
      </c>
    </row>
    <row r="216" spans="1:7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13">
        <v>3154213826</v>
      </c>
      <c r="F216" s="8" t="s">
        <v>1879</v>
      </c>
      <c r="G216" t="str">
        <f t="shared" si="7"/>
        <v>INSERT INTO `parqueadero`.`conductor` (`Oid`, `IdConductor`, `Nombre`, `Area`, `Celular`, `correo`) VALUES ('209','79737327','JOHN FREDY VÁSQUEZ MORENO','Dirección de Financiación de Vivienda','3154213826','john.vasquez@habitatbogota.gov.co');</v>
      </c>
    </row>
    <row r="217" spans="1:7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6">
        <v>3118221968</v>
      </c>
      <c r="F217" s="8" t="s">
        <v>402</v>
      </c>
      <c r="G217" t="str">
        <f t="shared" si="7"/>
        <v>INSERT INTO `parqueadero`.`conductor` (`Oid`, `IdConductor`, `Nombre`, `Area`, `Celular`, `correo`) VALUES ('210','1032433866','JOHN HENRY RAMIREZ RAMIREZ','Oficina de Tecnología y Transformación Digital','3118221968','john.ramirezr@habitatbogota.gov.co');</v>
      </c>
    </row>
    <row r="218" spans="1:7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17">
        <v>3507072865</v>
      </c>
      <c r="F218" s="8" t="s">
        <v>460</v>
      </c>
      <c r="G218" t="str">
        <f t="shared" si="7"/>
        <v>INSERT INTO `parqueadero`.`conductor` (`Oid`, `IdConductor`, `Nombre`, `Area`, `Celular`, `correo`) VALUES ('211','1032405392','JOHN JAVIER TORRES PAVA','Dirección de Investigaciones y Control de Vivienda','3507072865','john.torres@habitatbogota.gov.co');</v>
      </c>
    </row>
    <row r="219" spans="1:7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>
        <v>3163575233</v>
      </c>
      <c r="F219" s="8" t="s">
        <v>1130</v>
      </c>
      <c r="G219" t="str">
        <f t="shared" si="7"/>
        <v>INSERT INTO `parqueadero`.`conductor` (`Oid`, `IdConductor`, `Nombre`, `Area`, `Celular`, `correo`) VALUES ('212','79867042','JOHNN FREDDY VARGAS BRICEÑO ','Dirección Administrativa','3163575233','johnn.vargas@habitatbogota.gov.co');</v>
      </c>
    </row>
    <row r="220" spans="1:7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>
        <v>3222171182</v>
      </c>
      <c r="F220" s="8" t="s">
        <v>1917</v>
      </c>
      <c r="G220" t="str">
        <f t="shared" si="7"/>
        <v>INSERT INTO `parqueadero`.`conductor` (`Oid`, `IdConductor`, `Nombre`, `Area`, `Celular`, `correo`) VALUES ('213','1233512206','JOHNNY DERANXEL ARANZAZU QUIROGA','Dirección Administrativa','3222171182','deranxel2@gmail.com');</v>
      </c>
    </row>
    <row r="221" spans="1:7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>
        <v>3176435060</v>
      </c>
      <c r="F221" s="8" t="s">
        <v>794</v>
      </c>
      <c r="G221" t="str">
        <f t="shared" si="7"/>
        <v>INSERT INTO `parqueadero`.`conductor` (`Oid`, `IdConductor`, `Nombre`, `Area`, `Celular`, `correo`) VALUES ('214','80060504','JOHNY CUÉLLAR PELAEZ','Dirección de Apoyo a la Contrucción','3176435060','johny.cuellar@habitatbogota.gov.co');</v>
      </c>
    </row>
    <row r="222" spans="1:7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>
        <v>314263028</v>
      </c>
      <c r="F222" s="8" t="s">
        <v>934</v>
      </c>
      <c r="G222" t="str">
        <f t="shared" si="7"/>
        <v>INSERT INTO `parqueadero`.`conductor` (`Oid`, `IdConductor`, `Nombre`, `Area`, `Celular`, `correo`) VALUES ('215','80213841','JORGE ANDRÉS GONZÁLEZ CETINA','Dirección de Financiación de Vivienda','314263028','jorge.gonzalez@habitatbogota.gov.co');</v>
      </c>
    </row>
    <row r="223" spans="1:7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6">
        <v>3125945407</v>
      </c>
      <c r="F223" s="8" t="s">
        <v>1619</v>
      </c>
      <c r="G223" t="str">
        <f t="shared" si="7"/>
        <v>INSERT INTO `parqueadero`.`conductor` (`Oid`, `IdConductor`, `Nombre`, `Area`, `Celular`, `correo`) VALUES ('216','1010196411','JORGE ANDRES MORALES ROMERO','Subsecretaría de Inspección Vigilancia y Control de Vivienda','3125945407','jorge.morales@habitatbogota.gov.co');</v>
      </c>
    </row>
    <row r="224" spans="1:7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>
        <v>3142416752</v>
      </c>
      <c r="F224" s="8" t="s">
        <v>2062</v>
      </c>
      <c r="G224" t="str">
        <f t="shared" si="7"/>
        <v>INSERT INTO `parqueadero`.`conductor` (`Oid`, `IdConductor`, `Nombre`, `Area`, `Celular`, `correo`) VALUES ('217','1118649429','JORGE ANDRÉS RIVEROS TONCÓN','Oficina Asesora de Planeación','3142416752','jorge.riveros@habitatbogota.gov.co');</v>
      </c>
    </row>
    <row r="225" spans="1:7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>
        <v>3118770630</v>
      </c>
      <c r="F225" s="8" t="s">
        <v>1072</v>
      </c>
      <c r="G225" t="str">
        <f t="shared" si="7"/>
        <v>INSERT INTO `parqueadero`.`conductor` (`Oid`, `IdConductor`, `Nombre`, `Area`, `Celular`, `correo`) VALUES ('218','3181809','JORGE ARMANDO MOJICA RODRÍGUEZ ','Dirección de Financiación de Vivienda','3118770630','jorge.mojica@habitatbogota.gov.co');</v>
      </c>
    </row>
    <row r="226" spans="1:7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>
        <v>3017960778</v>
      </c>
      <c r="F226" s="8" t="s">
        <v>1571</v>
      </c>
      <c r="G226" t="str">
        <f t="shared" si="7"/>
        <v>INSERT INTO `parqueadero`.`conductor` (`Oid`, `IdConductor`, `Nombre`, `Area`, `Celular`, `correo`) VALUES ('219','80075631','JORGE IVÁN GARZÓN PINZÓN ','Dirección de Apoyo a la Contrucción','3017960778','jorge.garzon@habitatbogota.gov.co');</v>
      </c>
    </row>
    <row r="227" spans="1:7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>
        <v>3102390866</v>
      </c>
      <c r="F227" s="8" t="s">
        <v>624</v>
      </c>
      <c r="G227" t="str">
        <f t="shared" si="7"/>
        <v>INSERT INTO `parqueadero`.`conductor` (`Oid`, `IdConductor`, `Nombre`, `Area`, `Celular`, `correo`) VALUES ('220','1019104675','JORGE LUIS JIMENEZ PLAZAS','Dirección de Investigaciones y Control de Vivienda','3102390866','jorge.jimenez@habitatbogota.gov.co');</v>
      </c>
    </row>
    <row r="228" spans="1:7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>
        <v>3118086859</v>
      </c>
      <c r="F228" s="8" t="s">
        <v>1469</v>
      </c>
      <c r="G228" t="str">
        <f t="shared" si="7"/>
        <v>INSERT INTO `parqueadero`.`conductor` (`Oid`, `IdConductor`, `Nombre`, `Area`, `Celular`, `correo`) VALUES ('221','1015442158','JOSE ALEJANDRO CUERVO RODRÍGUEZ ','Dirección de Mejoramiento Habitacional','3118086859','jose.cuervo@habitatbogota.gov.co');</v>
      </c>
    </row>
    <row r="229" spans="1:7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6">
        <v>3103097228</v>
      </c>
      <c r="F229" s="8" t="s">
        <v>1984</v>
      </c>
      <c r="G229" t="str">
        <f t="shared" si="7"/>
        <v>INSERT INTO `parqueadero`.`conductor` (`Oid`, `IdConductor`, `Nombre`, `Area`, `Celular`, `correo`) VALUES ('222','79786845','JOSÉ ALEJANDRO SUÁREZ ÁLVAREZ','Dirección de Hábitat y Entorno','3103097228','jose.suarez@habitatbogota.gov.co');</v>
      </c>
    </row>
    <row r="230" spans="1:7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17">
        <v>3102659301</v>
      </c>
      <c r="F230" s="8" t="s">
        <v>869</v>
      </c>
      <c r="G230" t="str">
        <f t="shared" si="7"/>
        <v>INSERT INTO `parqueadero`.`conductor` (`Oid`, `IdConductor`, `Nombre`, `Area`, `Celular`, `correo`) VALUES ('223','80239647','JOSE ALEXANDER MORENO PAEZ','Subsecretaría Corporativa','3102659301','jose.moreno@habitatbogota.gov.co');</v>
      </c>
    </row>
    <row r="231" spans="1:7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>
        <v>3124473029</v>
      </c>
      <c r="F231" s="8" t="s">
        <v>2059</v>
      </c>
      <c r="G231" t="str">
        <f t="shared" si="7"/>
        <v>INSERT INTO `parqueadero`.`conductor` (`Oid`, `IdConductor`, `Nombre`, `Area`, `Celular`, `correo`) VALUES ('224','13499548','JOSÉ ALFONSO GRANADOS SANTOS','Dirección de Investigaciones y Control de Vivienda','3124473029','jose.granados@habitatbogota.gov.co');</v>
      </c>
    </row>
    <row r="232" spans="1:7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>
        <v>3124177877</v>
      </c>
      <c r="F232" s="8" t="s">
        <v>1697</v>
      </c>
      <c r="G232" t="str">
        <f t="shared" si="7"/>
        <v>INSERT INTO `parqueadero`.`conductor` (`Oid`, `IdConductor`, `Nombre`, `Area`, `Celular`, `correo`) VALUES ('225','19272805','JOSÉ BENITO INFANTE QUEVEDO','Contraloría de Bogotá','3124177877','jinfante@contraloriabogota.gov.co');</v>
      </c>
    </row>
    <row r="233" spans="1:7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13">
        <v>3225125023</v>
      </c>
      <c r="F233" s="8" t="s">
        <v>1835</v>
      </c>
      <c r="G233" t="str">
        <f t="shared" si="7"/>
        <v>INSERT INTO `parqueadero`.`conductor` (`Oid`, `IdConductor`, `Nombre`, `Area`, `Celular`, `correo`) VALUES ('226','80791247','JOSÉ DARWIN SALGUINO VÉLEZ','Dirección de Estructuracion de Proyectos','3225125023','jose.sanguino@habitatbogota.gov.co');</v>
      </c>
    </row>
    <row r="234" spans="1:7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>
        <v>3178933490</v>
      </c>
      <c r="F234" s="8" t="s">
        <v>1599</v>
      </c>
      <c r="G234" t="str">
        <f t="shared" si="7"/>
        <v>INSERT INTO `parqueadero`.`conductor` (`Oid`, `IdConductor`, `Nombre`, `Area`, `Celular`, `correo`) VALUES ('227','1075624493','JOSE DAVID GOMEZ REYES','Dirección de Financiación de Vivienda','3178933490','jose.gomezr@habitatbogota.gov.co');</v>
      </c>
    </row>
    <row r="235" spans="1:7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>
        <v>3115901496</v>
      </c>
      <c r="F235" s="8" t="s">
        <v>1238</v>
      </c>
      <c r="G235" t="str">
        <f t="shared" si="7"/>
        <v>INSERT INTO `parqueadero`.`conductor` (`Oid`, `IdConductor`, `Nombre`, `Area`, `Celular`, `correo`) VALUES ('228','80755333','JOSE FERNANDO SANCHEZ BORDA','Dirección de Prevención Arrendamiento y Control de Enajenación','3115901496','jose.sanchez@habitatbogota.gov.co');</v>
      </c>
    </row>
    <row r="236" spans="1:7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>
        <v>3118179706</v>
      </c>
      <c r="F236" s="8" t="s">
        <v>529</v>
      </c>
      <c r="G236" t="str">
        <f t="shared" si="7"/>
        <v>INSERT INTO `parqueadero`.`conductor` (`Oid`, `IdConductor`, `Nombre`, `Area`, `Celular`, `correo`) VALUES ('229','1023867746','JOSÉ FRANCK MACHADO MORENO ','Oficina de Participación y Relacionamiento con la Ciudadanía','3118179706','josé.machado@habitatbogota.gov.co');</v>
      </c>
    </row>
    <row r="237" spans="1:7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17">
        <v>3108128412</v>
      </c>
      <c r="F237" s="8" t="s">
        <v>545</v>
      </c>
      <c r="G237" t="str">
        <f t="shared" si="7"/>
        <v>INSERT INTO `parqueadero`.`conductor` (`Oid`, `IdConductor`, `Nombre`, `Area`, `Celular`, `correo`) VALUES ('230','13741047','JOSÉ LUIS AGUILAR CASAS','Dirección de Contratación','3108128412','jose.aguilar@habitatbogota.gov.co');</v>
      </c>
    </row>
    <row r="238" spans="1:7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>
        <v>3015168315</v>
      </c>
      <c r="F238" s="8" t="s">
        <v>412</v>
      </c>
      <c r="G238" t="str">
        <f t="shared" si="7"/>
        <v>INSERT INTO `parqueadero`.`conductor` (`Oid`, `IdConductor`, `Nombre`, `Area`, `Celular`, `correo`) VALUES ('231','1106892760','JOSE LUIS DAZA PEREZ','Oficina de Tecnología y Transformación Digital','3015168315','jose.daza@habitatbogota.gov.co');</v>
      </c>
    </row>
    <row r="239" spans="1:7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6">
        <v>3124932667</v>
      </c>
      <c r="F239" s="8" t="s">
        <v>1369</v>
      </c>
      <c r="G239" t="str">
        <f t="shared" si="7"/>
        <v>INSERT INTO `parqueadero`.`conductor` (`Oid`, `IdConductor`, `Nombre`, `Area`, `Celular`, `correo`) VALUES ('232','19494499','JOSE MAURICIO ILLERA REYES','Dirección de Hábitat y Entorno','3124932667','jose.illera@habitatbogota.gov.co');</v>
      </c>
    </row>
    <row r="240" spans="1:7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>
        <v>3005566126</v>
      </c>
      <c r="F240" s="8" t="s">
        <v>1638</v>
      </c>
      <c r="G240" t="str">
        <f t="shared" si="7"/>
        <v>INSERT INTO `parqueadero`.`conductor` (`Oid`, `IdConductor`, `Nombre`, `Area`, `Celular`, `correo`) VALUES ('233','79507738','JOSE MIGUEL BARRERA GRANADOS','Dirección de Mejoramiento Habitacional','3005566126','jose.barrera@habitatbogota.gov.co');</v>
      </c>
    </row>
    <row r="241" spans="1:7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6">
        <v>3192975840</v>
      </c>
      <c r="F241" s="8" t="s">
        <v>1738</v>
      </c>
      <c r="G241" t="str">
        <f t="shared" si="7"/>
        <v>INSERT INTO `parqueadero`.`conductor` (`Oid`, `IdConductor`, `Nombre`, `Area`, `Celular`, `correo`) VALUES ('234','79923325','JOSÉ MOISES CETINA TALADICHE','Oficina de Tecnología y Transformación Digital','3192975840','jose.cetina@habitatbogota.gov.co');</v>
      </c>
    </row>
    <row r="242" spans="1:7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>
        <v>3168346153</v>
      </c>
      <c r="F242" s="8" t="s">
        <v>954</v>
      </c>
      <c r="G242" t="str">
        <f t="shared" si="7"/>
        <v>INSERT INTO `parqueadero`.`conductor` (`Oid`, `IdConductor`, `Nombre`, `Area`, `Celular`, `correo`) VALUES ('235','13745497','JOSE PABLO RUEDA SERRANO','Dirección de Financiación de Vivienda','3168346153','jose.rueda@habitatbogota.gov.co');</v>
      </c>
    </row>
    <row r="243" spans="1:7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>
        <v>3132375796</v>
      </c>
      <c r="F243" s="8" t="s">
        <v>1268</v>
      </c>
      <c r="G243" t="str">
        <f t="shared" si="7"/>
        <v>INSERT INTO `parqueadero`.`conductor` (`Oid`, `IdConductor`, `Nombre`, `Area`, `Celular`, `correo`) VALUES ('236','79637566','JOSÉ REINELIO MARÍN BETANCUR','Gestión Documental','3132375796','correspondenciasdht@habitatbogota.gov.co');</v>
      </c>
    </row>
    <row r="244" spans="1:7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>
        <v>3102507006</v>
      </c>
      <c r="F244" s="8" t="s">
        <v>2042</v>
      </c>
      <c r="G244" t="str">
        <f t="shared" si="7"/>
        <v>INSERT INTO `parqueadero`.`conductor` (`Oid`, `IdConductor`, `Nombre`, `Area`, `Celular`, `correo`) VALUES ('237','1018493388','JOSHUA MURILLO CUBEROS','Oficina de Participación y Relacionamiento con la Ciudadanía','3102507006','joshua.murillo@habitatbogota.gov.co');</v>
      </c>
    </row>
    <row r="245" spans="1:7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>
        <v>3208448671</v>
      </c>
      <c r="F245" s="8" t="s">
        <v>1721</v>
      </c>
      <c r="G245" t="str">
        <f t="shared" si="7"/>
        <v>INSERT INTO `parqueadero`.`conductor` (`Oid`, `IdConductor`, `Nombre`, `Area`, `Celular`, `correo`) VALUES ('238','79690499','JUAN ALBERTO RAMÍREZ RAMÍREZ','Dirección de Mejoramiento Habitacional','3208448671','juan.ramirezra@habitatbogota.gov.co');</v>
      </c>
    </row>
    <row r="246" spans="1:7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17">
        <v>3124369221</v>
      </c>
      <c r="F246" s="8" t="s">
        <v>1224</v>
      </c>
      <c r="G246" t="str">
        <f t="shared" si="7"/>
        <v>INSERT INTO `parqueadero`.`conductor` (`Oid`, `IdConductor`, `Nombre`, `Area`, `Celular`, `correo`) VALUES ('239','1012383494','JUAN ANDRES GONZALEZ MENDOZA','Dirección de Mejoramiento Habitacional','3124369221','juan.gonzalezm@habitatbogota.gov.co');</v>
      </c>
    </row>
    <row r="247" spans="1:7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>
        <v>3183881512</v>
      </c>
      <c r="F247" s="8" t="s">
        <v>169</v>
      </c>
      <c r="G247" t="str">
        <f t="shared" si="7"/>
        <v>INSERT INTO `parqueadero`.`conductor` (`Oid`, `IdConductor`, `Nombre`, `Area`, `Celular`, `correo`) VALUES ('240','1057593307','JUAN CAMILO CASTAÑEDA SANDOVAL','Dirección Financiera','3183881512','juan.castanedas@habitatbogota.gov.co');</v>
      </c>
    </row>
    <row r="248" spans="1:7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>
        <v>3153923570</v>
      </c>
      <c r="F248" s="8" t="s">
        <v>185</v>
      </c>
      <c r="G248" t="str">
        <f t="shared" si="7"/>
        <v>INSERT INTO `parqueadero`.`conductor` (`Oid`, `IdConductor`, `Nombre`, `Area`, `Celular`, `correo`) VALUES ('241','1018402818','JUAN CAMILO MOYA PATIÑO','Subsecretaría de Intervenciones Integrales','3153923570','juan.moya@habitatbogota.gov.co');</v>
      </c>
    </row>
    <row r="249" spans="1:7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>
        <v>3125349131</v>
      </c>
      <c r="F249" s="8" t="s">
        <v>515</v>
      </c>
      <c r="G249" t="str">
        <f t="shared" si="7"/>
        <v>INSERT INTO `parqueadero`.`conductor` (`Oid`, `IdConductor`, `Nombre`, `Area`, `Celular`, `correo`) VALUES ('242','11204191','JUAN CARLOS CASTILLO QUINTANA ','Oficina de Participación y Relacionamiento con la Ciudadanía','3125349131','juan.castillo@habitatbogota.gov.co');</v>
      </c>
    </row>
    <row r="250" spans="1:7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>
        <v>3002067716</v>
      </c>
      <c r="F250" s="8" t="s">
        <v>279</v>
      </c>
      <c r="G250" t="str">
        <f t="shared" si="7"/>
        <v>INSERT INTO `parqueadero`.`conductor` (`Oid`, `IdConductor`, `Nombre`, `Area`, `Celular`, `correo`) VALUES ('243','10270105','JUAN CARLOS HOYOS RODRIGUEZ','Dirección de Investigaciones y Control de Vivienda','3002067716','juan.hoyosro@habitatbogota.gov.co');</v>
      </c>
    </row>
    <row r="251" spans="1:7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6">
        <v>3162263936</v>
      </c>
      <c r="F251" s="8" t="s">
        <v>475</v>
      </c>
      <c r="G251" t="str">
        <f t="shared" si="7"/>
        <v>INSERT INTO `parqueadero`.`conductor` (`Oid`, `IdConductor`, `Nombre`, `Area`, `Celular`, `correo`) VALUES ('244','79754530','JUAN CARLOS LOZANO MAHECHA ','Dirección de Gestión de Suelo','3162263936','juan.lozano@habitatbogota.gov.co');</v>
      </c>
    </row>
    <row r="252" spans="1:7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6">
        <v>3003093074</v>
      </c>
      <c r="F252" s="8" t="s">
        <v>719</v>
      </c>
      <c r="G252" t="str">
        <f t="shared" si="7"/>
        <v>INSERT INTO `parqueadero`.`conductor` (`Oid`, `IdConductor`, `Nombre`, `Area`, `Celular`, `correo`) VALUES ('245','11204730','JUAN CARLOS TORRES','Dirección de Servicios Públicos','3003093074','juanc.torres@habitatbogota.gov.co');</v>
      </c>
    </row>
    <row r="253" spans="1:7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>
        <v>3112816837</v>
      </c>
      <c r="F253" s="8" t="s">
        <v>838</v>
      </c>
      <c r="G253" t="str">
        <f t="shared" si="7"/>
        <v>INSERT INTO `parqueadero`.`conductor` (`Oid`, `IdConductor`, `Nombre`, `Area`, `Celular`, `correo`) VALUES ('246','79798056','JUAN CARLOS TORRES BAUTISTA','Oficina Asesora de Comunicaciones','3112816837','juan.torresb@habitatbogota.gov.co');</v>
      </c>
    </row>
    <row r="254" spans="1:7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17">
        <v>3017541019</v>
      </c>
      <c r="F254" s="8" t="s">
        <v>1086</v>
      </c>
      <c r="G254" t="str">
        <f t="shared" si="7"/>
        <v>INSERT INTO `parqueadero`.`conductor` (`Oid`, `IdConductor`, `Nombre`, `Area`, `Celular`, `correo`) VALUES ('247','1140821506','JUAN DAVID GUZMAN RIVERA','Dirección de Prevención Arrendamiento y Control de Enajenación','3017541019','juan.guzman@habitatbogota.gov.co');</v>
      </c>
    </row>
    <row r="255" spans="1:7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>
        <v>3046732889</v>
      </c>
      <c r="F255" s="8" t="s">
        <v>1789</v>
      </c>
      <c r="G255" t="str">
        <f t="shared" si="7"/>
        <v>INSERT INTO `parqueadero`.`conductor` (`Oid`, `IdConductor`, `Nombre`, `Area`, `Celular`, `correo`) VALUES ('248','1015407149','JUAN DAVID PULIDO REYES','Dirección de Servicios Públicos','3046732889','juan.pulido@habitatbogota.gov.co');</v>
      </c>
    </row>
    <row r="256" spans="1:7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>
        <v>3107778371</v>
      </c>
      <c r="F256" s="8" t="s">
        <v>2084</v>
      </c>
      <c r="G256" t="str">
        <f t="shared" si="7"/>
        <v>INSERT INTO `parqueadero`.`conductor` (`Oid`, `IdConductor`, `Nombre`, `Area`, `Celular`, `correo`) VALUES ('249','19226003','JUAN FRANCISCO FORERO','Subsecretaría Jurídica','3107778371','juan.forerog@habitatbogota.gov.co');</v>
      </c>
    </row>
    <row r="257" spans="1:7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>
        <v>3187948753</v>
      </c>
      <c r="F257" s="8" t="s">
        <v>817</v>
      </c>
      <c r="G257" t="str">
        <f t="shared" si="7"/>
        <v>INSERT INTO `parqueadero`.`conductor` (`Oid`, `IdConductor`, `Nombre`, `Area`, `Celular`, `correo`) VALUES ('250','1026271116','JUAN JOSÉ CORREDOR CABUYA','Dirección de Investigaciones y Control de Vivienda','3187948753','juan.corredorc@habitatbogota.gov.co');</v>
      </c>
    </row>
    <row r="258" spans="1:7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6">
        <v>3108679091</v>
      </c>
      <c r="F258" s="8" t="s">
        <v>1760</v>
      </c>
      <c r="G258" t="str">
        <f t="shared" si="7"/>
        <v>INSERT INTO `parqueadero`.`conductor` (`Oid`, `IdConductor`, `Nombre`, `Area`, `Celular`, `correo`) VALUES ('251','94486941','JUAN MANUEL CAICEDO CARDONA','Despacho','3108679091','juan.caicedo@habitatbogota.gov.co');</v>
      </c>
    </row>
    <row r="259" spans="1:7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6">
        <v>3168764102</v>
      </c>
      <c r="F259" s="8" t="s">
        <v>1373</v>
      </c>
      <c r="G259" t="str">
        <f t="shared" si="7"/>
        <v>INSERT INTO `parqueadero`.`conductor` (`Oid`, `IdConductor`, `Nombre`, `Area`, `Celular`, `correo`) VALUES ('252','1030579761','JUAN PABLO ESCOBAR ROA','Oficina de Tecnología y Transformación Digital','3168764102','juan.escobar@habitatbogota.gov.co');</v>
      </c>
    </row>
    <row r="260" spans="1:7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13">
        <v>3204810462</v>
      </c>
      <c r="F260" s="8" t="s">
        <v>1904</v>
      </c>
      <c r="G260" t="str">
        <f t="shared" si="7"/>
        <v>INSERT INTO `parqueadero`.`conductor` (`Oid`, `IdConductor`, `Nombre`, `Area`, `Celular`, `correo`) VALUES ('253','1000522089','JUAN PABLO LOBO LÓPEZ','Dirección de Contratación','3204810462','juan.lobo@habitatbogota.gov.co');</v>
      </c>
    </row>
    <row r="261" spans="1:7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>
        <v>3202098175</v>
      </c>
      <c r="F261" s="8" t="s">
        <v>1417</v>
      </c>
      <c r="G261" t="str">
        <f t="shared" si="7"/>
        <v>INSERT INTO `parqueadero`.`conductor` (`Oid`, `IdConductor`, `Nombre`, `Area`, `Celular`, `correo`) VALUES ('254','80197126','JUAN PABLO RUBIO SGUERRA','Oficina de Participación y Relacionamiento con la Ciudadanía','3202098175','juan.rubio@habitatbogota.gov.co');</v>
      </c>
    </row>
    <row r="262" spans="1:7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>
        <v>3006658901</v>
      </c>
      <c r="F262" s="8" t="s">
        <v>1744</v>
      </c>
      <c r="G262" t="str">
        <f t="shared" si="7"/>
        <v>INSERT INTO `parqueadero`.`conductor` (`Oid`, `IdConductor`, `Nombre`, `Area`, `Celular`, `correo`) VALUES ('255','79792606','JUAN PABLO VÁSQUES LINARES','Dirección de Prevención Arrendamiento y Control de Enajenación','3006658901','juanpablo.vasques@gmail.com');</v>
      </c>
    </row>
    <row r="263" spans="1:7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>
        <v>3163210299</v>
      </c>
      <c r="F263" s="8" t="s">
        <v>1362</v>
      </c>
      <c r="G263" t="str">
        <f t="shared" si="7"/>
        <v>INSERT INTO `parqueadero`.`conductor` (`Oid`, `IdConductor`, `Nombre`, `Area`, `Celular`, `correo`) VALUES ('256','1016019711','JULIAN ALEXANDER ZAMBRANO DIAZ ','Dirección de Prevención Arrendamiento y Control de Enajenación','3163210299','julianzambranodiaz@gmail.com');</v>
      </c>
    </row>
    <row r="264" spans="1:7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>
        <v>3004842838</v>
      </c>
      <c r="F264" s="8" t="s">
        <v>669</v>
      </c>
      <c r="G264" t="str">
        <f t="shared" ref="G264:G327" si="9">CONCATENATE("INSERT INTO `parqueadero`.`conductor` (`",$A$7,"`, `",$B$7,"`, `",$C$7,"`, `",$D$7,"`, `",$E$7,"`, `",$F$7,"`) VALUES ('",A264,"','",B264,"','",C264,"','",D264,"','",E264,"','",F264,"');" )</f>
        <v>INSERT INTO `parqueadero`.`conductor` (`Oid`, `IdConductor`, `Nombre`, `Area`, `Celular`, `correo`) VALUES ('257','1022356860','JULIÁN DARÍO BONILLA RIOS','Dirección de Apoyo a la Contrucción','3004842838','julian.bonillar@habitatbogota.gov.co');</v>
      </c>
    </row>
    <row r="265" spans="1:7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17">
        <v>3115008521</v>
      </c>
      <c r="F265" s="8" t="s">
        <v>980</v>
      </c>
      <c r="G265" t="str">
        <f t="shared" si="9"/>
        <v>INSERT INTO `parqueadero`.`conductor` (`Oid`, `IdConductor`, `Nombre`, `Area`, `Celular`, `correo`) VALUES ('258','1020806493','JULIÁN DAVID CASTRILLÓN UMAÑA','Dirección de Mejoramiento Habitacional','3115008521','julian.castrillon@habitatbogota.gov.co');</v>
      </c>
    </row>
    <row r="266" spans="1:7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>
        <v>3014300439</v>
      </c>
      <c r="F266" s="8" t="s">
        <v>1126</v>
      </c>
      <c r="G266" t="str">
        <f t="shared" si="9"/>
        <v>INSERT INTO `parqueadero`.`conductor` (`Oid`, `IdConductor`, `Nombre`, `Area`, `Celular`, `correo`) VALUES ('259','1110473907','JULIÁN EDUARDO GUZMÁN LEÓN','Dirección de Financiación de Vivienda','3014300439','julian.guzman@habitatbogota.gov.co');</v>
      </c>
    </row>
    <row r="267" spans="1:7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>
        <v>3123789683</v>
      </c>
      <c r="F267" s="8" t="s">
        <v>750</v>
      </c>
      <c r="G267" t="str">
        <f t="shared" si="9"/>
        <v>INSERT INTO `parqueadero`.`conductor` (`Oid`, `IdConductor`, `Nombre`, `Area`, `Celular`, `correo`) VALUES ('260','11433116','JULIAN ERNESTO RODRIGUEZ SIERRA','Dirección de Investigaciones y Control de Vivienda','3123789683','julian.rodriguez@habitatbogota.gov.co');</v>
      </c>
    </row>
    <row r="268" spans="1:7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>
        <v>3008072126</v>
      </c>
      <c r="F268" s="8" t="s">
        <v>1614</v>
      </c>
      <c r="G268" t="str">
        <f t="shared" si="9"/>
        <v>INSERT INTO `parqueadero`.`conductor` (`Oid`, `IdConductor`, `Nombre`, `Area`, `Celular`, `correo`) VALUES ('261','1018437843','JULIAN LIEVANO BERNAL','Dirección de Hábitat y Entorno','3008072126','julianlievano@habitatbogota.gov.co');</v>
      </c>
    </row>
    <row r="269" spans="1:7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>
        <v>3229641950</v>
      </c>
      <c r="F269" s="8" t="s">
        <v>1779</v>
      </c>
      <c r="G269" t="str">
        <f t="shared" si="9"/>
        <v>INSERT INTO `parqueadero`.`conductor` (`Oid`, `IdConductor`, `Nombre`, `Area`, `Celular`, `correo`) VALUES ('262','1033698663','JULIET PAOLA MUÑÓZ GÓMEZ','UT Clean Colombia','3229641950','pm6979884@gmail.com');</v>
      </c>
    </row>
    <row r="270" spans="1:7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17">
        <v>3003117175</v>
      </c>
      <c r="F270" s="8" t="s">
        <v>1381</v>
      </c>
      <c r="G270" t="str">
        <f t="shared" si="9"/>
        <v>INSERT INTO `parqueadero`.`conductor` (`Oid`, `IdConductor`, `Nombre`, `Area`, `Celular`, `correo`) VALUES ('263','79290465','JULIO CESAR RAMIREZ LEON','Dirección de Prevención Arrendamiento y Control de Enajenación','3003117175','julio.ramirez@habitatbogota.gov.co');</v>
      </c>
    </row>
    <row r="271" spans="1:7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>
        <v>3013397612</v>
      </c>
      <c r="F271" s="8" t="s">
        <v>480</v>
      </c>
      <c r="G271" t="str">
        <f t="shared" si="9"/>
        <v>INSERT INTO `parqueadero`.`conductor` (`Oid`, `IdConductor`, `Nombre`, `Area`, `Celular`, `correo`) VALUES ('264','53075545','KAREN LORENA GAITAN MEDINA','Dirección de Financiación de Vivienda','3013397612','karen.gaitan@habitatbogota.gov.co');</v>
      </c>
    </row>
    <row r="272" spans="1:7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>
        <v>3006087040</v>
      </c>
      <c r="F272" s="8" t="s">
        <v>909</v>
      </c>
      <c r="G272" t="str">
        <f t="shared" si="9"/>
        <v>INSERT INTO `parqueadero`.`conductor` (`Oid`, `IdConductor`, `Nombre`, `Area`, `Celular`, `correo`) VALUES ('265','1000008186','KAREN TATIANA RINCÓN ROZO','Subsecretaría de Vivienda','3006087040','karen.rrozo28@gmail.com');</v>
      </c>
    </row>
    <row r="273" spans="1:7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>
        <v>3144632678</v>
      </c>
      <c r="F273" s="8" t="s">
        <v>987</v>
      </c>
      <c r="G273" t="str">
        <f t="shared" si="9"/>
        <v>INSERT INTO `parqueadero`.`conductor` (`Oid`, `IdConductor`, `Nombre`, `Area`, `Celular`, `correo`) VALUES ('266','1023893878','KARENT RAMÍREZ BERNAL ','Dirección de Investigaciones y Control de Vivienda','3144632678','karent.ramirez@habitatbogota.gov.co');</v>
      </c>
    </row>
    <row r="274" spans="1:7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>
        <v>3123879339</v>
      </c>
      <c r="F274" s="8" t="s">
        <v>1283</v>
      </c>
      <c r="G274" t="str">
        <f t="shared" si="9"/>
        <v>INSERT INTO `parqueadero`.`conductor` (`Oid`, `IdConductor`, `Nombre`, `Area`, `Celular`, `correo`) VALUES ('267','275407','KARLA IVETTE GÓMEZ HERNÁNDEZ','Dirección de Apoyo a la Contrucción','3123879339','karla.gomez@habitatbogota.gov.co');</v>
      </c>
    </row>
    <row r="275" spans="1:7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6">
        <v>3014130619</v>
      </c>
      <c r="F275" s="8" t="s">
        <v>877</v>
      </c>
      <c r="G275" t="str">
        <f t="shared" si="9"/>
        <v>INSERT INTO `parqueadero`.`conductor` (`Oid`, `IdConductor`, `Nombre`, `Area`, `Celular`, `correo`) VALUES ('268','1010247161','KENNY CATALINA GUEVARA BAQUERO','Dirección de Servicios Públicos','3014130619','kenny.guevara@habitatbogota.gov.co');</v>
      </c>
    </row>
    <row r="276" spans="1:7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>
        <v>3105580024</v>
      </c>
      <c r="F276" s="8" t="s">
        <v>37</v>
      </c>
      <c r="G276" t="str">
        <f t="shared" si="9"/>
        <v>INSERT INTO `parqueadero`.`conductor` (`Oid`, `IdConductor`, `Nombre`, `Area`, `Celular`, `correo`) VALUES ('269','1030545762','LADY CATERINE SUAREZ ARIAS','Oficina Asesora de Planeación','3105580024','lady.suarez@habitatbogota.gov.co');</v>
      </c>
    </row>
    <row r="277" spans="1:7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>
        <v>3214263022</v>
      </c>
      <c r="F277" s="8" t="s">
        <v>747</v>
      </c>
      <c r="G277" t="str">
        <f t="shared" si="9"/>
        <v>INSERT INTO `parqueadero`.`conductor` (`Oid`, `IdConductor`, `Nombre`, `Area`, `Celular`, `correo`) VALUES ('270','67023991','LADY JHOVANNA CANCHINVO VERNY','Subsecretaría de Vivienda','3214263022','lady.canchinvo@habitatbogota.gov.co');</v>
      </c>
    </row>
    <row r="278" spans="1:7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17">
        <v>3176797300</v>
      </c>
      <c r="F278" s="8" t="s">
        <v>541</v>
      </c>
      <c r="G278" t="str">
        <f t="shared" si="9"/>
        <v>INSERT INTO `parqueadero`.`conductor` (`Oid`, `IdConductor`, `Nombre`, `Area`, `Celular`, `correo`) VALUES ('271','1020834737','LAURA ALEJANDRA BARRAGÁN MONTENEGRO','Dirección de Contratación','3176797300','laura.barragan@habitatbogota.gov.co');</v>
      </c>
    </row>
    <row r="279" spans="1:7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>
        <v>3204811196</v>
      </c>
      <c r="F279" s="8" t="s">
        <v>766</v>
      </c>
      <c r="G279" t="str">
        <f t="shared" si="9"/>
        <v>INSERT INTO `parqueadero`.`conductor` (`Oid`, `IdConductor`, `Nombre`, `Area`, `Celular`, `correo`) VALUES ('272','1010206263','LAURA CAMILA DE LA HOZ ','Subsecretaría de Vivienda','3204811196','laura.delahoz@habitatbogota.gov.co');</v>
      </c>
    </row>
    <row r="280" spans="1:7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>
        <v>3012115899</v>
      </c>
      <c r="F280" s="8" t="s">
        <v>1315</v>
      </c>
      <c r="G280" t="str">
        <f t="shared" si="9"/>
        <v>INSERT INTO `parqueadero`.`conductor` (`Oid`, `IdConductor`, `Nombre`, `Area`, `Celular`, `correo`) VALUES ('273','1022399279','LAURA CAMILA ORDUÑA MONCADA','Dirección de Operaciones','3012115899','laura.orduna@habitatbogota.gov.co');</v>
      </c>
    </row>
    <row r="281" spans="1:7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>
        <v>3102740524</v>
      </c>
      <c r="F281" s="8" t="s">
        <v>1765</v>
      </c>
      <c r="G281" t="str">
        <f t="shared" si="9"/>
        <v>INSERT INTO `parqueadero`.`conductor` (`Oid`, `IdConductor`, `Nombre`, `Area`, `Celular`, `correo`) VALUES ('274','1022437241','LAURA CATALINA GÓMEZ LINARES ','Dirección de Hábitat y Entorno','3102740524','gomezlaura.c98@gmail.com');</v>
      </c>
    </row>
    <row r="282" spans="1:7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>
        <v>3012286118</v>
      </c>
      <c r="F282" s="8" t="s">
        <v>484</v>
      </c>
      <c r="G282" t="str">
        <f t="shared" si="9"/>
        <v>INSERT INTO `parqueadero`.`conductor` (`Oid`, `IdConductor`, `Nombre`, `Area`, `Celular`, `correo`) VALUES ('275','1026279388','LAURA CATALINA MARTÍNEZ LÓPEZ ','Dirección Administrativa','3012286118','laura.martinez@habitatbogota.gov.co');</v>
      </c>
    </row>
    <row r="283" spans="1:7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>
        <v>3125877916</v>
      </c>
      <c r="F283" s="8" t="s">
        <v>99</v>
      </c>
      <c r="G283" t="str">
        <f t="shared" si="9"/>
        <v>INSERT INTO `parqueadero`.`conductor` (`Oid`, `IdConductor`, `Nombre`, `Area`, `Celular`, `correo`) VALUES ('276','1020797353','LAURA JULIANA CRUZ BARRERA','Dirección de Operaciones','3125877916','laura.cruz@habitatbogota.gov.co');</v>
      </c>
    </row>
    <row r="284" spans="1:7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>
        <v>3196717980</v>
      </c>
      <c r="F284" s="8" t="s">
        <v>342</v>
      </c>
      <c r="G284" t="str">
        <f t="shared" si="9"/>
        <v>INSERT INTO `parqueadero`.`conductor` (`Oid`, `IdConductor`, `Nombre`, `Area`, `Celular`, `correo`) VALUES ('277','1010244782','LAURA JULIANA SANCHEZ SIACHOQUE','Dirección de Operaciones','3196717980','laura.sanchezs@habitatbogota.gov.co');</v>
      </c>
    </row>
    <row r="285" spans="1:7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>
        <v>3158496892</v>
      </c>
      <c r="F285" s="8" t="s">
        <v>362</v>
      </c>
      <c r="G285" t="str">
        <f t="shared" si="9"/>
        <v>INSERT INTO `parqueadero`.`conductor` (`Oid`, `IdConductor`, `Nombre`, `Area`, `Celular`, `correo`) VALUES ('278','52547327','LAURA MANTILLA VILLA','Dirección de Operaciones','3158496892','laura.mantilla@habitatbogota.gov.co');</v>
      </c>
    </row>
    <row r="286" spans="1:7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6">
        <v>3008281052</v>
      </c>
      <c r="F286" s="8" t="s">
        <v>1530</v>
      </c>
      <c r="G286" t="str">
        <f t="shared" si="9"/>
        <v>INSERT INTO `parqueadero`.`conductor` (`Oid`, `IdConductor`, `Nombre`, `Area`, `Celular`, `correo`) VALUES ('279','52707802','LAURA MARINA GALEANO CASTILLO','Dirección de Servicios Públicos','3008281052','laura.galeano@habitatbogota.gov.co');</v>
      </c>
    </row>
    <row r="287" spans="1:7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6">
        <v>3183795565</v>
      </c>
      <c r="F287" s="8" t="s">
        <v>1031</v>
      </c>
      <c r="G287" t="str">
        <f t="shared" si="9"/>
        <v>INSERT INTO `parqueadero`.`conductor` (`Oid`, `IdConductor`, `Nombre`, `Area`, `Celular`, `correo`) VALUES ('280','1019111965','LAURA ROJAS','Despacho','3183795565','laura.rojasc@habitatbogota.gov.co');</v>
      </c>
    </row>
    <row r="288" spans="1:7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>
        <v>3042217727</v>
      </c>
      <c r="F288" s="8" t="s">
        <v>1040</v>
      </c>
      <c r="G288" t="str">
        <f t="shared" si="9"/>
        <v>INSERT INTO `parqueadero`.`conductor` (`Oid`, `IdConductor`, `Nombre`, `Area`, `Celular`, `correo`) VALUES ('281','1000604330','LAURA VALENTINA ALIPIO PEDREROS','Dirección de Hábitat y Entorno','3042217727','laura.alipio@habitatbogota.gov.co');</v>
      </c>
    </row>
    <row r="289" spans="1:7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>
        <v>3125891253</v>
      </c>
      <c r="F289" s="8" t="s">
        <v>1337</v>
      </c>
      <c r="G289" t="str">
        <f t="shared" si="9"/>
        <v>INSERT INTO `parqueadero`.`conductor` (`Oid`, `IdConductor`, `Nombre`, `Area`, `Celular`, `correo`) VALUES ('282','1018491200','LAURA VALENTINA CAMPOS MONROY','Oficina de Participación y Relacionamiento con la Ciudadanía','3125891253','laura.campos@habitatbogota.gov.co');</v>
      </c>
    </row>
    <row r="290" spans="1:7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>
        <v>3166898811</v>
      </c>
      <c r="F290" s="8" t="s">
        <v>1556</v>
      </c>
      <c r="G290" t="str">
        <f t="shared" si="9"/>
        <v>INSERT INTO `parqueadero`.`conductor` (`Oid`, `IdConductor`, `Nombre`, `Area`, `Celular`, `correo`) VALUES ('283','63560810','LAURA YADIRA ACEVEDO LOPEZ','Dirección de Información de Políticas Públicas','3166898811','laura.acevedo@habitatbogota.gov.co');</v>
      </c>
    </row>
    <row r="291" spans="1:7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>
        <v>3193786568</v>
      </c>
      <c r="F291" s="8" t="s">
        <v>711</v>
      </c>
      <c r="G291" t="str">
        <f t="shared" si="9"/>
        <v>INSERT INTO `parqueadero`.`conductor` (`Oid`, `IdConductor`, `Nombre`, `Area`, `Celular`, `correo`) VALUES ('284','1024496377','LEIDY MARCELA TRUJILLO MATIZ ','Dirección de Operaciones','3193786568','leidy.trujillo@habitatbogota.gov.co');</v>
      </c>
    </row>
    <row r="292" spans="1:7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>
        <v>3023851942</v>
      </c>
      <c r="F292" s="8" t="s">
        <v>1357</v>
      </c>
      <c r="G292" t="str">
        <f t="shared" si="9"/>
        <v>INSERT INTO `parqueadero`.`conductor` (`Oid`, `IdConductor`, `Nombre`, `Area`, `Celular`, `correo`) VALUES ('285','1014261209','LEIDY MILENA MONTAÑA GUTIERREZ','Subsecretaría de Intervenciones Integrales','3023851942','leidy.montana@habitatbogota.gov.co');</v>
      </c>
    </row>
    <row r="293" spans="1:7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>
        <v>3024705162</v>
      </c>
      <c r="F293" s="8" t="s">
        <v>1268</v>
      </c>
      <c r="G293" t="str">
        <f t="shared" si="9"/>
        <v>INSERT INTO `parqueadero`.`conductor` (`Oid`, `IdConductor`, `Nombre`, `Area`, `Celular`, `correo`) VALUES ('286','1018428215','LEONARDO GOMEZ ROSAS','Gestión Documental','3024705162','correspondenciasdht@habitatbogota.gov.co');</v>
      </c>
    </row>
    <row r="294" spans="1:7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>
        <v>3015595583</v>
      </c>
      <c r="F294" s="8" t="s">
        <v>997</v>
      </c>
      <c r="G294" t="str">
        <f t="shared" si="9"/>
        <v>INSERT INTO `parqueadero`.`conductor` (`Oid`, `IdConductor`, `Nombre`, `Area`, `Celular`, `correo`) VALUES ('287','1078347237','LEYDI ROCIO AYALA CAMARGO ','Dirección de Financiación de Vivienda','3015595583','leydi.ayala@habitatbogota.gov.co');</v>
      </c>
    </row>
    <row r="295" spans="1:7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>
        <v>3214141813</v>
      </c>
      <c r="F295" s="8" t="s">
        <v>620</v>
      </c>
      <c r="G295" t="str">
        <f t="shared" si="9"/>
        <v>INSERT INTO `parqueadero`.`conductor` (`Oid`, `IdConductor`, `Nombre`, `Area`, `Celular`, `correo`) VALUES ('288','53047446','LILIANA MARCELA BASTO ZABALA','Subsecretaría de Vivienda','3214141813','liliana.basto@habitatbogota.gov.co');</v>
      </c>
    </row>
    <row r="296" spans="1:7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3">
        <v>3102953413</v>
      </c>
      <c r="F296" s="8" t="s">
        <v>1806</v>
      </c>
      <c r="G296" t="str">
        <f t="shared" si="9"/>
        <v>INSERT INTO `parqueadero`.`conductor` (`Oid`, `IdConductor`, `Nombre`, `Area`, `Celular`, `correo`) VALUES ('289','52181754','LIZA PAOLA GRUESSO CELY','Dirección de Servicios Públicos','3102953413','liza.gruesso@habitatbogota.gov.co');</v>
      </c>
    </row>
    <row r="297" spans="1:7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>
        <v>3145019361</v>
      </c>
      <c r="F297" s="8" t="s">
        <v>1403</v>
      </c>
      <c r="G297" t="str">
        <f t="shared" si="9"/>
        <v>INSERT INTO `parqueadero`.`conductor` (`Oid`, `IdConductor`, `Nombre`, `Area`, `Celular`, `correo`) VALUES ('290','1069078793','LIZETH KATHERINE BERMÚDEZ GÓMEZ ','Dirección de Operaciones','3145019361','lizeth.bermudez@habitatbogota.gov.co');</v>
      </c>
    </row>
    <row r="298" spans="1:7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>
        <v>3014965324</v>
      </c>
      <c r="F298" s="8" t="s">
        <v>2052</v>
      </c>
      <c r="G298" t="str">
        <f t="shared" si="9"/>
        <v>INSERT INTO `parqueadero`.`conductor` (`Oid`, `IdConductor`, `Nombre`, `Area`, `Celular`, `correo`) VALUES ('291','1026273797','LIZETH XIMENA RINCÓN PRIETO','Subsecretaría de Inspección Vigilancia y Control de Vivienda','3014965324','lizeth.rincon@habitatbogota.gov.co');</v>
      </c>
    </row>
    <row r="299" spans="1:7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17">
        <v>3202239548</v>
      </c>
      <c r="F299" s="8" t="s">
        <v>229</v>
      </c>
      <c r="G299" t="str">
        <f t="shared" si="9"/>
        <v>INSERT INTO `parqueadero`.`conductor` (`Oid`, `IdConductor`, `Nombre`, `Area`, `Celular`, `correo`) VALUES ('292','1014191355','LORENA CAJAMARCA GALEANO','Subsecretaría de Inspección Vigilancia y Control de Vivienda','3202239548','lorena.cajamarca@habitatbogota.gov.co');</v>
      </c>
    </row>
    <row r="300" spans="1:7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>
        <v>3112277645</v>
      </c>
      <c r="F300" s="8" t="s">
        <v>1189</v>
      </c>
      <c r="G300" t="str">
        <f t="shared" si="9"/>
        <v>INSERT INTO `parqueadero`.`conductor` (`Oid`, `IdConductor`, `Nombre`, `Area`, `Celular`, `correo`) VALUES ('293','19366198','LUIS ALBERTO RODRÍGUEZ PUERTO','Dirección de Apoyo a la Contrucción','3112277645','luis.rodriguez@habitatbogota.gov.co');</v>
      </c>
    </row>
    <row r="301" spans="1:7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>
        <v>3015403942</v>
      </c>
      <c r="F301" s="8" t="s">
        <v>576</v>
      </c>
      <c r="G301" t="str">
        <f t="shared" si="9"/>
        <v>INSERT INTO `parqueadero`.`conductor` (`Oid`, `IdConductor`, `Nombre`, `Area`, `Celular`, `correo`) VALUES ('294','79938373','LUIS ALEJANDRO FAJARDO RAMIREZ','Dirección de Apoyo a la Contrucción','3015403942','luis.fajardo@habitatbogota.gov.co');</v>
      </c>
    </row>
    <row r="302" spans="1:7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>
        <v>3125860568</v>
      </c>
      <c r="F302" s="8" t="s">
        <v>928</v>
      </c>
      <c r="G302" t="str">
        <f t="shared" si="9"/>
        <v>INSERT INTO `parqueadero`.`conductor` (`Oid`, `IdConductor`, `Nombre`, `Area`, `Celular`, `correo`) VALUES ('295','79881307','LUIS ANDRÉS PEDRAZA GORDO','Dirección de Investigaciones y Control de Vivienda','3125860568','luis.pedraza@habitatbogota.gov.co');</v>
      </c>
    </row>
    <row r="303" spans="1:7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>
        <v>3105680410</v>
      </c>
      <c r="F303" s="8" t="s">
        <v>853</v>
      </c>
      <c r="G303" t="str">
        <f t="shared" si="9"/>
        <v>INSERT INTO `parqueadero`.`conductor` (`Oid`, `IdConductor`, `Nombre`, `Area`, `Celular`, `correo`) VALUES ('296','6769668','LUIS ANTONIO SARMIENTO MELO','Dirección de Financiación de Vivienda','3105680410','luis.sarmiento@habitatbogota.gov.co');</v>
      </c>
    </row>
    <row r="304" spans="1:7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>
        <v>3013564276</v>
      </c>
      <c r="F304" s="8" t="s">
        <v>1449</v>
      </c>
      <c r="G304" t="str">
        <f t="shared" si="9"/>
        <v>INSERT INTO `parqueadero`.`conductor` (`Oid`, `IdConductor`, `Nombre`, `Area`, `Celular`, `correo`) VALUES ('297','79385393','LUIS EFREN CORTES BELTRAN','Dirección Administrativa','3013564276','luis.cortes@habitatbogota.gov.co');</v>
      </c>
    </row>
    <row r="305" spans="1:7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>
        <v>3016863440</v>
      </c>
      <c r="F305" s="8" t="s">
        <v>2066</v>
      </c>
      <c r="G305" t="str">
        <f t="shared" si="9"/>
        <v>INSERT INTO `parqueadero`.`conductor` (`Oid`, `IdConductor`, `Nombre`, `Area`, `Celular`, `correo`) VALUES ('298','1140882040','LUIS EMIRO MAESTRE DE LA ESPRIELLA','Dirección de Contratación','3016863440','luis.maestre@habitatbogota.gov.co');</v>
      </c>
    </row>
    <row r="306" spans="1:7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>
        <v>3334004194</v>
      </c>
      <c r="F306" s="8" t="s">
        <v>1261</v>
      </c>
      <c r="G306" t="str">
        <f t="shared" si="9"/>
        <v>INSERT INTO `parqueadero`.`conductor` (`Oid`, `IdConductor`, `Nombre`, `Area`, `Celular`, `correo`) VALUES ('299','1010243381','LUIS FELIPE CARMONA MORENO','Dirección de Operaciones','3334004194','luis.carmona@habitatbogota.gov.co');</v>
      </c>
    </row>
    <row r="307" spans="1:7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>
        <v>3112350620</v>
      </c>
      <c r="F307" s="8" t="s">
        <v>834</v>
      </c>
      <c r="G307" t="str">
        <f t="shared" si="9"/>
        <v>INSERT INTO `parqueadero`.`conductor` (`Oid`, `IdConductor`, `Nombre`, `Area`, `Celular`, `correo`) VALUES ('300','1030579980','LUIS FELIPE TAMARA RENZA','Dirección de Estructuracion de Proyectos','3112350620','luis.tamara@habitatbogota.gov.co');</v>
      </c>
    </row>
    <row r="308" spans="1:7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>
        <v>3112896785</v>
      </c>
      <c r="F308" s="8" t="s">
        <v>1213</v>
      </c>
      <c r="G308" t="str">
        <f t="shared" si="9"/>
        <v>INSERT INTO `parqueadero`.`conductor` (`Oid`, `IdConductor`, `Nombre`, `Area`, `Celular`, `correo`) VALUES ('301','1015399199','LUIS FERNANDO HOLGUIN SUAREZ','Subsecretaría de Inspección Vigilancia y Control de Vivienda','3112896785','luis.holguin@habitatbogota.gov.co');</v>
      </c>
    </row>
    <row r="309" spans="1:7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13">
        <v>3125294122</v>
      </c>
      <c r="F309" s="8" t="s">
        <v>1819</v>
      </c>
      <c r="G309" t="str">
        <f t="shared" si="9"/>
        <v>INSERT INTO `parqueadero`.`conductor` (`Oid`, `IdConductor`, `Nombre`, `Area`, `Celular`, `correo`) VALUES ('302','7225361','LUÍS GONZALO LÓPEZ CAMARGO','Dirección de Prevención Arrendamiento y Control de Enajenación','3125294122','luis.lopez@habitatbogota.gov.co');</v>
      </c>
    </row>
    <row r="310" spans="1:7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>
        <v>3002063453</v>
      </c>
      <c r="F310" s="8" t="s">
        <v>1460</v>
      </c>
      <c r="G310" t="str">
        <f t="shared" si="9"/>
        <v>INSERT INTO `parqueadero`.`conductor` (`Oid`, `IdConductor`, `Nombre`, `Area`, `Celular`, `correo`) VALUES ('303','79941715','LUIS HORACIO URQUIJO ADÁRRAGA ','Dirección de Mejoramiento Habitacional','3002063453','luis.urquijoa@habitatbogota.gov.co');</v>
      </c>
    </row>
    <row r="311" spans="1:7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>
        <v>3133871937</v>
      </c>
      <c r="F311" s="8" t="s">
        <v>284</v>
      </c>
      <c r="G311" t="str">
        <f t="shared" si="9"/>
        <v>INSERT INTO `parqueadero`.`conductor` (`Oid`, `IdConductor`, `Nombre`, `Area`, `Celular`, `correo`) VALUES ('304','52710323','LUISA FERNANDA AREVALO SANABRIA','Oficina Asesora de Planeación','3133871937','luisa.arevalo@habitatbogota.gov.co');</v>
      </c>
    </row>
    <row r="312" spans="1:7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>
        <v>3013244204</v>
      </c>
      <c r="F312" s="8" t="s">
        <v>407</v>
      </c>
      <c r="G312" t="str">
        <f t="shared" si="9"/>
        <v>INSERT INTO `parqueadero`.`conductor` (`Oid`, `IdConductor`, `Nombre`, `Area`, `Celular`, `correo`) VALUES ('305','1014255328','LUISA FERNANDA MORENO LOMBANA','Subsecretaría de Intervenciones Integrales','3013244204','luisa.moreno@habitatbogota.gov.co');</v>
      </c>
    </row>
    <row r="313" spans="1:7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>
        <v>3106664184</v>
      </c>
      <c r="F313" s="8" t="s">
        <v>89</v>
      </c>
      <c r="G313" t="str">
        <f t="shared" si="9"/>
        <v>INSERT INTO `parqueadero`.`conductor` (`Oid`, `IdConductor`, `Nombre`, `Area`, `Celular`, `correo`) VALUES ('306','1010222069','LUISA FERNANDA TOVAR CORAL','Dirección de Contratación','3106664184','luisa.tovar@habitatbogota.gov.co');</v>
      </c>
    </row>
    <row r="314" spans="1:7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>
        <v>3123602046</v>
      </c>
      <c r="F314" s="8" t="s">
        <v>1936</v>
      </c>
      <c r="G314" t="str">
        <f t="shared" si="9"/>
        <v>INSERT INTO `parqueadero`.`conductor` (`Oid`, `IdConductor`, `Nombre`, `Area`, `Celular`, `correo`) VALUES ('307','51836043','LUZ AMANDA HERNÁNDEZ PÉREZ','Dirección de Prevención Arrendamiento y Control de Enajenación','3123602046','luz.hernandez@habitatbogota.gov.co');</v>
      </c>
    </row>
    <row r="315" spans="1:7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34">
        <v>0</v>
      </c>
      <c r="F315" s="8" t="s">
        <v>1947</v>
      </c>
      <c r="G315" t="str">
        <f t="shared" si="9"/>
        <v>INSERT INTO `parqueadero`.`conductor` (`Oid`, `IdConductor`, `Nombre`, `Area`, `Celular`, `correo`) VALUES ('308','1032444607','LUZ GARCÍA SIERRA','Contraloría de Bogotá','0','contraloriadis@habitatbogota.gov.co');</v>
      </c>
    </row>
    <row r="316" spans="1:7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>
        <v>3175767854</v>
      </c>
      <c r="F316" s="8" t="s">
        <v>675</v>
      </c>
      <c r="G316" t="str">
        <f t="shared" si="9"/>
        <v>INSERT INTO `parqueadero`.`conductor` (`Oid`, `IdConductor`, `Nombre`, `Area`, `Celular`, `correo`) VALUES ('309','51974917','MAGDA ROSARIO MENDOZA GOMEZ','Dirección de Financiación de Vivienda','3175767854','magda.mendoza@habitatbogota.gov.co');</v>
      </c>
    </row>
    <row r="317" spans="1:7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17">
        <v>3142962242</v>
      </c>
      <c r="F317" s="8" t="s">
        <v>1431</v>
      </c>
      <c r="G317" t="str">
        <f t="shared" si="9"/>
        <v>INSERT INTO `parqueadero`.`conductor` (`Oid`, `IdConductor`, `Nombre`, `Area`, `Celular`, `correo`) VALUES ('310','37863986','MAGDA YOLIMA PEÑA CARREÑO','Oficina Asesora de Planeación','3142962242','magda.pena@habitatbogota.gov.co');</v>
      </c>
    </row>
    <row r="318" spans="1:7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>
        <v>3132946422</v>
      </c>
      <c r="F318" s="8" t="s">
        <v>1185</v>
      </c>
      <c r="G318" t="str">
        <f t="shared" si="9"/>
        <v>INSERT INTO `parqueadero`.`conductor` (`Oid`, `IdConductor`, `Nombre`, `Area`, `Celular`, `correo`) VALUES ('311','51655384','MAGNOLIA CAMARGO','Dirección de Investigaciones y Control de Vivienda','3132946422','magnolia.camargo@habitatbogota.gov.co');</v>
      </c>
    </row>
    <row r="319" spans="1:7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>
        <v>3008310602</v>
      </c>
      <c r="F319" s="8" t="s">
        <v>1096</v>
      </c>
      <c r="G319" t="str">
        <f t="shared" si="9"/>
        <v>INSERT INTO `parqueadero`.`conductor` (`Oid`, `IdConductor`, `Nombre`, `Area`, `Celular`, `correo`) VALUES ('312','52353521','MAIA GARCIA CARDOSO ','Dirección de Financiación de Vivienda','3008310602','maia.garcia@habitatbogota.gov.co');</v>
      </c>
    </row>
    <row r="320" spans="1:7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>
        <v>3004470549</v>
      </c>
      <c r="F320" s="8" t="s">
        <v>2108</v>
      </c>
      <c r="G320" t="str">
        <f t="shared" si="9"/>
        <v>INSERT INTO `parqueadero`.`conductor` (`Oid`, `IdConductor`, `Nombre`, `Area`, `Celular`, `correo`) VALUES ('313','80205861','MANUEL ALEJANDRO VALENCIA MURILLO','Dirección Administrativa','3004470549','manuel.valencia@habitatbogota.gov.co');</v>
      </c>
    </row>
    <row r="321" spans="1:7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>
        <v>3150464421</v>
      </c>
      <c r="F321" s="8" t="s">
        <v>1540</v>
      </c>
      <c r="G321" t="str">
        <f t="shared" si="9"/>
        <v>INSERT INTO `parqueadero`.`conductor` (`Oid`, `IdConductor`, `Nombre`, `Area`, `Celular`, `correo`) VALUES ('314','1072656830','MANUEL DAVID AREVALO HIGARRERO','Oficina de Participación y Relacionamiento con la Ciudadanía','3150464421','manuel.arevalo@habitatbogota.gov.co');</v>
      </c>
    </row>
    <row r="322" spans="1:7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>
        <v>3105537440</v>
      </c>
      <c r="F322" s="8" t="s">
        <v>1661</v>
      </c>
      <c r="G322" t="str">
        <f t="shared" si="9"/>
        <v>INSERT INTO `parqueadero`.`conductor` (`Oid`, `IdConductor`, `Nombre`, `Area`, `Celular`, `correo`) VALUES ('315','79334791','MANUEL JAVIER MONCADA GALLÓN','Dirección Administrativa','3105537440','moncada.manuel@habitatbogota.gov.co');</v>
      </c>
    </row>
    <row r="323" spans="1:7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17">
        <v>3015363830</v>
      </c>
      <c r="F323" s="8" t="s">
        <v>1499</v>
      </c>
      <c r="G323" t="str">
        <f t="shared" si="9"/>
        <v>INSERT INTO `parqueadero`.`conductor` (`Oid`, `IdConductor`, `Nombre`, `Area`, `Celular`, `correo`) VALUES ('316','80019944','MANUEL ORLANDO PEÑA USCATEGUI','Dirección Administrativa','3015363830','manuel.pena@habitatbogota.gov.co');</v>
      </c>
    </row>
    <row r="324" spans="1:7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>
        <v>3174775788</v>
      </c>
      <c r="F324" s="8" t="s">
        <v>1435</v>
      </c>
      <c r="G324" t="str">
        <f t="shared" si="9"/>
        <v>INSERT INTO `parqueadero`.`conductor` (`Oid`, `IdConductor`, `Nombre`, `Area`, `Celular`, `correo`) VALUES ('317','79595346','MARCO FIDEL GÓMEZ CORREDOR ','Dirección de Financiación de Vivienda','3174775788','marco.gomez@habitatbogota.gov.co');</v>
      </c>
    </row>
    <row r="325" spans="1:7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>
        <v>3106959545</v>
      </c>
      <c r="F325" s="8" t="s">
        <v>596</v>
      </c>
      <c r="G325" t="str">
        <f t="shared" si="9"/>
        <v>INSERT INTO `parqueadero`.`conductor` (`Oid`, `IdConductor`, `Nombre`, `Area`, `Celular`, `correo`) VALUES ('318','1015461189','MARÍA ALEJANDRA GÓMEZ GALEANO','Oficina Asesora de Comunicaciones','3106959545','maria.gomezg@habitatbogota.gov.co');</v>
      </c>
    </row>
    <row r="326" spans="1:7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17">
        <v>3005775183</v>
      </c>
      <c r="F326" s="8" t="s">
        <v>1730</v>
      </c>
      <c r="G326" t="str">
        <f t="shared" si="9"/>
        <v>INSERT INTO `parqueadero`.`conductor` (`Oid`, `IdConductor`, `Nombre`, `Area`, `Celular`, `correo`) VALUES ('319','1026261037','MARÍA ANTONIA COVALEDA ALZATE','Dirección de Contratación','3005775183','maria.covaleda@habitatbogota.gov.co');</v>
      </c>
    </row>
    <row r="327" spans="1:7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>
        <v>3142393483</v>
      </c>
      <c r="F327" s="8" t="s">
        <v>549</v>
      </c>
      <c r="G327" t="str">
        <f t="shared" si="9"/>
        <v>INSERT INTO `parqueadero`.`conductor` (`Oid`, `IdConductor`, `Nombre`, `Area`, `Celular`, `correo`) VALUES ('320','1030669555','MARIA CAMILA CACERES MENDOZA ','Subsecretaría de Vivienda','3142393483','maria.caceres@habitatbogota.gov.co');</v>
      </c>
    </row>
    <row r="328" spans="1:7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>
        <v>3153111493</v>
      </c>
      <c r="F328" s="8" t="s">
        <v>706</v>
      </c>
      <c r="G328" t="str">
        <f t="shared" ref="G328:G391" si="11">CONCATENATE("INSERT INTO `parqueadero`.`conductor` (`",$A$7,"`, `",$B$7,"`, `",$C$7,"`, `",$D$7,"`, `",$E$7,"`, `",$F$7,"`) VALUES ('",A328,"','",B328,"','",C328,"','",D328,"','",E328,"','",F328,"');" )</f>
        <v>INSERT INTO `parqueadero`.`conductor` (`Oid`, `IdConductor`, `Nombre`, `Area`, `Celular`, `correo`) VALUES ('321','51769687','MARIA CONSUELO RODRIGUEZ MORENO ','Dirección de Financiación de Vivienda','3153111493','maria.rodriguezm@habitatbogota.gov.co');</v>
      </c>
    </row>
    <row r="329" spans="1:7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>
        <v>3103237333</v>
      </c>
      <c r="F329" s="8" t="s">
        <v>386</v>
      </c>
      <c r="G329" t="str">
        <f t="shared" si="11"/>
        <v>INSERT INTO `parqueadero`.`conductor` (`Oid`, `IdConductor`, `Nombre`, `Area`, `Celular`, `correo`) VALUES ('322','52825005','MARIA EUGENIA TAMAYO GUERRERO ','Dirección de Operaciones','3103237333','maria.tamayo@habitatbogota.gov.co');</v>
      </c>
    </row>
    <row r="330" spans="1:7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17">
        <v>3012086860</v>
      </c>
      <c r="F330" s="8" t="s">
        <v>814</v>
      </c>
      <c r="G330" t="str">
        <f t="shared" si="11"/>
        <v>INSERT INTO `parqueadero`.`conductor` (`Oid`, `IdConductor`, `Nombre`, `Area`, `Celular`, `correo`) VALUES ('323','1140882919','MARIA JOSE JARAMILLO CAMACHO','Dirección de Investigaciones y Control de Vivienda','3012086860','maria.jaramillo@habitatbogota.gov.co');</v>
      </c>
    </row>
    <row r="331" spans="1:7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>
        <v>3008030796</v>
      </c>
      <c r="F331" s="8" t="s">
        <v>1324</v>
      </c>
      <c r="G331" t="str">
        <f t="shared" si="11"/>
        <v>INSERT INTO `parqueadero`.`conductor` (`Oid`, `IdConductor`, `Nombre`, `Area`, `Celular`, `correo`) VALUES ('324','1083000460','MARIA JULIANA CABELLO CERVANTES','Subsecretaría de Inspección Vigilancia y Control de Vivienda','3008030796','maria.cabello@habitatbogota.gov.co');</v>
      </c>
    </row>
    <row r="332" spans="1:7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>
        <v>3115143524</v>
      </c>
      <c r="F332" s="8" t="s">
        <v>732</v>
      </c>
      <c r="G332" t="str">
        <f t="shared" si="11"/>
        <v>INSERT INTO `parqueadero`.`conductor` (`Oid`, `IdConductor`, `Nombre`, `Area`, `Celular`, `correo`) VALUES ('325','1019132150','MARIA PAULA ANDREA SARMIENTO BEDOYA','Dirección de Prevención Arrendamiento y Control de Enajenación','3115143524','maria.sarmiento@habitatbogota.gov.co');</v>
      </c>
    </row>
    <row r="333" spans="1:7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17">
        <v>3212005607</v>
      </c>
      <c r="F333" s="8" t="s">
        <v>821</v>
      </c>
      <c r="G333" t="str">
        <f t="shared" si="11"/>
        <v>INSERT INTO `parqueadero`.`conductor` (`Oid`, `IdConductor`, `Nombre`, `Area`, `Celular`, `correo`) VALUES ('326','1121869677','MARIAN ALEJANDRA RODRÍGUEZ DURAN','Dirección de Investigaciones y Control de Vivienda','3212005607','maria.rodriguezd@habitatbogota.gov.co');</v>
      </c>
    </row>
    <row r="334" spans="1:7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>
        <v>3108078188</v>
      </c>
      <c r="F334" s="8" t="s">
        <v>937</v>
      </c>
      <c r="G334" t="str">
        <f t="shared" si="11"/>
        <v>INSERT INTO `parqueadero`.`conductor` (`Oid`, `IdConductor`, `Nombre`, `Area`, `Celular`, `correo`) VALUES ('327','79265641','MARIO CASTILLO JIMENEZ','Dirección de Investigaciones y Control de Vivienda','3108078188','mario.castillo@habitatbogota.gov.co');</v>
      </c>
    </row>
    <row r="335" spans="1:7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17">
        <v>3178728376</v>
      </c>
      <c r="F335" s="8" t="s">
        <v>2000</v>
      </c>
      <c r="G335" t="str">
        <f t="shared" si="11"/>
        <v>INSERT INTO `parqueadero`.`conductor` (`Oid`, `IdConductor`, `Nombre`, `Area`, `Celular`, `correo`) VALUES ('328','80112042','MARIO ORLANDO CUECA GONZÁLEZ','Dirección de Información de Políticas Públicas','3178728376','mario.cueca@habitatbogota.gov.co');</v>
      </c>
    </row>
    <row r="336" spans="1:7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13">
        <v>3142722271</v>
      </c>
      <c r="F336" s="8" t="s">
        <v>1891</v>
      </c>
      <c r="G336" t="str">
        <f t="shared" si="11"/>
        <v>INSERT INTO `parqueadero`.`conductor` (`Oid`, `IdConductor`, `Nombre`, `Area`, `Celular`, `correo`) VALUES ('329','1023890368','MARISOL BALLESTEROS MARÍN','Dirección de Prevención Arrendamiento y Control de Enajenación','3142722271','marisol.ballesteros@habitatbogota.gov.co');</v>
      </c>
    </row>
    <row r="337" spans="1:7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>
        <v>3123500023</v>
      </c>
      <c r="F337" s="8" t="s">
        <v>857</v>
      </c>
      <c r="G337" t="str">
        <f t="shared" si="11"/>
        <v>INSERT INTO `parqueadero`.`conductor` (`Oid`, `IdConductor`, `Nombre`, `Area`, `Celular`, `correo`) VALUES ('330','52028400','MARTHA PATRICIA TOVAR GONZALEZ ','Dirección de Financiación de Vivienda','3123500023','martha.tovar@habitatbogota.gov.co');</v>
      </c>
    </row>
    <row r="338" spans="1:7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>
        <v>3125332732</v>
      </c>
      <c r="F338" s="8" t="s">
        <v>93</v>
      </c>
      <c r="G338" t="str">
        <f t="shared" si="11"/>
        <v>INSERT INTO `parqueadero`.`conductor` (`Oid`, `IdConductor`, `Nombre`, `Area`, `Celular`, `correo`) VALUES ('331','1104068630','MARTHA VIVIANA DURAN PLATA','Dirección de Operaciones','3125332732','martha.duran@habitatbogota.gov.co');</v>
      </c>
    </row>
    <row r="339" spans="1:7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>
        <v>3124472917</v>
      </c>
      <c r="F339" s="8" t="s">
        <v>368</v>
      </c>
      <c r="G339" t="str">
        <f t="shared" si="11"/>
        <v>INSERT INTO `parqueadero`.`conductor` (`Oid`, `IdConductor`, `Nombre`, `Area`, `Celular`, `correo`) VALUES ('332','52259108','MARTHA XIMENA CASAS DUQUE','Dirección de Operaciones','3124472917','martha.casas@habitatbogota.gov.co');</v>
      </c>
    </row>
    <row r="340" spans="1:7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>
        <v>3202513080</v>
      </c>
      <c r="F340" s="8" t="s">
        <v>333</v>
      </c>
      <c r="G340" t="str">
        <f t="shared" si="11"/>
        <v>INSERT INTO `parqueadero`.`conductor` (`Oid`, `IdConductor`, `Nombre`, `Area`, `Celular`, `correo`) VALUES ('333','1090334186','MARY SOL BATERO CALVO ','Dirección de Gestión de Suelo','3202513080','mary.batero@habitatbogota.gov.co');</v>
      </c>
    </row>
    <row r="341" spans="1:7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>
        <v>3167222810</v>
      </c>
      <c r="F341" s="8" t="s">
        <v>887</v>
      </c>
      <c r="G341" t="str">
        <f t="shared" si="11"/>
        <v>INSERT INTO `parqueadero`.`conductor` (`Oid`, `IdConductor`, `Nombre`, `Area`, `Celular`, `correo`) VALUES ('334','10305307','MAURICIO BETANCUR VIVAS','Dirección de Mejoramiento Habitacional','3167222810','mauricio.betancur@habitatbogota.gov.co');</v>
      </c>
    </row>
    <row r="342" spans="1:7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>
        <v>3105507306</v>
      </c>
      <c r="F342" s="8" t="s">
        <v>2006</v>
      </c>
      <c r="G342" t="str">
        <f t="shared" si="11"/>
        <v>INSERT INTO `parqueadero`.`conductor` (`Oid`, `IdConductor`, `Nombre`, `Area`, `Celular`, `correo`) VALUES ('335','80504271','MAURICIO CEPEDA ARENAS','Dirección de Investigaciones y Control de Vivienda','3105507306','m21cepedaarenas@gmail.com');</v>
      </c>
    </row>
    <row r="343" spans="1:7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>
        <v>3057363503</v>
      </c>
      <c r="F343" s="8" t="s">
        <v>1508</v>
      </c>
      <c r="G343" t="str">
        <f t="shared" si="11"/>
        <v>INSERT INTO `parqueadero`.`conductor` (`Oid`, `IdConductor`, `Nombre`, `Area`, `Celular`, `correo`) VALUES ('336','91492909','MAURICIO HERRERA BERMÚDEZ','Dirección de Financiación de Vivienda','3057363503','mauricio.herrera@habitatbogota.gov.co');</v>
      </c>
    </row>
    <row r="344" spans="1:7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>
        <v>3108061470</v>
      </c>
      <c r="F344" s="8" t="s">
        <v>21</v>
      </c>
      <c r="G344" t="str">
        <f t="shared" si="11"/>
        <v>INSERT INTO `parqueadero`.`conductor` (`Oid`, `IdConductor`, `Nombre`, `Area`, `Celular`, `correo`) VALUES ('337','79751974','MAURICIO LIEVANO BERNAL','Dirección Administrativa','3108061470','mauricio.lievano@habitatbogota.gov.co');</v>
      </c>
    </row>
    <row r="345" spans="1:7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>
        <v>3175339549</v>
      </c>
      <c r="F345" s="8" t="s">
        <v>163</v>
      </c>
      <c r="G345" t="str">
        <f t="shared" si="11"/>
        <v>INSERT INTO `parqueadero`.`conductor` (`Oid`, `IdConductor`, `Nombre`, `Area`, `Celular`, `correo`) VALUES ('338','1101754110','MAYRA MELISSA HERNÁNDEZ TORRES','Dirección Financiera','3175339549','mayra.hernandez@habitatbogota.gov.co');</v>
      </c>
    </row>
    <row r="346" spans="1:7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>
        <v>3053862189</v>
      </c>
      <c r="F346" s="8" t="s">
        <v>1464</v>
      </c>
      <c r="G346" t="str">
        <f t="shared" si="11"/>
        <v>INSERT INTO `parqueadero`.`conductor` (`Oid`, `IdConductor`, `Nombre`, `Area`, `Celular`, `correo`) VALUES ('339','1022984445','MICHAEL STIVEN BAUTISTA SALAZAR ','Dirección de Mejoramiento Habitacional','3053862189','michael.bautista@habitatbogota.gov.co');</v>
      </c>
    </row>
    <row r="347" spans="1:7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>
        <v>3142744046</v>
      </c>
      <c r="F347" s="8" t="s">
        <v>1959</v>
      </c>
      <c r="G347" t="str">
        <f t="shared" si="11"/>
        <v>INSERT INTO `parqueadero`.`conductor` (`Oid`, `IdConductor`, `Nombre`, `Area`, `Celular`, `correo`) VALUES ('340','1032406226','MIGUEL ÁNGEL ROMERO SUÁREZ','Subsecretaría de Planeación y Políticas','3142744046','miguel.romero@habitatbogota.gov.co');</v>
      </c>
    </row>
    <row r="348" spans="1:7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>
        <v>3163490223</v>
      </c>
      <c r="F348" s="8" t="s">
        <v>55</v>
      </c>
      <c r="G348" t="str">
        <f t="shared" si="11"/>
        <v>INSERT INTO `parqueadero`.`conductor` (`Oid`, `IdConductor`, `Nombre`, `Area`, `Celular`, `correo`) VALUES ('341','115068646','MIGUEL SVIER DUCUARA VERA','Oficina de Participación y Relacionamiento con la Ciudadanía','3163490223','miguelducuara@habitatbogota.gov.co');</v>
      </c>
    </row>
    <row r="349" spans="1:7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>
        <v>3118215076</v>
      </c>
      <c r="F349" s="8" t="s">
        <v>642</v>
      </c>
      <c r="G349" t="str">
        <f t="shared" si="11"/>
        <v>INSERT INTO `parqueadero`.`conductor` (`Oid`, `IdConductor`, `Nombre`, `Area`, `Celular`, `correo`) VALUES ('342','1023943099','MISAEL ESTEBAN LINARES GARZON ','Dirección de Financiación de Vivienda','3118215076','misael.linares@habitatbogota.gov.co');</v>
      </c>
    </row>
    <row r="350" spans="1:7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>
        <v>3137297394</v>
      </c>
      <c r="F350" s="8" t="s">
        <v>918</v>
      </c>
      <c r="G350" t="str">
        <f t="shared" si="11"/>
        <v>INSERT INTO `parqueadero`.`conductor` (`Oid`, `IdConductor`, `Nombre`, `Area`, `Celular`, `correo`) VALUES ('343','53021213','MÓNICA ANDREA GARAVITO DIAZ','Dirección de Financiación de Vivienda','3137297394','monica.garavito@habitatbogota.gov.co');</v>
      </c>
    </row>
    <row r="351" spans="1:7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13">
        <v>3106872952</v>
      </c>
      <c r="F351" s="8" t="s">
        <v>1811</v>
      </c>
      <c r="G351" t="str">
        <f t="shared" si="11"/>
        <v>INSERT INTO `parqueadero`.`conductor` (`Oid`, `IdConductor`, `Nombre`, `Area`, `Celular`, `correo`) VALUES ('344','1000000381','MÓNICA ANDREA VELOZA FLAUTERO','Dirección de Financiación de Vivienda','3106872952','monica.veloza@habitatbogota.gov.co');</v>
      </c>
    </row>
    <row r="352" spans="1:7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6">
        <v>3123512363</v>
      </c>
      <c r="F352" s="8" t="s">
        <v>1174</v>
      </c>
      <c r="G352" t="str">
        <f t="shared" si="11"/>
        <v>INSERT INTO `parqueadero`.`conductor` (`Oid`, `IdConductor`, `Nombre`, `Area`, `Celular`, `correo`) VALUES ('345','37863889','MONICA MENDEZ SALAZAR','Oficina de Control Disciplinario Interno','3123512363','monica.mendez@habitatbogota.gov.co');</v>
      </c>
    </row>
    <row r="353" spans="1:7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>
        <v>3132613176</v>
      </c>
      <c r="F353" s="8" t="s">
        <v>1181</v>
      </c>
      <c r="G353" t="str">
        <f t="shared" si="11"/>
        <v>INSERT INTO `parqueadero`.`conductor` (`Oid`, `IdConductor`, `Nombre`, `Area`, `Celular`, `correo`) VALUES ('346','51736627','NANCY AMPARO BELTRAN MERA','Dirección de Investigaciones y Control de Vivienda','3132613176','nancy.beltran@habitatbogota.gov.co');</v>
      </c>
    </row>
    <row r="354" spans="1:7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>
        <v>3185570652</v>
      </c>
      <c r="F354" s="8" t="s">
        <v>451</v>
      </c>
      <c r="G354" t="str">
        <f t="shared" si="11"/>
        <v>INSERT INTO `parqueadero`.`conductor` (`Oid`, `IdConductor`, `Nombre`, `Area`, `Celular`, `correo`) VALUES ('347','1026263191','NATALIA ANDREA OTERO TRUJILLO ','Dirección de Investigaciones y Control de Vivienda','3185570652','natalia.otero@habitatbogota.gov.co');</v>
      </c>
    </row>
    <row r="355" spans="1:7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>
        <v>3015419453</v>
      </c>
      <c r="F355" s="8" t="s">
        <v>1100</v>
      </c>
      <c r="G355" t="str">
        <f t="shared" si="11"/>
        <v>INSERT INTO `parqueadero`.`conductor` (`Oid`, `IdConductor`, `Nombre`, `Area`, `Celular`, `correo`) VALUES ('348','53178070','NATALIA FRANCO','Despacho','3015419453','natalia.franco@habitatbogota.gov.co');</v>
      </c>
    </row>
    <row r="356" spans="1:7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>
        <v>3165329202</v>
      </c>
      <c r="F356" s="8" t="s">
        <v>1407</v>
      </c>
      <c r="G356" t="str">
        <f t="shared" si="11"/>
        <v>INSERT INTO `parqueadero`.`conductor` (`Oid`, `IdConductor`, `Nombre`, `Area`, `Celular`, `correo`) VALUES ('349','1053838523','NATALIA MONTOYA POLANCO','Dirección de Prevención Arrendamiento y Control de Enajenación','3165329202','natalia.montoya@habitatbogota.gov.co');</v>
      </c>
    </row>
    <row r="357" spans="1:7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17">
        <v>3112023325</v>
      </c>
      <c r="F357" s="8" t="s">
        <v>637</v>
      </c>
      <c r="G357" t="str">
        <f t="shared" si="11"/>
        <v>INSERT INTO `parqueadero`.`conductor` (`Oid`, `IdConductor`, `Nombre`, `Area`, `Celular`, `correo`) VALUES ('350','52453674','NATALIA URIBE ABISAMBRA','Oficina Asesora de Comunicaciones','3112023325','natalia.uribe@habitatbogota.gov.co');</v>
      </c>
    </row>
    <row r="358" spans="1:7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>
        <v>3004886701</v>
      </c>
      <c r="F358" s="8" t="s">
        <v>592</v>
      </c>
      <c r="G358" t="str">
        <f t="shared" si="11"/>
        <v>INSERT INTO `parqueadero`.`conductor` (`Oid`, `IdConductor`, `Nombre`, `Area`, `Celular`, `correo`) VALUES ('351','1049616323','NATHALI ALEJANDRA FONSECA BURGOS','Subsecretaría de Inspección Vigilancia y Control de Vivienda','3004886701','nathali.fonseca@habitatbogota.gov.co');</v>
      </c>
    </row>
    <row r="359" spans="1:7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>
        <v>3166262024</v>
      </c>
      <c r="F359" s="8" t="s">
        <v>79</v>
      </c>
      <c r="G359" t="str">
        <f t="shared" si="11"/>
        <v>INSERT INTO `parqueadero`.`conductor` (`Oid`, `IdConductor`, `Nombre`, `Area`, `Celular`, `correo`) VALUES ('352','1032395549','NELSON ALEJANDRO BOHORQUEZ RUIZ','Dirección de Apoyo a la Contrucción','3166262024','nelson.bohorquez@habitatbogota.gov.co');</v>
      </c>
    </row>
    <row r="360" spans="1:7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>
        <v>3222674965</v>
      </c>
      <c r="F360" s="8" t="s">
        <v>1150</v>
      </c>
      <c r="G360" t="str">
        <f t="shared" si="11"/>
        <v>INSERT INTO `parqueadero`.`conductor` (`Oid`, `IdConductor`, `Nombre`, `Area`, `Celular`, `correo`) VALUES ('353','79609619','NELSON EDUARDO MUÑOZ SUTA','Dirección de Financiación de Vivienda','3222674965','nelson.munoz@habitatbogota.gov.co');</v>
      </c>
    </row>
    <row r="361" spans="1:7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>
        <v>3046650488</v>
      </c>
      <c r="F361" s="8" t="s">
        <v>433</v>
      </c>
      <c r="G361" t="str">
        <f t="shared" si="11"/>
        <v>INSERT INTO `parqueadero`.`conductor` (`Oid`, `IdConductor`, `Nombre`, `Area`, `Celular`, `correo`) VALUES ('354','11350393','NELSON GIOVANNI ACUÑA RODRIGUEZ','Dirección Administrativa','3046650488','nelson.acuna@habitatbogota.gov.co');</v>
      </c>
    </row>
    <row r="362" spans="1:7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>
        <v>3105543461</v>
      </c>
      <c r="F362" s="8" t="s">
        <v>1328</v>
      </c>
      <c r="G362" t="str">
        <f t="shared" si="11"/>
        <v>INSERT INTO `parqueadero`.`conductor` (`Oid`, `IdConductor`, `Nombre`, `Area`, `Celular`, `correo`) VALUES ('355','1010169744','NESTOR JULIAN RAMIREZ SIERRA','Subsecretaría Jurídica','3105543461','nestor.ramirez@habitatbogota.gov.co');</v>
      </c>
    </row>
    <row r="363" spans="1:7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>
        <v>3125667339</v>
      </c>
      <c r="F363" s="8" t="s">
        <v>1475</v>
      </c>
      <c r="G363" t="str">
        <f t="shared" si="11"/>
        <v>INSERT INTO `parqueadero`.`conductor` (`Oid`, `IdConductor`, `Nombre`, `Area`, `Celular`, `correo`) VALUES ('356','1030623154','NICOLÁS DAVID CASTILLO GONZÁLEZ','Oficina Asesora de Planeación','3125667339','nicolas.castillo@habitatbogota.gov.co');</v>
      </c>
    </row>
    <row r="364" spans="1:7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>
        <v>3003593799</v>
      </c>
      <c r="F364" s="8" t="s">
        <v>1413</v>
      </c>
      <c r="G364" t="str">
        <f t="shared" si="11"/>
        <v>INSERT INTO `parqueadero`.`conductor` (`Oid`, `IdConductor`, `Nombre`, `Area`, `Celular`, `correo`) VALUES ('357','1032475428','NICOLAS JAIRO ALVAREZ GONZALEZ ','Oficina de Participación y Relacionamiento con la Ciudadanía','3003593799','nicolas.alvarez@habitatbogota.gov.co');</v>
      </c>
    </row>
    <row r="365" spans="1:7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>
        <v>3197033980</v>
      </c>
      <c r="F365" s="8" t="s">
        <v>946</v>
      </c>
      <c r="G365" t="str">
        <f t="shared" si="11"/>
        <v>INSERT INTO `parqueadero`.`conductor` (`Oid`, `IdConductor`, `Nombre`, `Area`, `Celular`, `correo`) VALUES ('358','1000596077','NICOLAS SANCHEZ CASTRO','Dirección de Mejoramiento Habitacional','3197033980','nicolas.sanchez@habitatbogota.gov.co');</v>
      </c>
    </row>
    <row r="366" spans="1:7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6">
        <v>3017269448</v>
      </c>
      <c r="F366" s="8" t="s">
        <v>1628</v>
      </c>
      <c r="G366" t="str">
        <f t="shared" si="11"/>
        <v>INSERT INTO `parqueadero`.`conductor` (`Oid`, `IdConductor`, `Nombre`, `Area`, `Celular`, `correo`) VALUES ('359','1085296515','OMAR JULIAN SANCHEZ CAICEDO','Dirección de Gestión de Suelo','3017269448','omar.sanchezc@habitatbogota.gov.co');</v>
      </c>
    </row>
    <row r="367" spans="1:7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>
        <v>3407192209</v>
      </c>
      <c r="F367" s="8" t="s">
        <v>563</v>
      </c>
      <c r="G367" t="str">
        <f t="shared" si="11"/>
        <v>INSERT INTO `parqueadero`.`conductor` (`Oid`, `IdConductor`, `Nombre`, `Area`, `Celular`, `correo`) VALUES ('360','79950133','OMAR MORENO VERA','Gestión Documental','3407192209','omar.moreno@habitatbogota.gov.co');</v>
      </c>
    </row>
    <row r="368" spans="1:7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6">
        <v>3044423154</v>
      </c>
      <c r="F368" s="8" t="s">
        <v>2038</v>
      </c>
      <c r="G368" t="str">
        <f t="shared" si="11"/>
        <v>INSERT INTO `parqueadero`.`conductor` (`Oid`, `IdConductor`, `Nombre`, `Area`, `Celular`, `correo`) VALUES ('361','79737240','OSCAR ALEXANDER CRUZ FORERO','Oficina de Tecnología y Transformación Digital','3044423154','oscar.cruzf@habitatbogota.gov.co');</v>
      </c>
    </row>
    <row r="369" spans="1:7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17">
        <v>3143377910</v>
      </c>
      <c r="F369" s="8" t="s">
        <v>159</v>
      </c>
      <c r="G369" t="str">
        <f t="shared" si="11"/>
        <v>INSERT INTO `parqueadero`.`conductor` (`Oid`, `IdConductor`, `Nombre`, `Area`, `Celular`, `correo`) VALUES ('362','1018494285','OSCAR FELIPE CHILLAN PARRA','Dirección de Mejoramiento Habitacional','3143377910','oscar.chillan@habitatbogota.gov.co');</v>
      </c>
    </row>
    <row r="370" spans="1:7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>
        <v>3505400355</v>
      </c>
      <c r="F370" s="8" t="s">
        <v>1673</v>
      </c>
      <c r="G370" t="str">
        <f t="shared" si="11"/>
        <v>INSERT INTO `parqueadero`.`conductor` (`Oid`, `IdConductor`, `Nombre`, `Area`, `Celular`, `correo`) VALUES ('363','79756400','OSCAR GIOVANNY ROJAS ROJAS ','Oficina de Participación y Relacionamiento con la Ciudadanía','3505400355','oscar.rojas@habitatbogota.gov.co');</v>
      </c>
    </row>
    <row r="371" spans="1:7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>
        <v>3166972207</v>
      </c>
      <c r="F371" s="8" t="s">
        <v>1710</v>
      </c>
      <c r="G371" t="str">
        <f t="shared" si="11"/>
        <v>INSERT INTO `parqueadero`.`conductor` (`Oid`, `IdConductor`, `Nombre`, `Area`, `Celular`, `correo`) VALUES ('364','91523898','OSCAR REYES','Contraloría de Bogotá','3166972207','oreyesn@contraloriabogota.gov.co');</v>
      </c>
    </row>
    <row r="372" spans="1:7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17">
        <v>3017861952</v>
      </c>
      <c r="F372" s="8" t="s">
        <v>862</v>
      </c>
      <c r="G372" t="str">
        <f t="shared" si="11"/>
        <v>INSERT INTO `parqueadero`.`conductor` (`Oid`, `IdConductor`, `Nombre`, `Area`, `Celular`, `correo`) VALUES ('365','29120343','OSIRIS VINAS MANRIQUE','Dirección de Financiación de Vivienda','3017861952','osiris.vina@habitatbogota.gov.co');</v>
      </c>
    </row>
    <row r="373" spans="1:7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>
        <v>3013099446</v>
      </c>
      <c r="F373" s="8" t="s">
        <v>1051</v>
      </c>
      <c r="G373" t="str">
        <f t="shared" si="11"/>
        <v>INSERT INTO `parqueadero`.`conductor` (`Oid`, `IdConductor`, `Nombre`, `Area`, `Celular`, `correo`) VALUES ('366','1018477650','PABLO ALEJANDRO FERRER MOLINA','Dirección de Mejoramiento Habitacional','3013099446','pablo.ferrer@habitatbogota.gov.co');</v>
      </c>
    </row>
    <row r="374" spans="1:7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>
        <v>3172705684</v>
      </c>
      <c r="F374" s="8" t="s">
        <v>269</v>
      </c>
      <c r="G374" t="str">
        <f t="shared" si="11"/>
        <v>INSERT INTO `parqueadero`.`conductor` (`Oid`, `IdConductor`, `Nombre`, `Area`, `Celular`, `correo`) VALUES ('367','35530221','PAOLA BASTO ROMERO ','Dirección de Investigaciones y Control de Vivienda','3172705684','paola.basto@habitatbogota.gov.co');</v>
      </c>
    </row>
    <row r="375" spans="1:7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>
        <v>3154453730</v>
      </c>
      <c r="F375" s="8" t="s">
        <v>213</v>
      </c>
      <c r="G375" t="str">
        <f t="shared" si="11"/>
        <v>INSERT INTO `parqueadero`.`conductor` (`Oid`, `IdConductor`, `Nombre`, `Area`, `Celular`, `correo`) VALUES ('368','41939388','PAOLA EDITH HURTADO ARÉVALO','Dirección de Mejoramiento Habitacional','3154453730','paola.hurtado@habitatbogota.gov.co');</v>
      </c>
    </row>
    <row r="376" spans="1:7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17">
        <v>3166559929</v>
      </c>
      <c r="F376" s="8" t="s">
        <v>661</v>
      </c>
      <c r="G376" t="str">
        <f t="shared" si="11"/>
        <v>INSERT INTO `parqueadero`.`conductor` (`Oid`, `IdConductor`, `Nombre`, `Area`, `Celular`, `correo`) VALUES ('369','1075282666','PAUBLA VANESSA MURCIA TOVAR','Dirección de Prevención Arrendamiento y Control de Enajenación','3166559929','paubla.murcia@habitatbogota.gov.co');</v>
      </c>
    </row>
    <row r="377" spans="1:7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6">
        <v>3212564943</v>
      </c>
      <c r="F377" s="8" t="s">
        <v>572</v>
      </c>
      <c r="G377" t="str">
        <f t="shared" si="11"/>
        <v>INSERT INTO `parqueadero`.`conductor` (`Oid`, `IdConductor`, `Nombre`, `Area`, `Celular`, `correo`) VALUES ('370','1019060772','PAULA CAMILA VEGA BUSTOS','Despacho','3212564943','paula.vega@habitatbogota.gov.co');</v>
      </c>
    </row>
    <row r="378" spans="1:7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>
        <v>155443425</v>
      </c>
      <c r="F378" s="8" t="s">
        <v>1952</v>
      </c>
      <c r="G378" t="str">
        <f t="shared" si="11"/>
        <v>INSERT INTO `parqueadero`.`conductor` (`Oid`, `IdConductor`, `Nombre`, `Area`, `Celular`, `correo`) VALUES ('371','1010235400','PAULA SOFÍA ENCINALES URQUIZA','Dirección de Financiación de Vivienda','155443425','paula.encinales@habitatbogota.gov.co');</v>
      </c>
    </row>
    <row r="379" spans="1:7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13">
        <v>3126861297</v>
      </c>
      <c r="F379" s="8" t="s">
        <v>1883</v>
      </c>
      <c r="G379" t="str">
        <f t="shared" si="11"/>
        <v>INSERT INTO `parqueadero`.`conductor` (`Oid`, `IdConductor`, `Nombre`, `Area`, `Celular`, `correo`) VALUES ('372','1020750683','PAULA VIVIANA MEDINA ALEJO','Subsecretaría de Inspección Vigilancia y Control de Vivienda','3126861297','paula.medina@habitatbogota.gov.co');</v>
      </c>
    </row>
    <row r="380" spans="1:7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>
        <v>3204777719</v>
      </c>
      <c r="F380" s="8" t="s">
        <v>251</v>
      </c>
      <c r="G380" t="str">
        <f t="shared" si="11"/>
        <v>INSERT INTO `parqueadero`.`conductor` (`Oid`, `IdConductor`, `Nombre`, `Area`, `Celular`, `correo`) VALUES ('373','5292411','PEDRO ANTONIO SOLARTE PORTILLA','Dirección de Mejoramiento Habitacional','3204777719','pedro.solarte@habitatbogota.gov.co');</v>
      </c>
    </row>
    <row r="381" spans="1:7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>
        <v>3192146582</v>
      </c>
      <c r="F381" s="8" t="s">
        <v>628</v>
      </c>
      <c r="G381" t="str">
        <f t="shared" si="11"/>
        <v>INSERT INTO `parqueadero`.`conductor` (`Oid`, `IdConductor`, `Nombre`, `Area`, `Celular`, `correo`) VALUES ('374','19325842','PEDRO MARIO BUITRAGO MEDINA','Dirección Financiera','3192146582','pedro.buitrago@habitatbogota.gov.co');</v>
      </c>
    </row>
    <row r="382" spans="1:7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17">
        <v>3045528065</v>
      </c>
      <c r="F382" s="8" t="s">
        <v>1527</v>
      </c>
      <c r="G382" t="str">
        <f t="shared" si="11"/>
        <v>INSERT INTO `parqueadero`.`conductor` (`Oid`, `IdConductor`, `Nombre`, `Area`, `Celular`, `correo`) VALUES ('375','4228842','PEDRO PABLO PEÑA CASTIBLANCO','Dirección Financiera','3045528065','pedro.pena@habitatbogota.gov.co');</v>
      </c>
    </row>
    <row r="383" spans="1:7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>
        <v>3014438578</v>
      </c>
      <c r="F383" s="8" t="s">
        <v>1608</v>
      </c>
      <c r="G383" t="str">
        <f t="shared" si="11"/>
        <v>INSERT INTO `parqueadero`.`conductor` (`Oid`, `IdConductor`, `Nombre`, `Area`, `Celular`, `correo`) VALUES ('376','1013577285','PHILLIPS ANTONIO SAMPER MELGAREJO','Dirección de Apoyo a la Contrucción','3014438578','phillips.samper@habitatbogota.gov.co');</v>
      </c>
    </row>
    <row r="384" spans="1:7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24">
        <v>3168685422</v>
      </c>
      <c r="F384" s="8" t="s">
        <v>2010</v>
      </c>
      <c r="G384" t="str">
        <f t="shared" si="11"/>
        <v>INSERT INTO `parqueadero`.`conductor` (`Oid`, `IdConductor`, `Nombre`, `Area`, `Celular`, `correo`) VALUES ('377','91110560','RAFAEL BERNARDO SANTOS RUEDA','Oficina de Control Disciplinario Interno','3168685422','rafael.santos@habitatbogota.gov.co');</v>
      </c>
    </row>
    <row r="385" spans="1:7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17">
        <v>3103076693</v>
      </c>
      <c r="F385" s="8" t="s">
        <v>1519</v>
      </c>
      <c r="G385" t="str">
        <f t="shared" si="11"/>
        <v>INSERT INTO `parqueadero`.`conductor` (`Oid`, `IdConductor`, `Nombre`, `Area`, `Celular`, `correo`) VALUES ('378','80061648','RAFAEL LEIBER MALAGON AGUDELO','Dirección de Investigaciones y Control de Vivienda','3103076693','rafael.malagon@habitatbogota.gov');</v>
      </c>
    </row>
    <row r="386" spans="1:7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17">
        <v>3017193730</v>
      </c>
      <c r="F386" s="8" t="s">
        <v>1268</v>
      </c>
      <c r="G386" t="str">
        <f t="shared" si="11"/>
        <v>INSERT INTO `parqueadero`.`conductor` (`Oid`, `IdConductor`, `Nombre`, `Area`, `Celular`, `correo`) VALUES ('379','1019007970','RAUL EDUARDO URIBE GUALDRON','Gestión Documental','3017193730','correspondenciasdht@habitatbogota.gov.co');</v>
      </c>
    </row>
    <row r="387" spans="1:7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>
        <v>3014977779</v>
      </c>
      <c r="F387" s="8" t="s">
        <v>1995</v>
      </c>
      <c r="G387" t="str">
        <f t="shared" si="11"/>
        <v>INSERT INTO `parqueadero`.`conductor` (`Oid`, `IdConductor`, `Nombre`, `Area`, `Celular`, `correo`) VALUES ('380','1103095276','RAYNIER ANTONIO CAMARGO LORA','Dirección de Contratación','3014977779','raynier.camargo@habitatbogota.gov.co');</v>
      </c>
    </row>
    <row r="388" spans="1:7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>
        <v>3006677111</v>
      </c>
      <c r="F388" s="8" t="s">
        <v>537</v>
      </c>
      <c r="G388" t="str">
        <f t="shared" si="11"/>
        <v>INSERT INTO `parqueadero`.`conductor` (`Oid`, `IdConductor`, `Nombre`, `Area`, `Celular`, `correo`) VALUES ('381','50939844','REMY JOSEFA RAMÍREZ NEGRETE ','Dirección de Investigaciones y Control de Vivienda','3006677111','remy.ramirez@habitatbogota.gov.co');</v>
      </c>
    </row>
    <row r="389" spans="1:7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>
        <v>3132090951</v>
      </c>
      <c r="F389" s="8" t="s">
        <v>690</v>
      </c>
      <c r="G389" t="str">
        <f t="shared" si="11"/>
        <v>INSERT INTO `parqueadero`.`conductor` (`Oid`, `IdConductor`, `Nombre`, `Area`, `Celular`, `correo`) VALUES ('382','228042','RICARDO DOMINGUEZ IRISARRI','Dirección de Estructuracion de Proyectos','3132090951','ricardo.dominguez@habitatbogota.gov.co');</v>
      </c>
    </row>
    <row r="390" spans="1:7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>
        <v>3043783737</v>
      </c>
      <c r="F390" s="8" t="s">
        <v>2072</v>
      </c>
      <c r="G390" t="str">
        <f t="shared" si="11"/>
        <v>INSERT INTO `parqueadero`.`conductor` (`Oid`, `IdConductor`, `Nombre`, `Area`, `Celular`, `correo`) VALUES ('383','1026274713','RICARDO ERNESTO SÁNCHEZ MENESES','Dirección de Financiación de Vivienda','3043783737','sanchezricardo4@hotmail.com');</v>
      </c>
    </row>
    <row r="391" spans="1:7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>
        <v>3146620821</v>
      </c>
      <c r="F391" s="8" t="s">
        <v>1256</v>
      </c>
      <c r="G391" t="str">
        <f t="shared" si="11"/>
        <v>INSERT INTO `parqueadero`.`conductor` (`Oid`, `IdConductor`, `Nombre`, `Area`, `Celular`, `correo`) VALUES ('384','43877882','RITA INÉS CALLE JARAMILLO','Dirección de Mejoramiento Habitacional','3146620821','rita.calle@habitatbogota.gov.co');</v>
      </c>
    </row>
    <row r="392" spans="1:7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>
        <v>3166210717</v>
      </c>
      <c r="F392" s="8" t="s">
        <v>737</v>
      </c>
      <c r="G392" t="str">
        <f t="shared" ref="G392:G445" si="13">CONCATENATE("INSERT INTO `parqueadero`.`conductor` (`",$A$7,"`, `",$B$7,"`, `",$C$7,"`, `",$D$7,"`, `",$E$7,"`, `",$F$7,"`) VALUES ('",A392,"','",B392,"','",C392,"','",D392,"','",E392,"','",F392,"');" )</f>
        <v>INSERT INTO `parqueadero`.`conductor` (`Oid`, `IdConductor`, `Nombre`, `Area`, `Celular`, `correo`) VALUES ('385','79328182','ROBERTO VELÁSQUEZ VELÁSQUEZ ','Dirección de Apoyo a la Contrucción','3166210717','roberto.velasquez@habitatbogota.gov.co');</v>
      </c>
    </row>
    <row r="393" spans="1:7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>
        <v>3004729310</v>
      </c>
      <c r="F393" s="8" t="s">
        <v>288</v>
      </c>
      <c r="G393" t="str">
        <f t="shared" si="13"/>
        <v>INSERT INTO `parqueadero`.`conductor` (`Oid`, `IdConductor`, `Nombre`, `Area`, `Celular`, `correo`) VALUES ('386','79979675','RODOLFO ORLANDO BELTRAN CUBILLOS','Dirección de Mejoramiento Habitacional','3004729310','rodolfo.beltran@habitatbogota.gov.co');</v>
      </c>
    </row>
    <row r="394" spans="1:7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>
        <v>3007889782</v>
      </c>
      <c r="F394" s="8" t="s">
        <v>241</v>
      </c>
      <c r="G394" t="str">
        <f t="shared" si="13"/>
        <v>INSERT INTO `parqueadero`.`conductor` (`Oid`, `IdConductor`, `Nombre`, `Area`, `Celular`, `correo`) VALUES ('387','79773343','RODRIGO HIDALGO ','Dirección Administrativa','3007889782','rodrigo.hidalgo@habitatbogora.gov.co');</v>
      </c>
    </row>
    <row r="395" spans="1:7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>
        <v>3007889782</v>
      </c>
      <c r="F395" s="8" t="s">
        <v>260</v>
      </c>
      <c r="G395" t="str">
        <f t="shared" si="13"/>
        <v>INSERT INTO `parqueadero`.`conductor` (`Oid`, `IdConductor`, `Nombre`, `Area`, `Celular`, `correo`) VALUES ('388','79873343','RODRIGO HIDALGO ','Dirección Administrativa','3007889782','rodrigo.hidalgo@habitatbogota.gov.co');</v>
      </c>
    </row>
    <row r="396" spans="1:7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>
        <v>3183907063</v>
      </c>
      <c r="F396" s="8" t="s">
        <v>2056</v>
      </c>
      <c r="G396" t="str">
        <f t="shared" si="13"/>
        <v>INSERT INTO `parqueadero`.`conductor` (`Oid`, `IdConductor`, `Nombre`, `Area`, `Celular`, `correo`) VALUES ('389','1136879147','RONNY ESTIVEN ROMERO VELANDIA','Dirección de Financiación de Vivienda','3183907063','ronny.romero@habitatbogota.gov.co');</v>
      </c>
    </row>
    <row r="397" spans="1:7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>
        <v>3005054691</v>
      </c>
      <c r="F397" s="8" t="s">
        <v>1378</v>
      </c>
      <c r="G397" t="str">
        <f t="shared" si="13"/>
        <v>INSERT INTO `parqueadero`.`conductor` (`Oid`, `IdConductor`, `Nombre`, `Area`, `Celular`, `correo`) VALUES ('390','53167119','ROSA CAROLINA CORAL QUIROZ','Subsecretaría Jurídica','3005054691','rosa.coral@habitatbogota.gov.co');</v>
      </c>
    </row>
    <row r="398" spans="1:7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>
        <v>3228970040</v>
      </c>
      <c r="F398" s="8" t="s">
        <v>1701</v>
      </c>
      <c r="G398" t="str">
        <f t="shared" si="13"/>
        <v>INSERT INTO `parqueadero`.`conductor` (`Oid`, `IdConductor`, `Nombre`, `Area`, `Celular`, `correo`) VALUES ('391','52308946','RUTH ALBA CIFUENTES PENAGOS','UT Clean Colombia','3228970040','ruth290175@gmail.com');</v>
      </c>
    </row>
    <row r="399" spans="1:7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>
        <v>3045519277</v>
      </c>
      <c r="F399" s="8" t="s">
        <v>195</v>
      </c>
      <c r="G399" t="str">
        <f t="shared" si="13"/>
        <v>INSERT INTO `parqueadero`.`conductor` (`Oid`, `IdConductor`, `Nombre`, `Area`, `Celular`, `correo`) VALUES ('392','65709742','RUTH PADILLA ALMARIO','Dirección de Mejoramiento Habitacional','3045519277','ruth.padilla@habitatbogota.gov.co');</v>
      </c>
    </row>
    <row r="400" spans="1:7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17">
        <v>3014400686</v>
      </c>
      <c r="F400" s="8" t="s">
        <v>873</v>
      </c>
      <c r="G400" t="str">
        <f t="shared" si="13"/>
        <v>INSERT INTO `parqueadero`.`conductor` (`Oid`, `IdConductor`, `Nombre`, `Area`, `Celular`, `correo`) VALUES ('393','1030543652','SANDRA JOHANA PINZON RODRÍGUEZ ','Oficina Asesora de Planeación','3014400686','sandra.pinzonr@habitatbogota.gov.co');</v>
      </c>
    </row>
    <row r="401" spans="1:7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6">
        <v>3106183500</v>
      </c>
      <c r="F401" s="8" t="s">
        <v>646</v>
      </c>
      <c r="G401" t="str">
        <f t="shared" si="13"/>
        <v>INSERT INTO `parqueadero`.`conductor` (`Oid`, `IdConductor`, `Nombre`, `Area`, `Celular`, `correo`) VALUES ('394','1020833621','SANTIAGO GARCIA ','Despacho','3106183500','santiago.garcia@habitatbogota.gov.co');</v>
      </c>
    </row>
    <row r="402" spans="1:7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>
        <v>3245841183</v>
      </c>
      <c r="F402" s="8" t="s">
        <v>1265</v>
      </c>
      <c r="G402" t="str">
        <f t="shared" si="13"/>
        <v>INSERT INTO `parqueadero`.`conductor` (`Oid`, `IdConductor`, `Nombre`, `Area`, `Celular`, `correo`) VALUES ('395','1018493253','SANTIAGO LINARES ','Dirección de Financiación de Vivienda','3245841183','santiago.linares@habitatbogota.gov.co');</v>
      </c>
    </row>
    <row r="403" spans="1:7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6">
        <v>3124309082</v>
      </c>
      <c r="F403" s="8" t="s">
        <v>1394</v>
      </c>
      <c r="G403" t="str">
        <f t="shared" si="13"/>
        <v>INSERT INTO `parqueadero`.`conductor` (`Oid`, `IdConductor`, `Nombre`, `Area`, `Celular`, `correo`) VALUES ('396','1022421202','SANTIAGO VELANDIA DAZA','Dirección de Servicios Públicos','3124309082','santiago.velandia@habitatbogota.gov.co');</v>
      </c>
    </row>
    <row r="404" spans="1:7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>
        <v>3002619924</v>
      </c>
      <c r="F404" s="8" t="s">
        <v>470</v>
      </c>
      <c r="G404" t="str">
        <f t="shared" si="13"/>
        <v>INSERT INTO `parqueadero`.`conductor` (`Oid`, `IdConductor`, `Nombre`, `Area`, `Celular`, `correo`) VALUES ('397','53066202','SARA MILENA AGUIRRE BARRERA ','Dirección de Financiación de Vivienda','3002619924','saritaguirre@hotmail.com');</v>
      </c>
    </row>
    <row r="405" spans="1:7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17">
        <v>3214308705</v>
      </c>
      <c r="F405" s="8" t="s">
        <v>586</v>
      </c>
      <c r="G405" t="str">
        <f t="shared" si="13"/>
        <v>INSERT INTO `parqueadero`.`conductor` (`Oid`, `IdConductor`, `Nombre`, `Area`, `Celular`, `correo`) VALUES ('398','1001090013','SARA NATALIA CASALLAS RODRIGUEZ','Dirección de Apoyo a la Contrucción','3214308705','sara.casallas@habitatbogta.gov.co');</v>
      </c>
    </row>
    <row r="406" spans="1:7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t="str">
        <f t="shared" si="13"/>
        <v>INSERT INTO `parqueadero`.`conductor` (`Oid`, `IdConductor`, `Nombre`, `Area`, `Celular`, `correo`) VALUES ('399','1049794506','SATUL LUCERO VERA PATIÑO','Subsecretaría Jurídica','31339999368','lucero.vera@habitatbogota.gov.co');</v>
      </c>
    </row>
    <row r="407" spans="1:7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t="str">
        <f t="shared" si="13"/>
        <v>INSERT INTO `parqueadero`.`conductor` (`Oid`, `IdConductor`, `Nombre`, `Area`, `Celular`, `correo`) VALUES ('400','1019111258','SEBASTIAN BERNAL RIAÑO','Oficina de Participación y Relacionamiento con la Ciudadanía','3167697896','sebastian.bernal@habitatbogota.gov.co');</v>
      </c>
    </row>
    <row r="408" spans="1:7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t="str">
        <f t="shared" si="13"/>
        <v>INSERT INTO `parqueadero`.`conductor` (`Oid`, `IdConductor`, `Nombre`, `Area`, `Celular`, `correo`) VALUES ('401','1026302740','SEBASTIAN SAAD GIOVANNETTI','Subsecretaría Jurídica','3226346627','sebastian.saad@habitatbogota.gov.co');</v>
      </c>
    </row>
    <row r="409" spans="1:7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t="str">
        <f t="shared" si="13"/>
        <v>INSERT INTO `parqueadero`.`conductor` (`Oid`, `IdConductor`, `Nombre`, `Area`, `Celular`, `correo`) VALUES ('402','1000284442','SEBASTIÁN TORRES RODRÍGUEZ','Dirección de Servicios Públicos','3058723948','sebastian.torres@habitatbogota.gov.co');</v>
      </c>
    </row>
    <row r="410" spans="1:7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t="str">
        <f t="shared" si="13"/>
        <v>INSERT INTO `parqueadero`.`conductor` (`Oid`, `IdConductor`, `Nombre`, `Area`, `Celular`, `correo`) VALUES ('403','80003738','SERGIO ALEJANDRO AVELLA FIGUEROA','Dirección de Información de Políticas Públicas','3003626509','sergio.avella@habitatbogota.gov.co');</v>
      </c>
    </row>
    <row r="411" spans="1:7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t="str">
        <f t="shared" si="13"/>
        <v>INSERT INTO `parqueadero`.`conductor` (`Oid`, `IdConductor`, `Nombre`, `Area`, `Celular`, `correo`) VALUES ('404','91495511','SERGIO ANDRÉS BOHORQUEZ CAÑAS','Dirección de Mejoramiento Habitacional','3163208044','sergio.bohorquez@hotmail.com');</v>
      </c>
    </row>
    <row r="412" spans="1:7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t="str">
        <f t="shared" si="13"/>
        <v>INSERT INTO `parqueadero`.`conductor` (`Oid`, `IdConductor`, `Nombre`, `Area`, `Celular`, `correo`) VALUES ('405','1016036999','SERGIO ANDRES RODRIGUEZ ACHURY','Dirección de Hábitat y Entorno','3143216258','sergio.rodriguez@habitatbogota.gov.co');</v>
      </c>
    </row>
    <row r="413" spans="1:7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t="str">
        <f t="shared" si="13"/>
        <v>INSERT INTO `parqueadero`.`conductor` (`Oid`, `IdConductor`, `Nombre`, `Area`, `Celular`, `correo`) VALUES ('406','80850767','SERGIO ARTURO SANCHEZ SALAMANCA','Dirección de Estructuracion de Proyectos','3004400752','sergio.sanchez@habitatbogota.gov.co');</v>
      </c>
    </row>
    <row r="414" spans="1:7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t="str">
        <f t="shared" si="13"/>
        <v>INSERT INTO `parqueadero`.`conductor` (`Oid`, `IdConductor`, `Nombre`, `Area`, `Celular`, `correo`) VALUES ('407','40046195','SONIA CRISTINA ALVAREZ RODRIGUEZ','Dirección de Gestión de Suelo','3002165953','sonia.alvarez@habitatbogota.gov.co');</v>
      </c>
    </row>
    <row r="415" spans="1:7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t="str">
        <f t="shared" si="13"/>
        <v>INSERT INTO `parqueadero`.`conductor` (`Oid`, `IdConductor`, `Nombre`, `Area`, `Celular`, `correo`) VALUES ('408','1018501304','SONIA ESMERALDA ALFONSO PINEDA','Dirección de Financiación de Vivienda','3215215543','sonia.alfonso@habitatbogota.gov.co');</v>
      </c>
    </row>
    <row r="416" spans="1:7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t="str">
        <f t="shared" si="13"/>
        <v>INSERT INTO `parqueadero`.`conductor` (`Oid`, `IdConductor`, `Nombre`, `Area`, `Celular`, `correo`) VALUES ('409','52985421','SONIA LISETH GOMEZ CACERES','Dirección de Operaciones','3004085894','sonia.gomez@habitatbogota.gov.co');</v>
      </c>
    </row>
    <row r="417" spans="1:7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t="str">
        <f t="shared" si="13"/>
        <v>INSERT INTO `parqueadero`.`conductor` (`Oid`, `IdConductor`, `Nombre`, `Area`, `Celular`, `correo`) VALUES ('410','1073152672','SUSAN FERNANDA HOYOS OCAMPO','Oficina de Control Disciplinario Interno','3102543144','susan.hoyos@habitatbogota.gov.co');</v>
      </c>
    </row>
    <row r="418" spans="1:7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t="str">
        <f t="shared" si="13"/>
        <v>INSERT INTO `parqueadero`.`conductor` (`Oid`, `IdConductor`, `Nombre`, `Area`, `Celular`, `correo`) VALUES ('411','1006881475','TALIANA GÓMEZ OLIVEROS','Dirección de Información de Políticas Públicas','3157187705','taliana.gomez@habitatbogota.gov.co');</v>
      </c>
    </row>
    <row r="419" spans="1:7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t="str">
        <f t="shared" si="13"/>
        <v>INSERT INTO `parqueadero`.`conductor` (`Oid`, `IdConductor`, `Nombre`, `Area`, `Celular`, `correo`) VALUES ('412','1032472599','TANIA SOFIA PUENTES ROJAS','Dirección de Información de Políticas Públicas','3166351003','tania.puentes@habitatbogota.gov.co');</v>
      </c>
    </row>
    <row r="420" spans="1:7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t="str">
        <f t="shared" si="13"/>
        <v>INSERT INTO `parqueadero`.`conductor` (`Oid`, `IdConductor`, `Nombre`, `Area`, `Celular`, `correo`) VALUES ('413','1001299742','VALENTINA GARZON NOGUERA','Dirección de Financiación de Vivienda','3167568586','valentina.garzon@habitatbogota.gov.co');</v>
      </c>
    </row>
    <row r="421" spans="1:7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>
        <v>3196783827</v>
      </c>
      <c r="F421" s="8" t="s">
        <v>1932</v>
      </c>
      <c r="G421" t="str">
        <f t="shared" si="13"/>
        <v>INSERT INTO `parqueadero`.`conductor` (`Oid`, `IdConductor`, `Nombre`, `Area`, `Celular`, `correo`) VALUES ('414','1026264243','VERÓNICA ANDREA CHAPARRO PULIDO','Dirección de Prevención Arrendamiento y Control de Enajenación','3196783827','veronica.chaparro@habitatbogota.gov.co');</v>
      </c>
    </row>
    <row r="422" spans="1:7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t="str">
        <f t="shared" si="13"/>
        <v>INSERT INTO `parqueadero`.`conductor` (`Oid`, `IdConductor`, `Nombre`, `Area`, `Celular`, `correo`) VALUES ('415','74282260','VICTOR RAÚL NEIRA MORRIS ','Dirección de Investigaciones y Control de Vivienda','3103296374','victor.neira@habitatbogota.gov.co');</v>
      </c>
    </row>
    <row r="423" spans="1:7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t="str">
        <f t="shared" si="13"/>
        <v>INSERT INTO `parqueadero`.`conductor` (`Oid`, `IdConductor`, `Nombre`, `Area`, `Celular`, `correo`) VALUES ('416','52821918','VICTORIA CUNNINGHAM','Dirección de Mejoramiento Habitacional','3187954073','victoria.cunningham@habitatbogota.gov.co');</v>
      </c>
    </row>
    <row r="424" spans="1:7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t="str">
        <f t="shared" si="13"/>
        <v>INSERT INTO `parqueadero`.`conductor` (`Oid`, `IdConductor`, `Nombre`, `Area`, `Celular`, `correo`) VALUES ('417','52267468','VIVIANNA CRISTINA MONTEALEGRE ROJAS','Dirección de Financiación de Vivienda','3112711276','viviana.montealegre@habitatbogota.gov.co');</v>
      </c>
    </row>
    <row r="425" spans="1:7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t="str">
        <f t="shared" si="13"/>
        <v>INSERT INTO `parqueadero`.`conductor` (`Oid`, `IdConductor`, `Nombre`, `Area`, `Celular`, `correo`) VALUES ('418','1077086276','WENDY SHIRLEY LESMES GARZON','Dirección de Financiación de Vivienda','3024069280','wendy.lesmes@habitatbogota.gov.co');</v>
      </c>
    </row>
    <row r="426" spans="1:7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t="str">
        <f t="shared" si="13"/>
        <v>INSERT INTO `parqueadero`.`conductor` (`Oid`, `IdConductor`, `Nombre`, `Area`, `Celular`, `correo`) VALUES ('419','79945548','WILLIAM AVILA','Dirección de Servicios Públicos','3005504707','william.avila@gmail.com');</v>
      </c>
    </row>
    <row r="427" spans="1:7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t="str">
        <f t="shared" si="13"/>
        <v>INSERT INTO `parqueadero`.`conductor` (`Oid`, `IdConductor`, `Nombre`, `Area`, `Celular`, `correo`) VALUES ('420','1022332783','WILLIAM DAVID PERALTA TORRES','Dirección de Financiación de Vivienda','3174017065','william.peralta@habitatbogota.gov.co');</v>
      </c>
    </row>
    <row r="428" spans="1:7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t="str">
        <f t="shared" si="13"/>
        <v>INSERT INTO `parqueadero`.`conductor` (`Oid`, `IdConductor`, `Nombre`, `Area`, `Celular`, `correo`) VALUES ('421','79926309','WILLIAM HERNANDO ROMERO CASTRO','Dirección de Financiación de Vivienda','3202725249','william.romero@habitatbogota.gov.co');</v>
      </c>
    </row>
    <row r="429" spans="1:7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t="str">
        <f t="shared" si="13"/>
        <v>INSERT INTO `parqueadero`.`conductor` (`Oid`, `IdConductor`, `Nombre`, `Area`, `Celular`, `correo`) VALUES ('422','79908099','WILSON ALFONSO RAMIREZ MORALES','Dirección de Operaciones','3012386108','wilson.ramirez@habitatbogota.gov.co');</v>
      </c>
    </row>
    <row r="430" spans="1:7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t="str">
        <f t="shared" si="13"/>
        <v>INSERT INTO `parqueadero`.`conductor` (`Oid`, `IdConductor`, `Nombre`, `Area`, `Celular`, `correo`) VALUES ('423','79244560','WILSON ENRIQUE TOVAR SARMIENTO ','Dirección de Investigaciones y Control de Vivienda','3205349671','wilson.tovar@habitatbogota.gov.co');</v>
      </c>
    </row>
    <row r="431" spans="1:7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t="str">
        <f t="shared" si="13"/>
        <v>INSERT INTO `parqueadero`.`conductor` (`Oid`, `IdConductor`, `Nombre`, `Area`, `Celular`, `correo`) VALUES ('424','79698622','WILSON SALAZAR PINZÓN','Gestión Documental','3168952676','correspondenciasdht@habitatbogota.gov.co');</v>
      </c>
    </row>
    <row r="432" spans="1:7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t="str">
        <f t="shared" si="13"/>
        <v>INSERT INTO `parqueadero`.`conductor` (`Oid`, `IdConductor`, `Nombre`, `Area`, `Celular`, `correo`) VALUES ('425','80897139','WILVER VELASQUEZ RIVERA ','Oficina de Participación y Relacionamiento con la Ciudadanía','3213046961','wsvelasquez9@gmail.com');</v>
      </c>
    </row>
    <row r="433" spans="1:7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t="str">
        <f t="shared" si="13"/>
        <v>INSERT INTO `parqueadero`.`conductor` (`Oid`, `IdConductor`, `Nombre`, `Area`, `Celular`, `correo`) VALUES ('426','1015402271','XIMENA ANDREA GARZÓN BAHAMÓN','Oficina Asesora de Comunicaciones','3138846265','ximena.garzon@habitatbogota.gov.co');</v>
      </c>
    </row>
    <row r="434" spans="1:7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t="str">
        <f t="shared" si="13"/>
        <v>INSERT INTO `parqueadero`.`conductor` (`Oid`, `IdConductor`, `Nombre`, `Area`, `Celular`, `correo`) VALUES ('427','1014260067','XIMENA BIBIANA QUIMBAYO GODOY','Dirección de Hábitat y Entorno','3057090104','ximena.quimbayo@habitatbogota.gov.co');</v>
      </c>
    </row>
    <row r="435" spans="1:7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t="str">
        <f t="shared" si="13"/>
        <v>INSERT INTO `parqueadero`.`conductor` (`Oid`, `IdConductor`, `Nombre`, `Area`, `Celular`, `correo`) VALUES ('428','46672265','YADY ALEXANDRA GUEVARA BRICEÑO','Dirección de Financiación de Vivienda','3138894458','yady.guevara@habitatbogota.gov.co');</v>
      </c>
    </row>
    <row r="436" spans="1:7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t="str">
        <f t="shared" si="13"/>
        <v>INSERT INTO `parqueadero`.`conductor` (`Oid`, `IdConductor`, `Nombre`, `Area`, `Celular`, `correo`) VALUES ('429','24731198','YANERY OSORIO CORTES ','Dirección de Financiación de Vivienda','3102982496','yanery.osorio@habitatbogota.gov.co');</v>
      </c>
    </row>
    <row r="437" spans="1:7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t="str">
        <f t="shared" si="13"/>
        <v>INSERT INTO `parqueadero`.`conductor` (`Oid`, `IdConductor`, `Nombre`, `Area`, `Celular`, `correo`) VALUES ('430','52961559','YEIMY PAOLA LADINO PARDO','Oficina de Control Interno','3184016976','yeimy.ladino@habitatbogota.gov.co');</v>
      </c>
    </row>
    <row r="438" spans="1:7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t="str">
        <f t="shared" si="13"/>
        <v>INSERT INTO `parqueadero`.`conductor` (`Oid`, `IdConductor`, `Nombre`, `Area`, `Celular`, `correo`) VALUES ('431','1012330327','YEISSON FERNANDO ORTIZ SABOGAL','Dirección de Financiación de Vivienda','3223664247','yeisson.ortiz@habitatbogota.gov.co');</v>
      </c>
    </row>
    <row r="439" spans="1:7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t="str">
        <f t="shared" si="13"/>
        <v>INSERT INTO `parqueadero`.`conductor` (`Oid`, `IdConductor`, `Nombre`, `Area`, `Celular`, `correo`) VALUES ('432','1020722791','YÉSSSICA MARÍA BELTRÁN TORO','Dirección Administrativa','3194507035','yessica.beltran@habitatbogota.gov.co');</v>
      </c>
    </row>
    <row r="440" spans="1:7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>
        <v>3112795171</v>
      </c>
      <c r="F440" s="8" t="s">
        <v>1010</v>
      </c>
      <c r="G440" t="str">
        <f t="shared" si="13"/>
        <v>INSERT INTO `parqueadero`.`conductor` (`Oid`, `IdConductor`, `Nombre`, `Area`, `Celular`, `correo`) VALUES ('433','1072072690','YINNA ALEJANDRA CALDERÓN RODRÍGUEZ ','Dirección de Prevención Arrendamiento y Control de Enajenación','3112795171','yinna.calderon@habitatbogota.gov.co');</v>
      </c>
    </row>
    <row r="441" spans="1:7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t="str">
        <f t="shared" si="13"/>
        <v>INSERT INTO `parqueadero`.`conductor` (`Oid`, `IdConductor`, `Nombre`, `Area`, `Celular`, `correo`) VALUES ('434','1023010822','YUDY NATHALIA SÁNCHEZ SALAMANCA','Dirección de Financiación de Vivienda','3195746054','yudy.sanchez@habitatbogota.gov.co');</v>
      </c>
    </row>
    <row r="442" spans="1:7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13">
        <v>3138742147</v>
      </c>
      <c r="F442" s="8" t="s">
        <v>1842</v>
      </c>
      <c r="G442" t="str">
        <f t="shared" si="13"/>
        <v>INSERT INTO `parqueadero`.`conductor` (`Oid`, `IdConductor`, `Nombre`, `Area`, `Celular`, `correo`) VALUES ('435','1032396574','YULLI CATHERÍN CÁRDENAS MALAVER','Subsecretaría de Inspección Vigilancia y Control de Vivienda','3138742147','yulli.cardenas@habitatbogota.gov.co');</v>
      </c>
    </row>
    <row r="443" spans="1:7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t="str">
        <f t="shared" si="13"/>
        <v>INSERT INTO `parqueadero`.`conductor` (`Oid`, `IdConductor`, `Nombre`, `Area`, `Celular`, `correo`) VALUES ('436','52725553','YUMMAY LONDOÑO SANCHEZ','Dirección de Operaciones','3004771471','yummay.londono@habitatbogota.gov.co');</v>
      </c>
    </row>
    <row r="444" spans="1:7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t="str">
        <f t="shared" si="13"/>
        <v>INSERT INTO `parqueadero`.`conductor` (`Oid`, `IdConductor`, `Nombre`, `Area`, `Celular`, `correo`) VALUES ('437','52916128','YURI ANDREA RODRÍGUEZ HERNÁNDEZ','Gestión Documental','3213134770','fotocopias.habitat@habitatbogota.gov.co');</v>
      </c>
    </row>
    <row r="445" spans="1:7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>
        <v>3176685571</v>
      </c>
      <c r="F445" s="8" t="s">
        <v>558</v>
      </c>
      <c r="G445" t="str">
        <f t="shared" si="13"/>
        <v>INSERT INTO `parqueadero`.`conductor` (`Oid`, `IdConductor`, `Nombre`, `Area`, `Celular`, `correo`) VALUES ('438','30393634','ZAHIMIS MORENO VERGARA','Subsecretaría de Inspección Vigilancia y Control de Vivienda','3176685571','zahimis.moreno@habitatbogota.gov.co');</v>
      </c>
    </row>
    <row r="446" spans="1:7" ht="14.4" x14ac:dyDescent="0.3">
      <c r="A446"/>
      <c r="B446"/>
      <c r="C446"/>
      <c r="D446"/>
      <c r="E446"/>
      <c r="F446"/>
    </row>
    <row r="447" spans="1:7" ht="14.4" x14ac:dyDescent="0.3">
      <c r="A447"/>
      <c r="B447"/>
      <c r="C447"/>
      <c r="D447"/>
      <c r="E447"/>
      <c r="F447"/>
    </row>
    <row r="448" spans="1:7" ht="14.4" x14ac:dyDescent="0.3">
      <c r="A448"/>
      <c r="B448"/>
      <c r="C448"/>
      <c r="D448"/>
      <c r="E448"/>
      <c r="F448"/>
    </row>
    <row r="449" spans="1:6" ht="14.4" x14ac:dyDescent="0.3">
      <c r="A449"/>
      <c r="B449"/>
      <c r="C449"/>
      <c r="D449"/>
      <c r="E449"/>
      <c r="F449"/>
    </row>
    <row r="450" spans="1:6" ht="14.4" x14ac:dyDescent="0.3">
      <c r="A450"/>
      <c r="B450"/>
      <c r="C450"/>
      <c r="D450"/>
      <c r="E450"/>
      <c r="F450"/>
    </row>
    <row r="451" spans="1:6" ht="14.4" x14ac:dyDescent="0.3">
      <c r="A451"/>
      <c r="B451"/>
      <c r="C451"/>
      <c r="D451"/>
      <c r="E451"/>
      <c r="F451"/>
    </row>
    <row r="452" spans="1:6" ht="14.4" x14ac:dyDescent="0.3">
      <c r="A452"/>
      <c r="B452"/>
      <c r="C452"/>
      <c r="D452"/>
      <c r="E452"/>
      <c r="F452"/>
    </row>
    <row r="453" spans="1:6" ht="14.4" x14ac:dyDescent="0.3">
      <c r="A453"/>
      <c r="B453"/>
      <c r="C453"/>
      <c r="D453"/>
      <c r="E453"/>
      <c r="F453"/>
    </row>
    <row r="454" spans="1:6" ht="14.4" x14ac:dyDescent="0.3">
      <c r="A454"/>
      <c r="B454"/>
      <c r="C454"/>
      <c r="D454"/>
      <c r="E454"/>
      <c r="F454"/>
    </row>
    <row r="455" spans="1:6" ht="14.4" x14ac:dyDescent="0.3">
      <c r="A455"/>
      <c r="B455"/>
      <c r="C455"/>
      <c r="D455"/>
      <c r="E455"/>
      <c r="F455"/>
    </row>
    <row r="456" spans="1:6" ht="14.4" x14ac:dyDescent="0.3">
      <c r="A456"/>
      <c r="B456"/>
      <c r="C456"/>
      <c r="D456"/>
      <c r="E456"/>
      <c r="F456"/>
    </row>
    <row r="457" spans="1:6" ht="14.4" x14ac:dyDescent="0.3">
      <c r="A457"/>
      <c r="B457"/>
      <c r="C457"/>
      <c r="D457"/>
      <c r="E457"/>
      <c r="F457"/>
    </row>
    <row r="458" spans="1:6" ht="14.4" x14ac:dyDescent="0.3">
      <c r="A458"/>
      <c r="B458"/>
      <c r="C458"/>
      <c r="D458"/>
      <c r="E458"/>
      <c r="F458"/>
    </row>
    <row r="459" spans="1:6" ht="14.4" x14ac:dyDescent="0.3">
      <c r="A459"/>
      <c r="B459"/>
      <c r="C459"/>
      <c r="D459"/>
      <c r="E459"/>
      <c r="F459"/>
    </row>
    <row r="460" spans="1:6" ht="14.4" x14ac:dyDescent="0.3">
      <c r="A460"/>
      <c r="B460"/>
      <c r="C460"/>
      <c r="D460"/>
      <c r="E460"/>
      <c r="F460"/>
    </row>
    <row r="461" spans="1:6" ht="14.4" x14ac:dyDescent="0.3">
      <c r="A461"/>
      <c r="B461"/>
      <c r="C461"/>
      <c r="D461"/>
      <c r="E461"/>
      <c r="F461"/>
    </row>
    <row r="462" spans="1:6" ht="14.4" x14ac:dyDescent="0.3">
      <c r="A462"/>
      <c r="B462"/>
      <c r="C462"/>
      <c r="D462"/>
      <c r="E462"/>
      <c r="F462"/>
    </row>
    <row r="463" spans="1:6" ht="14.4" x14ac:dyDescent="0.3">
      <c r="A463"/>
      <c r="B463"/>
      <c r="C463"/>
      <c r="D463"/>
      <c r="E463"/>
      <c r="F463"/>
    </row>
    <row r="464" spans="1:6" ht="14.4" x14ac:dyDescent="0.3">
      <c r="A464"/>
      <c r="B464"/>
      <c r="C464"/>
      <c r="D464"/>
      <c r="E464"/>
      <c r="F464"/>
    </row>
    <row r="465" spans="1:6" ht="14.4" x14ac:dyDescent="0.3">
      <c r="A465"/>
      <c r="B465"/>
      <c r="C465"/>
      <c r="D465"/>
      <c r="E465"/>
      <c r="F465"/>
    </row>
    <row r="466" spans="1:6" ht="14.4" x14ac:dyDescent="0.3">
      <c r="A466"/>
      <c r="B466"/>
      <c r="C466"/>
      <c r="D466"/>
      <c r="E466"/>
      <c r="F466"/>
    </row>
    <row r="467" spans="1:6" ht="14.4" x14ac:dyDescent="0.3">
      <c r="A467"/>
      <c r="B467"/>
      <c r="C467"/>
      <c r="D467"/>
      <c r="E467"/>
      <c r="F467"/>
    </row>
    <row r="468" spans="1:6" ht="14.4" x14ac:dyDescent="0.3">
      <c r="A468"/>
      <c r="B468"/>
      <c r="C468"/>
      <c r="D468"/>
      <c r="E468"/>
      <c r="F468"/>
    </row>
    <row r="469" spans="1:6" ht="14.4" x14ac:dyDescent="0.3">
      <c r="A469"/>
      <c r="B469"/>
      <c r="C469"/>
      <c r="D469"/>
      <c r="E469"/>
      <c r="F469"/>
    </row>
    <row r="470" spans="1:6" ht="14.4" x14ac:dyDescent="0.3">
      <c r="A470"/>
      <c r="B470"/>
      <c r="C470"/>
      <c r="D470"/>
      <c r="E470"/>
      <c r="F470"/>
    </row>
    <row r="471" spans="1:6" ht="14.4" x14ac:dyDescent="0.3">
      <c r="A471"/>
      <c r="B471"/>
      <c r="C471"/>
      <c r="D471"/>
      <c r="E471"/>
      <c r="F471"/>
    </row>
    <row r="472" spans="1:6" ht="14.4" x14ac:dyDescent="0.3">
      <c r="A472"/>
      <c r="B472"/>
      <c r="C472"/>
      <c r="D472"/>
      <c r="E472"/>
      <c r="F472"/>
    </row>
    <row r="473" spans="1:6" ht="14.4" x14ac:dyDescent="0.3">
      <c r="A473"/>
      <c r="B473"/>
      <c r="C473"/>
      <c r="D473"/>
      <c r="E473"/>
      <c r="F473"/>
    </row>
    <row r="474" spans="1:6" ht="14.4" x14ac:dyDescent="0.3">
      <c r="A474"/>
      <c r="B474"/>
      <c r="C474"/>
      <c r="D474"/>
      <c r="E474"/>
      <c r="F474"/>
    </row>
    <row r="475" spans="1:6" ht="14.4" x14ac:dyDescent="0.3">
      <c r="A475"/>
      <c r="B475"/>
      <c r="C475"/>
      <c r="D475"/>
      <c r="E475"/>
      <c r="F475"/>
    </row>
    <row r="476" spans="1:6" ht="14.4" x14ac:dyDescent="0.3">
      <c r="A476"/>
      <c r="B476"/>
      <c r="C476"/>
      <c r="D476"/>
      <c r="E476"/>
      <c r="F476"/>
    </row>
    <row r="477" spans="1:6" ht="14.4" x14ac:dyDescent="0.3">
      <c r="A477"/>
      <c r="B477"/>
      <c r="C477"/>
      <c r="D477"/>
      <c r="E477"/>
      <c r="F477"/>
    </row>
    <row r="478" spans="1:6" ht="14.4" x14ac:dyDescent="0.3">
      <c r="A478"/>
      <c r="B478"/>
      <c r="C478"/>
      <c r="D478"/>
      <c r="E478"/>
      <c r="F478"/>
    </row>
    <row r="479" spans="1:6" ht="14.4" x14ac:dyDescent="0.3">
      <c r="A479"/>
      <c r="B479"/>
      <c r="C479"/>
      <c r="D479"/>
      <c r="E479"/>
      <c r="F479"/>
    </row>
    <row r="480" spans="1:6" ht="14.4" x14ac:dyDescent="0.3">
      <c r="A480"/>
      <c r="B480"/>
      <c r="C480"/>
      <c r="D480"/>
      <c r="E480"/>
      <c r="F480"/>
    </row>
    <row r="481" spans="1:6" ht="14.4" x14ac:dyDescent="0.3">
      <c r="A481"/>
      <c r="B481"/>
      <c r="C481"/>
      <c r="D481"/>
      <c r="E481"/>
      <c r="F481"/>
    </row>
    <row r="482" spans="1:6" ht="14.4" x14ac:dyDescent="0.3">
      <c r="A482"/>
      <c r="B482"/>
      <c r="C482"/>
      <c r="D482"/>
      <c r="E482"/>
      <c r="F482"/>
    </row>
    <row r="483" spans="1:6" ht="14.4" x14ac:dyDescent="0.3">
      <c r="A483"/>
      <c r="B483"/>
      <c r="C483"/>
      <c r="D483"/>
      <c r="E483"/>
      <c r="F483"/>
    </row>
    <row r="484" spans="1:6" ht="14.4" x14ac:dyDescent="0.3">
      <c r="A484"/>
      <c r="B484"/>
      <c r="C484"/>
      <c r="D484"/>
      <c r="E484"/>
      <c r="F484"/>
    </row>
    <row r="485" spans="1:6" ht="14.4" x14ac:dyDescent="0.3">
      <c r="A485"/>
      <c r="B485"/>
      <c r="C485"/>
      <c r="D485"/>
      <c r="E485"/>
      <c r="F485"/>
    </row>
    <row r="486" spans="1:6" ht="14.4" x14ac:dyDescent="0.3">
      <c r="A486"/>
      <c r="B486"/>
      <c r="C486"/>
      <c r="D486"/>
      <c r="E486"/>
      <c r="F486"/>
    </row>
    <row r="487" spans="1:6" ht="14.4" x14ac:dyDescent="0.3">
      <c r="A487"/>
      <c r="B487"/>
      <c r="C487"/>
      <c r="D487"/>
      <c r="E487"/>
      <c r="F487"/>
    </row>
    <row r="488" spans="1:6" ht="14.4" x14ac:dyDescent="0.3">
      <c r="A488"/>
      <c r="B488"/>
      <c r="C488"/>
      <c r="D488"/>
      <c r="E488"/>
      <c r="F488"/>
    </row>
    <row r="489" spans="1:6" ht="14.4" x14ac:dyDescent="0.3">
      <c r="A489"/>
      <c r="B489"/>
      <c r="C489"/>
      <c r="D489"/>
      <c r="E489"/>
      <c r="F489"/>
    </row>
  </sheetData>
  <mergeCells count="1">
    <mergeCell ref="A3:F4"/>
  </mergeCells>
  <conditionalFormatting sqref="B8:B445">
    <cfRule type="duplicateValues" dxfId="3" priority="28"/>
  </conditionalFormatting>
  <conditionalFormatting sqref="B1:B1048576">
    <cfRule type="duplicateValues" dxfId="2" priority="1"/>
  </conditionalFormatting>
  <hyperlinks>
    <hyperlink ref="F344" r:id="rId1"/>
    <hyperlink ref="F171" r:id="rId2"/>
    <hyperlink ref="F86" r:id="rId3"/>
    <hyperlink ref="F276" r:id="rId4"/>
    <hyperlink ref="F11" r:id="rId5"/>
    <hyperlink ref="F348" r:id="rId6"/>
    <hyperlink ref="F114" r:id="rId7"/>
    <hyperlink ref="F109" r:id="rId8"/>
    <hyperlink ref="F106" r:id="rId9"/>
    <hyperlink ref="F359" r:id="rId10"/>
    <hyperlink ref="F175" r:id="rId11"/>
    <hyperlink ref="F313" r:id="rId12"/>
    <hyperlink ref="F338" r:id="rId13"/>
    <hyperlink ref="F283" r:id="rId14"/>
    <hyperlink ref="F39" r:id="rId15"/>
    <hyperlink ref="F141" r:id="rId16"/>
    <hyperlink ref="F370" r:id="rId17"/>
    <hyperlink ref="F27" r:id="rId18"/>
    <hyperlink ref="F441" r:id="rId19"/>
    <hyperlink ref="F322" r:id="rId20"/>
    <hyperlink ref="F164" r:id="rId21"/>
    <hyperlink ref="F59" r:id="rId22"/>
    <hyperlink ref="F232" r:id="rId23"/>
    <hyperlink ref="F398" r:id="rId24"/>
    <hyperlink ref="F151" r:id="rId25"/>
    <hyperlink ref="F371" r:id="rId26"/>
    <hyperlink ref="F15" r:id="rId27"/>
    <hyperlink ref="F245" r:id="rId28"/>
    <hyperlink ref="F262" r:id="rId29"/>
    <hyperlink ref="F409" r:id="rId30"/>
    <hyperlink ref="F160" r:id="rId31"/>
    <hyperlink ref="F210" r:id="rId32"/>
    <hyperlink ref="F281" r:id="rId33"/>
    <hyperlink ref="F258" r:id="rId34"/>
    <hyperlink ref="F207" r:id="rId35"/>
    <hyperlink ref="F269" r:id="rId36"/>
    <hyperlink ref="F108" r:id="rId37"/>
    <hyperlink ref="F255" r:id="rId38"/>
    <hyperlink ref="F203" r:id="rId39"/>
    <hyperlink ref="F112" r:id="rId40"/>
    <hyperlink ref="F296" r:id="rId41"/>
    <hyperlink ref="F351" r:id="rId42"/>
    <hyperlink ref="F406" r:id="rId43"/>
    <hyperlink ref="F233" r:id="rId44"/>
    <hyperlink ref="F442" r:id="rId45" display="yulli.cardenas@contraloriabogota.gov.co"/>
    <hyperlink ref="F8" r:id="rId46" display="adriana.bello@contraloriabogota.gov.co"/>
    <hyperlink ref="F195" r:id="rId47" display="jeison.santos@contraloriabogota.gov.co"/>
    <hyperlink ref="F87" r:id="rId48" display="cindy.valderrama@contraloriabogota.gov.co"/>
    <hyperlink ref="F444" r:id="rId49"/>
    <hyperlink ref="F129" r:id="rId50"/>
    <hyperlink ref="F50" r:id="rId51"/>
    <hyperlink ref="F159" r:id="rId52"/>
    <hyperlink ref="F415" r:id="rId53"/>
    <hyperlink ref="F336" r:id="rId54"/>
    <hyperlink ref="F434" r:id="rId55"/>
    <hyperlink ref="F437" r:id="rId56"/>
    <hyperlink ref="F260" r:id="rId57"/>
    <hyperlink ref="F202" r:id="rId58"/>
    <hyperlink ref="F124" r:id="rId59"/>
    <hyperlink ref="F220" r:id="rId60"/>
    <hyperlink ref="F206" r:id="rId61"/>
    <hyperlink ref="F421" r:id="rId62"/>
    <hyperlink ref="F314" r:id="rId63"/>
    <hyperlink ref="F61" r:id="rId64"/>
    <hyperlink ref="F315" r:id="rId65"/>
    <hyperlink ref="F378" r:id="rId66"/>
    <hyperlink ref="F188" r:id="rId67"/>
    <hyperlink ref="F347" r:id="rId68"/>
    <hyperlink ref="F162" r:id="rId69"/>
    <hyperlink ref="F147" r:id="rId70"/>
    <hyperlink ref="F244" r:id="rId71"/>
    <hyperlink ref="F26" r:id="rId72"/>
    <hyperlink ref="F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</row>
    <row r="4" spans="1:19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7" spans="1:19" customFormat="1" ht="14.4" x14ac:dyDescent="0.3">
      <c r="A7" s="1"/>
      <c r="B7" s="2" t="s">
        <v>0</v>
      </c>
      <c r="C7" s="2" t="s">
        <v>1</v>
      </c>
      <c r="D7" s="2" t="s">
        <v>2195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VEHICULO</vt:lpstr>
      <vt:lpstr>Hoja8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2026-08-21T18:05:44Z</dcterms:modified>
</cp:coreProperties>
</file>