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parqueadero\"/>
    </mc:Choice>
  </mc:AlternateContent>
  <bookViews>
    <workbookView xWindow="0" yWindow="0" windowWidth="23040" windowHeight="8496" firstSheet="1" activeTab="7"/>
  </bookViews>
  <sheets>
    <sheet name="CONTRATOS" sheetId="8" r:id="rId1"/>
    <sheet name="PATINETA" sheetId="6" r:id="rId2"/>
    <sheet name="BICICLETA" sheetId="5" r:id="rId3"/>
    <sheet name="MOTO ELECTRICA" sheetId="10" r:id="rId4"/>
    <sheet name="VEHICULO" sheetId="3" r:id="rId5"/>
    <sheet name="Hoja1" sheetId="11" r:id="rId6"/>
    <sheet name="CAMIONETA" sheetId="2" state="hidden" r:id="rId7"/>
    <sheet name="CONDUCTOR" sheetId="7" r:id="rId8"/>
    <sheet name="2025" sheetId="1" r:id="rId9"/>
  </sheets>
  <definedNames>
    <definedName name="_xlnm._FilterDatabase" localSheetId="8" hidden="1">'2025'!$A$7:$Q$514</definedName>
    <definedName name="_xlnm._FilterDatabase" localSheetId="2" hidden="1">BICICLETA!$A$7:$I$38</definedName>
    <definedName name="_xlnm._FilterDatabase" localSheetId="6" hidden="1">CAMIONETA!$A$7:$R$514</definedName>
    <definedName name="_xlnm._FilterDatabase" localSheetId="7" hidden="1">CONDUCTOR!$A$7:$I$445</definedName>
    <definedName name="_xlnm._FilterDatabase" localSheetId="0" hidden="1">CONTRATOS!$A$7:$K$445</definedName>
    <definedName name="_xlnm._FilterDatabase" localSheetId="3" hidden="1">'MOTO ELECTRICA'!$A$7:$H$12</definedName>
    <definedName name="_xlnm._FilterDatabase" localSheetId="1" hidden="1">PATINETA!$A$7:$G$26</definedName>
    <definedName name="_xlnm._FilterDatabase" localSheetId="4" hidden="1">VEHICULO!$A$7:$H$456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1" l="1"/>
  <c r="A12" i="10" l="1"/>
  <c r="H12" i="10" s="1"/>
  <c r="A11" i="10"/>
  <c r="H11" i="10" s="1"/>
  <c r="A10" i="10"/>
  <c r="H10" i="10" s="1"/>
  <c r="A9" i="10"/>
  <c r="H9" i="10" s="1"/>
  <c r="A8" i="10"/>
  <c r="H8" i="10" s="1"/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8" i="1"/>
  <c r="A9" i="3"/>
  <c r="H9" i="3" s="1"/>
  <c r="A10" i="3"/>
  <c r="H10" i="3" s="1"/>
  <c r="A11" i="3"/>
  <c r="H11" i="3" s="1"/>
  <c r="A12" i="3"/>
  <c r="H12" i="3" s="1"/>
  <c r="A13" i="3"/>
  <c r="H13" i="3" s="1"/>
  <c r="A14" i="3"/>
  <c r="H14" i="3" s="1"/>
  <c r="A15" i="3"/>
  <c r="H15" i="3" s="1"/>
  <c r="A16" i="3"/>
  <c r="H16" i="3" s="1"/>
  <c r="A17" i="3"/>
  <c r="H17" i="3" s="1"/>
  <c r="A18" i="3"/>
  <c r="H18" i="3" s="1"/>
  <c r="A19" i="3"/>
  <c r="H19" i="3" s="1"/>
  <c r="A20" i="3"/>
  <c r="H20" i="3" s="1"/>
  <c r="A21" i="3"/>
  <c r="H21" i="3" s="1"/>
  <c r="A22" i="3"/>
  <c r="H22" i="3" s="1"/>
  <c r="A23" i="3"/>
  <c r="H23" i="3" s="1"/>
  <c r="A24" i="3"/>
  <c r="H24" i="3" s="1"/>
  <c r="A25" i="3"/>
  <c r="H25" i="3" s="1"/>
  <c r="A26" i="3"/>
  <c r="H26" i="3" s="1"/>
  <c r="A27" i="3"/>
  <c r="H27" i="3" s="1"/>
  <c r="A28" i="3"/>
  <c r="H28" i="3" s="1"/>
  <c r="A29" i="3"/>
  <c r="H29" i="3" s="1"/>
  <c r="A30" i="3"/>
  <c r="H30" i="3" s="1"/>
  <c r="A31" i="3"/>
  <c r="H31" i="3" s="1"/>
  <c r="A32" i="3"/>
  <c r="H32" i="3" s="1"/>
  <c r="A33" i="3"/>
  <c r="H33" i="3" s="1"/>
  <c r="A34" i="3"/>
  <c r="H34" i="3" s="1"/>
  <c r="A35" i="3"/>
  <c r="H35" i="3" s="1"/>
  <c r="A36" i="3"/>
  <c r="H36" i="3" s="1"/>
  <c r="A37" i="3"/>
  <c r="H37" i="3" s="1"/>
  <c r="A38" i="3"/>
  <c r="H38" i="3" s="1"/>
  <c r="A39" i="3"/>
  <c r="H39" i="3" s="1"/>
  <c r="A40" i="3"/>
  <c r="H40" i="3" s="1"/>
  <c r="A41" i="3"/>
  <c r="H41" i="3" s="1"/>
  <c r="A42" i="3"/>
  <c r="H42" i="3" s="1"/>
  <c r="A43" i="3"/>
  <c r="H43" i="3" s="1"/>
  <c r="A44" i="3"/>
  <c r="H44" i="3" s="1"/>
  <c r="A45" i="3"/>
  <c r="H45" i="3" s="1"/>
  <c r="A46" i="3"/>
  <c r="H46" i="3" s="1"/>
  <c r="A47" i="3"/>
  <c r="H47" i="3" s="1"/>
  <c r="A48" i="3"/>
  <c r="H48" i="3" s="1"/>
  <c r="A49" i="3"/>
  <c r="H49" i="3" s="1"/>
  <c r="A50" i="3"/>
  <c r="H50" i="3" s="1"/>
  <c r="A51" i="3"/>
  <c r="H51" i="3" s="1"/>
  <c r="A52" i="3"/>
  <c r="H52" i="3" s="1"/>
  <c r="A53" i="3"/>
  <c r="H53" i="3" s="1"/>
  <c r="A54" i="3"/>
  <c r="H54" i="3" s="1"/>
  <c r="A55" i="3"/>
  <c r="H55" i="3" s="1"/>
  <c r="A56" i="3"/>
  <c r="H56" i="3" s="1"/>
  <c r="A57" i="3"/>
  <c r="H57" i="3" s="1"/>
  <c r="A58" i="3"/>
  <c r="H58" i="3" s="1"/>
  <c r="A59" i="3"/>
  <c r="H59" i="3" s="1"/>
  <c r="A60" i="3"/>
  <c r="H60" i="3" s="1"/>
  <c r="A61" i="3"/>
  <c r="H61" i="3" s="1"/>
  <c r="A62" i="3"/>
  <c r="H62" i="3" s="1"/>
  <c r="A63" i="3"/>
  <c r="H63" i="3" s="1"/>
  <c r="A64" i="3"/>
  <c r="H64" i="3" s="1"/>
  <c r="A65" i="3"/>
  <c r="H65" i="3" s="1"/>
  <c r="A66" i="3"/>
  <c r="H66" i="3" s="1"/>
  <c r="A67" i="3"/>
  <c r="H67" i="3" s="1"/>
  <c r="A68" i="3"/>
  <c r="H68" i="3" s="1"/>
  <c r="A69" i="3"/>
  <c r="H69" i="3" s="1"/>
  <c r="A70" i="3"/>
  <c r="H70" i="3" s="1"/>
  <c r="A71" i="3"/>
  <c r="H71" i="3" s="1"/>
  <c r="A72" i="3"/>
  <c r="H72" i="3" s="1"/>
  <c r="A73" i="3"/>
  <c r="H73" i="3" s="1"/>
  <c r="A74" i="3"/>
  <c r="H74" i="3" s="1"/>
  <c r="A75" i="3"/>
  <c r="H75" i="3" s="1"/>
  <c r="A76" i="3"/>
  <c r="H76" i="3" s="1"/>
  <c r="A77" i="3"/>
  <c r="H77" i="3" s="1"/>
  <c r="A78" i="3"/>
  <c r="H78" i="3" s="1"/>
  <c r="A79" i="3"/>
  <c r="H79" i="3" s="1"/>
  <c r="A80" i="3"/>
  <c r="H80" i="3" s="1"/>
  <c r="A81" i="3"/>
  <c r="H81" i="3" s="1"/>
  <c r="A82" i="3"/>
  <c r="H82" i="3" s="1"/>
  <c r="A83" i="3"/>
  <c r="H83" i="3" s="1"/>
  <c r="A84" i="3"/>
  <c r="H84" i="3" s="1"/>
  <c r="A85" i="3"/>
  <c r="H85" i="3" s="1"/>
  <c r="A86" i="3"/>
  <c r="H86" i="3" s="1"/>
  <c r="A87" i="3"/>
  <c r="H87" i="3" s="1"/>
  <c r="A88" i="3"/>
  <c r="H88" i="3" s="1"/>
  <c r="A89" i="3"/>
  <c r="H89" i="3" s="1"/>
  <c r="A90" i="3"/>
  <c r="H90" i="3" s="1"/>
  <c r="A91" i="3"/>
  <c r="H91" i="3" s="1"/>
  <c r="A92" i="3"/>
  <c r="H92" i="3" s="1"/>
  <c r="A93" i="3"/>
  <c r="H93" i="3" s="1"/>
  <c r="A94" i="3"/>
  <c r="H94" i="3" s="1"/>
  <c r="A95" i="3"/>
  <c r="H95" i="3" s="1"/>
  <c r="A96" i="3"/>
  <c r="H96" i="3" s="1"/>
  <c r="A97" i="3"/>
  <c r="H97" i="3" s="1"/>
  <c r="A98" i="3"/>
  <c r="H98" i="3" s="1"/>
  <c r="A99" i="3"/>
  <c r="H99" i="3" s="1"/>
  <c r="A100" i="3"/>
  <c r="H100" i="3" s="1"/>
  <c r="A101" i="3"/>
  <c r="H101" i="3" s="1"/>
  <c r="A102" i="3"/>
  <c r="H102" i="3" s="1"/>
  <c r="A103" i="3"/>
  <c r="H103" i="3" s="1"/>
  <c r="A104" i="3"/>
  <c r="H104" i="3" s="1"/>
  <c r="A105" i="3"/>
  <c r="H105" i="3" s="1"/>
  <c r="A106" i="3"/>
  <c r="H106" i="3" s="1"/>
  <c r="A107" i="3"/>
  <c r="H107" i="3" s="1"/>
  <c r="A108" i="3"/>
  <c r="H108" i="3" s="1"/>
  <c r="A109" i="3"/>
  <c r="H109" i="3" s="1"/>
  <c r="A110" i="3"/>
  <c r="H110" i="3" s="1"/>
  <c r="A111" i="3"/>
  <c r="H111" i="3" s="1"/>
  <c r="A112" i="3"/>
  <c r="H112" i="3" s="1"/>
  <c r="A113" i="3"/>
  <c r="H113" i="3" s="1"/>
  <c r="A114" i="3"/>
  <c r="H114" i="3" s="1"/>
  <c r="A115" i="3"/>
  <c r="H115" i="3" s="1"/>
  <c r="A116" i="3"/>
  <c r="H116" i="3" s="1"/>
  <c r="A117" i="3"/>
  <c r="H117" i="3" s="1"/>
  <c r="A118" i="3"/>
  <c r="H118" i="3" s="1"/>
  <c r="A119" i="3"/>
  <c r="H119" i="3" s="1"/>
  <c r="A120" i="3"/>
  <c r="H120" i="3" s="1"/>
  <c r="A121" i="3"/>
  <c r="H121" i="3" s="1"/>
  <c r="A122" i="3"/>
  <c r="H122" i="3" s="1"/>
  <c r="A123" i="3"/>
  <c r="H123" i="3" s="1"/>
  <c r="A124" i="3"/>
  <c r="H124" i="3" s="1"/>
  <c r="A125" i="3"/>
  <c r="H125" i="3" s="1"/>
  <c r="A126" i="3"/>
  <c r="H126" i="3" s="1"/>
  <c r="A127" i="3"/>
  <c r="H127" i="3" s="1"/>
  <c r="A128" i="3"/>
  <c r="H128" i="3" s="1"/>
  <c r="A129" i="3"/>
  <c r="H129" i="3" s="1"/>
  <c r="A130" i="3"/>
  <c r="H130" i="3" s="1"/>
  <c r="A131" i="3"/>
  <c r="H131" i="3" s="1"/>
  <c r="A132" i="3"/>
  <c r="H132" i="3" s="1"/>
  <c r="A133" i="3"/>
  <c r="H133" i="3" s="1"/>
  <c r="A134" i="3"/>
  <c r="H134" i="3" s="1"/>
  <c r="A135" i="3"/>
  <c r="H135" i="3" s="1"/>
  <c r="A136" i="3"/>
  <c r="H136" i="3" s="1"/>
  <c r="A137" i="3"/>
  <c r="H137" i="3" s="1"/>
  <c r="A138" i="3"/>
  <c r="H138" i="3" s="1"/>
  <c r="A139" i="3"/>
  <c r="H139" i="3" s="1"/>
  <c r="A140" i="3"/>
  <c r="H140" i="3" s="1"/>
  <c r="A141" i="3"/>
  <c r="H141" i="3" s="1"/>
  <c r="A142" i="3"/>
  <c r="H142" i="3" s="1"/>
  <c r="A143" i="3"/>
  <c r="H143" i="3" s="1"/>
  <c r="A144" i="3"/>
  <c r="H144" i="3" s="1"/>
  <c r="A145" i="3"/>
  <c r="H145" i="3" s="1"/>
  <c r="A146" i="3"/>
  <c r="H146" i="3" s="1"/>
  <c r="A147" i="3"/>
  <c r="H147" i="3" s="1"/>
  <c r="A148" i="3"/>
  <c r="H148" i="3" s="1"/>
  <c r="A149" i="3"/>
  <c r="H149" i="3" s="1"/>
  <c r="A150" i="3"/>
  <c r="H150" i="3" s="1"/>
  <c r="A151" i="3"/>
  <c r="H151" i="3" s="1"/>
  <c r="A152" i="3"/>
  <c r="H152" i="3" s="1"/>
  <c r="A153" i="3"/>
  <c r="H153" i="3" s="1"/>
  <c r="A154" i="3"/>
  <c r="H154" i="3" s="1"/>
  <c r="A155" i="3"/>
  <c r="H155" i="3" s="1"/>
  <c r="A156" i="3"/>
  <c r="H156" i="3" s="1"/>
  <c r="A157" i="3"/>
  <c r="H157" i="3" s="1"/>
  <c r="A158" i="3"/>
  <c r="H158" i="3" s="1"/>
  <c r="A159" i="3"/>
  <c r="H159" i="3" s="1"/>
  <c r="A160" i="3"/>
  <c r="H160" i="3" s="1"/>
  <c r="A161" i="3"/>
  <c r="H161" i="3" s="1"/>
  <c r="A162" i="3"/>
  <c r="H162" i="3" s="1"/>
  <c r="A163" i="3"/>
  <c r="H163" i="3" s="1"/>
  <c r="A164" i="3"/>
  <c r="H164" i="3" s="1"/>
  <c r="A165" i="3"/>
  <c r="H165" i="3" s="1"/>
  <c r="A166" i="3"/>
  <c r="H166" i="3" s="1"/>
  <c r="A167" i="3"/>
  <c r="H167" i="3" s="1"/>
  <c r="A168" i="3"/>
  <c r="H168" i="3" s="1"/>
  <c r="A169" i="3"/>
  <c r="H169" i="3" s="1"/>
  <c r="A170" i="3"/>
  <c r="H170" i="3" s="1"/>
  <c r="A171" i="3"/>
  <c r="H171" i="3" s="1"/>
  <c r="A172" i="3"/>
  <c r="H172" i="3" s="1"/>
  <c r="A173" i="3"/>
  <c r="H173" i="3" s="1"/>
  <c r="A174" i="3"/>
  <c r="H174" i="3" s="1"/>
  <c r="A175" i="3"/>
  <c r="H175" i="3" s="1"/>
  <c r="A176" i="3"/>
  <c r="H176" i="3" s="1"/>
  <c r="A177" i="3"/>
  <c r="H177" i="3" s="1"/>
  <c r="A178" i="3"/>
  <c r="H178" i="3" s="1"/>
  <c r="A179" i="3"/>
  <c r="H179" i="3" s="1"/>
  <c r="A180" i="3"/>
  <c r="H180" i="3" s="1"/>
  <c r="A181" i="3"/>
  <c r="H181" i="3" s="1"/>
  <c r="A182" i="3"/>
  <c r="H182" i="3" s="1"/>
  <c r="A183" i="3"/>
  <c r="H183" i="3" s="1"/>
  <c r="A184" i="3"/>
  <c r="H184" i="3" s="1"/>
  <c r="A185" i="3"/>
  <c r="H185" i="3" s="1"/>
  <c r="A186" i="3"/>
  <c r="H186" i="3" s="1"/>
  <c r="A187" i="3"/>
  <c r="H187" i="3" s="1"/>
  <c r="A188" i="3"/>
  <c r="H188" i="3" s="1"/>
  <c r="A189" i="3"/>
  <c r="H189" i="3" s="1"/>
  <c r="A190" i="3"/>
  <c r="H190" i="3" s="1"/>
  <c r="A191" i="3"/>
  <c r="H191" i="3" s="1"/>
  <c r="A192" i="3"/>
  <c r="H192" i="3" s="1"/>
  <c r="A193" i="3"/>
  <c r="H193" i="3" s="1"/>
  <c r="A194" i="3"/>
  <c r="H194" i="3" s="1"/>
  <c r="A195" i="3"/>
  <c r="H195" i="3" s="1"/>
  <c r="A196" i="3"/>
  <c r="H196" i="3" s="1"/>
  <c r="A197" i="3"/>
  <c r="H197" i="3" s="1"/>
  <c r="A198" i="3"/>
  <c r="H198" i="3" s="1"/>
  <c r="A199" i="3"/>
  <c r="H199" i="3" s="1"/>
  <c r="A200" i="3"/>
  <c r="H200" i="3" s="1"/>
  <c r="A201" i="3"/>
  <c r="H201" i="3" s="1"/>
  <c r="A202" i="3"/>
  <c r="H202" i="3" s="1"/>
  <c r="A203" i="3"/>
  <c r="H203" i="3" s="1"/>
  <c r="A204" i="3"/>
  <c r="H204" i="3" s="1"/>
  <c r="A205" i="3"/>
  <c r="H205" i="3" s="1"/>
  <c r="A206" i="3"/>
  <c r="H206" i="3" s="1"/>
  <c r="A207" i="3"/>
  <c r="H207" i="3" s="1"/>
  <c r="A208" i="3"/>
  <c r="H208" i="3" s="1"/>
  <c r="A209" i="3"/>
  <c r="H209" i="3" s="1"/>
  <c r="A210" i="3"/>
  <c r="H210" i="3" s="1"/>
  <c r="A211" i="3"/>
  <c r="H211" i="3" s="1"/>
  <c r="A212" i="3"/>
  <c r="H212" i="3" s="1"/>
  <c r="A213" i="3"/>
  <c r="H213" i="3" s="1"/>
  <c r="A214" i="3"/>
  <c r="H214" i="3" s="1"/>
  <c r="A215" i="3"/>
  <c r="H215" i="3" s="1"/>
  <c r="A216" i="3"/>
  <c r="H216" i="3" s="1"/>
  <c r="A217" i="3"/>
  <c r="H217" i="3" s="1"/>
  <c r="A218" i="3"/>
  <c r="H218" i="3" s="1"/>
  <c r="A219" i="3"/>
  <c r="H219" i="3" s="1"/>
  <c r="A220" i="3"/>
  <c r="H220" i="3" s="1"/>
  <c r="A221" i="3"/>
  <c r="H221" i="3" s="1"/>
  <c r="A222" i="3"/>
  <c r="H222" i="3" s="1"/>
  <c r="A223" i="3"/>
  <c r="H223" i="3" s="1"/>
  <c r="A224" i="3"/>
  <c r="H224" i="3" s="1"/>
  <c r="A225" i="3"/>
  <c r="H225" i="3" s="1"/>
  <c r="A226" i="3"/>
  <c r="H226" i="3" s="1"/>
  <c r="A227" i="3"/>
  <c r="H227" i="3" s="1"/>
  <c r="A228" i="3"/>
  <c r="H228" i="3" s="1"/>
  <c r="A229" i="3"/>
  <c r="H229" i="3" s="1"/>
  <c r="A230" i="3"/>
  <c r="H230" i="3" s="1"/>
  <c r="A231" i="3"/>
  <c r="H231" i="3" s="1"/>
  <c r="A232" i="3"/>
  <c r="H232" i="3" s="1"/>
  <c r="A233" i="3"/>
  <c r="H233" i="3" s="1"/>
  <c r="A234" i="3"/>
  <c r="H234" i="3" s="1"/>
  <c r="A235" i="3"/>
  <c r="H235" i="3" s="1"/>
  <c r="A236" i="3"/>
  <c r="H236" i="3" s="1"/>
  <c r="A237" i="3"/>
  <c r="H237" i="3" s="1"/>
  <c r="A238" i="3"/>
  <c r="H238" i="3" s="1"/>
  <c r="A239" i="3"/>
  <c r="H239" i="3" s="1"/>
  <c r="A240" i="3"/>
  <c r="H240" i="3" s="1"/>
  <c r="A241" i="3"/>
  <c r="H241" i="3" s="1"/>
  <c r="A242" i="3"/>
  <c r="H242" i="3" s="1"/>
  <c r="A243" i="3"/>
  <c r="H243" i="3" s="1"/>
  <c r="A244" i="3"/>
  <c r="H244" i="3" s="1"/>
  <c r="A245" i="3"/>
  <c r="H245" i="3" s="1"/>
  <c r="A246" i="3"/>
  <c r="H246" i="3" s="1"/>
  <c r="A247" i="3"/>
  <c r="H247" i="3" s="1"/>
  <c r="A248" i="3"/>
  <c r="H248" i="3" s="1"/>
  <c r="A249" i="3"/>
  <c r="H249" i="3" s="1"/>
  <c r="A250" i="3"/>
  <c r="H250" i="3" s="1"/>
  <c r="A251" i="3"/>
  <c r="H251" i="3" s="1"/>
  <c r="A252" i="3"/>
  <c r="H252" i="3" s="1"/>
  <c r="A253" i="3"/>
  <c r="H253" i="3" s="1"/>
  <c r="A254" i="3"/>
  <c r="H254" i="3" s="1"/>
  <c r="A255" i="3"/>
  <c r="H255" i="3" s="1"/>
  <c r="A256" i="3"/>
  <c r="H256" i="3" s="1"/>
  <c r="A257" i="3"/>
  <c r="H257" i="3" s="1"/>
  <c r="A258" i="3"/>
  <c r="H258" i="3" s="1"/>
  <c r="A259" i="3"/>
  <c r="H259" i="3" s="1"/>
  <c r="A260" i="3"/>
  <c r="H260" i="3" s="1"/>
  <c r="A261" i="3"/>
  <c r="H261" i="3" s="1"/>
  <c r="A262" i="3"/>
  <c r="H262" i="3" s="1"/>
  <c r="A263" i="3"/>
  <c r="H263" i="3" s="1"/>
  <c r="A264" i="3"/>
  <c r="H264" i="3" s="1"/>
  <c r="A265" i="3"/>
  <c r="H265" i="3" s="1"/>
  <c r="A266" i="3"/>
  <c r="H266" i="3" s="1"/>
  <c r="A267" i="3"/>
  <c r="H267" i="3" s="1"/>
  <c r="A268" i="3"/>
  <c r="H268" i="3" s="1"/>
  <c r="A269" i="3"/>
  <c r="H269" i="3" s="1"/>
  <c r="A270" i="3"/>
  <c r="H270" i="3" s="1"/>
  <c r="A271" i="3"/>
  <c r="H271" i="3" s="1"/>
  <c r="A272" i="3"/>
  <c r="H272" i="3" s="1"/>
  <c r="A273" i="3"/>
  <c r="H273" i="3" s="1"/>
  <c r="A274" i="3"/>
  <c r="H274" i="3" s="1"/>
  <c r="A275" i="3"/>
  <c r="H275" i="3" s="1"/>
  <c r="A276" i="3"/>
  <c r="H276" i="3" s="1"/>
  <c r="A277" i="3"/>
  <c r="H277" i="3" s="1"/>
  <c r="A278" i="3"/>
  <c r="H278" i="3" s="1"/>
  <c r="A279" i="3"/>
  <c r="H279" i="3" s="1"/>
  <c r="A280" i="3"/>
  <c r="H280" i="3" s="1"/>
  <c r="A281" i="3"/>
  <c r="H281" i="3" s="1"/>
  <c r="A282" i="3"/>
  <c r="H282" i="3" s="1"/>
  <c r="A283" i="3"/>
  <c r="H283" i="3" s="1"/>
  <c r="A284" i="3"/>
  <c r="H284" i="3" s="1"/>
  <c r="A285" i="3"/>
  <c r="H285" i="3" s="1"/>
  <c r="A286" i="3"/>
  <c r="H286" i="3" s="1"/>
  <c r="A287" i="3"/>
  <c r="H287" i="3" s="1"/>
  <c r="A288" i="3"/>
  <c r="H288" i="3" s="1"/>
  <c r="A289" i="3"/>
  <c r="H289" i="3" s="1"/>
  <c r="A290" i="3"/>
  <c r="H290" i="3" s="1"/>
  <c r="A291" i="3"/>
  <c r="H291" i="3" s="1"/>
  <c r="A292" i="3"/>
  <c r="H292" i="3" s="1"/>
  <c r="A293" i="3"/>
  <c r="H293" i="3" s="1"/>
  <c r="A294" i="3"/>
  <c r="H294" i="3" s="1"/>
  <c r="A295" i="3"/>
  <c r="H295" i="3" s="1"/>
  <c r="A296" i="3"/>
  <c r="H296" i="3" s="1"/>
  <c r="A297" i="3"/>
  <c r="H297" i="3" s="1"/>
  <c r="A298" i="3"/>
  <c r="H298" i="3" s="1"/>
  <c r="A299" i="3"/>
  <c r="H299" i="3" s="1"/>
  <c r="A300" i="3"/>
  <c r="H300" i="3" s="1"/>
  <c r="A301" i="3"/>
  <c r="H301" i="3" s="1"/>
  <c r="A302" i="3"/>
  <c r="H302" i="3" s="1"/>
  <c r="A303" i="3"/>
  <c r="H303" i="3" s="1"/>
  <c r="A304" i="3"/>
  <c r="H304" i="3" s="1"/>
  <c r="A305" i="3"/>
  <c r="H305" i="3" s="1"/>
  <c r="A306" i="3"/>
  <c r="H306" i="3" s="1"/>
  <c r="A307" i="3"/>
  <c r="H307" i="3" s="1"/>
  <c r="A308" i="3"/>
  <c r="H308" i="3" s="1"/>
  <c r="A309" i="3"/>
  <c r="H309" i="3" s="1"/>
  <c r="A310" i="3"/>
  <c r="H310" i="3" s="1"/>
  <c r="A311" i="3"/>
  <c r="H311" i="3" s="1"/>
  <c r="A312" i="3"/>
  <c r="H312" i="3" s="1"/>
  <c r="A313" i="3"/>
  <c r="H313" i="3" s="1"/>
  <c r="A314" i="3"/>
  <c r="H314" i="3" s="1"/>
  <c r="A315" i="3"/>
  <c r="H315" i="3" s="1"/>
  <c r="A316" i="3"/>
  <c r="H316" i="3" s="1"/>
  <c r="A317" i="3"/>
  <c r="H317" i="3" s="1"/>
  <c r="A318" i="3"/>
  <c r="H318" i="3" s="1"/>
  <c r="A319" i="3"/>
  <c r="H319" i="3" s="1"/>
  <c r="A320" i="3"/>
  <c r="H320" i="3" s="1"/>
  <c r="A321" i="3"/>
  <c r="H321" i="3" s="1"/>
  <c r="A322" i="3"/>
  <c r="H322" i="3" s="1"/>
  <c r="A323" i="3"/>
  <c r="H323" i="3" s="1"/>
  <c r="A324" i="3"/>
  <c r="H324" i="3" s="1"/>
  <c r="A325" i="3"/>
  <c r="H325" i="3" s="1"/>
  <c r="A326" i="3"/>
  <c r="H326" i="3" s="1"/>
  <c r="A327" i="3"/>
  <c r="H327" i="3" s="1"/>
  <c r="A328" i="3"/>
  <c r="H328" i="3" s="1"/>
  <c r="A329" i="3"/>
  <c r="H329" i="3" s="1"/>
  <c r="A330" i="3"/>
  <c r="H330" i="3" s="1"/>
  <c r="A331" i="3"/>
  <c r="H331" i="3" s="1"/>
  <c r="A332" i="3"/>
  <c r="H332" i="3" s="1"/>
  <c r="A333" i="3"/>
  <c r="H333" i="3" s="1"/>
  <c r="A334" i="3"/>
  <c r="H334" i="3" s="1"/>
  <c r="A335" i="3"/>
  <c r="H335" i="3" s="1"/>
  <c r="A336" i="3"/>
  <c r="H336" i="3" s="1"/>
  <c r="A337" i="3"/>
  <c r="H337" i="3" s="1"/>
  <c r="A338" i="3"/>
  <c r="H338" i="3" s="1"/>
  <c r="A339" i="3"/>
  <c r="H339" i="3" s="1"/>
  <c r="A340" i="3"/>
  <c r="H340" i="3" s="1"/>
  <c r="A341" i="3"/>
  <c r="H341" i="3" s="1"/>
  <c r="A342" i="3"/>
  <c r="H342" i="3" s="1"/>
  <c r="A343" i="3"/>
  <c r="H343" i="3" s="1"/>
  <c r="A344" i="3"/>
  <c r="H344" i="3" s="1"/>
  <c r="A345" i="3"/>
  <c r="H345" i="3" s="1"/>
  <c r="A346" i="3"/>
  <c r="H346" i="3" s="1"/>
  <c r="A347" i="3"/>
  <c r="H347" i="3" s="1"/>
  <c r="A348" i="3"/>
  <c r="H348" i="3" s="1"/>
  <c r="A349" i="3"/>
  <c r="H349" i="3" s="1"/>
  <c r="A350" i="3"/>
  <c r="H350" i="3" s="1"/>
  <c r="A351" i="3"/>
  <c r="H351" i="3" s="1"/>
  <c r="A352" i="3"/>
  <c r="H352" i="3" s="1"/>
  <c r="A353" i="3"/>
  <c r="H353" i="3" s="1"/>
  <c r="A354" i="3"/>
  <c r="H354" i="3" s="1"/>
  <c r="A355" i="3"/>
  <c r="H355" i="3" s="1"/>
  <c r="A356" i="3"/>
  <c r="H356" i="3" s="1"/>
  <c r="A357" i="3"/>
  <c r="H357" i="3" s="1"/>
  <c r="A358" i="3"/>
  <c r="H358" i="3" s="1"/>
  <c r="A359" i="3"/>
  <c r="H359" i="3" s="1"/>
  <c r="A360" i="3"/>
  <c r="H360" i="3" s="1"/>
  <c r="A361" i="3"/>
  <c r="H361" i="3" s="1"/>
  <c r="A362" i="3"/>
  <c r="H362" i="3" s="1"/>
  <c r="A363" i="3"/>
  <c r="H363" i="3" s="1"/>
  <c r="A364" i="3"/>
  <c r="H364" i="3" s="1"/>
  <c r="A365" i="3"/>
  <c r="H365" i="3" s="1"/>
  <c r="A366" i="3"/>
  <c r="H366" i="3" s="1"/>
  <c r="A367" i="3"/>
  <c r="H367" i="3" s="1"/>
  <c r="A368" i="3"/>
  <c r="H368" i="3" s="1"/>
  <c r="A369" i="3"/>
  <c r="H369" i="3" s="1"/>
  <c r="A370" i="3"/>
  <c r="H370" i="3" s="1"/>
  <c r="A371" i="3"/>
  <c r="H371" i="3" s="1"/>
  <c r="A372" i="3"/>
  <c r="H372" i="3" s="1"/>
  <c r="A373" i="3"/>
  <c r="H373" i="3" s="1"/>
  <c r="A374" i="3"/>
  <c r="H374" i="3" s="1"/>
  <c r="A375" i="3"/>
  <c r="H375" i="3" s="1"/>
  <c r="A376" i="3"/>
  <c r="H376" i="3" s="1"/>
  <c r="A377" i="3"/>
  <c r="H377" i="3" s="1"/>
  <c r="A378" i="3"/>
  <c r="H378" i="3" s="1"/>
  <c r="A379" i="3"/>
  <c r="H379" i="3" s="1"/>
  <c r="A380" i="3"/>
  <c r="H380" i="3" s="1"/>
  <c r="A381" i="3"/>
  <c r="H381" i="3" s="1"/>
  <c r="A382" i="3"/>
  <c r="H382" i="3" s="1"/>
  <c r="A383" i="3"/>
  <c r="H383" i="3" s="1"/>
  <c r="A384" i="3"/>
  <c r="H384" i="3" s="1"/>
  <c r="A385" i="3"/>
  <c r="H385" i="3" s="1"/>
  <c r="A386" i="3"/>
  <c r="H386" i="3" s="1"/>
  <c r="A387" i="3"/>
  <c r="H387" i="3" s="1"/>
  <c r="A388" i="3"/>
  <c r="H388" i="3" s="1"/>
  <c r="A389" i="3"/>
  <c r="H389" i="3" s="1"/>
  <c r="A390" i="3"/>
  <c r="H390" i="3" s="1"/>
  <c r="A391" i="3"/>
  <c r="H391" i="3" s="1"/>
  <c r="A392" i="3"/>
  <c r="H392" i="3" s="1"/>
  <c r="A393" i="3"/>
  <c r="H393" i="3" s="1"/>
  <c r="A394" i="3"/>
  <c r="H394" i="3" s="1"/>
  <c r="A395" i="3"/>
  <c r="H395" i="3" s="1"/>
  <c r="A396" i="3"/>
  <c r="H396" i="3" s="1"/>
  <c r="A397" i="3"/>
  <c r="H397" i="3" s="1"/>
  <c r="A398" i="3"/>
  <c r="H398" i="3" s="1"/>
  <c r="A399" i="3"/>
  <c r="H399" i="3" s="1"/>
  <c r="A400" i="3"/>
  <c r="H400" i="3" s="1"/>
  <c r="A401" i="3"/>
  <c r="H401" i="3" s="1"/>
  <c r="A402" i="3"/>
  <c r="H402" i="3" s="1"/>
  <c r="A403" i="3"/>
  <c r="H403" i="3" s="1"/>
  <c r="A404" i="3"/>
  <c r="H404" i="3" s="1"/>
  <c r="A405" i="3"/>
  <c r="H405" i="3" s="1"/>
  <c r="A406" i="3"/>
  <c r="H406" i="3" s="1"/>
  <c r="A407" i="3"/>
  <c r="H407" i="3" s="1"/>
  <c r="A408" i="3"/>
  <c r="H408" i="3" s="1"/>
  <c r="A409" i="3"/>
  <c r="H409" i="3" s="1"/>
  <c r="A410" i="3"/>
  <c r="H410" i="3" s="1"/>
  <c r="A411" i="3"/>
  <c r="H411" i="3" s="1"/>
  <c r="A412" i="3"/>
  <c r="H412" i="3" s="1"/>
  <c r="A413" i="3"/>
  <c r="H413" i="3" s="1"/>
  <c r="A414" i="3"/>
  <c r="H414" i="3" s="1"/>
  <c r="A415" i="3"/>
  <c r="H415" i="3" s="1"/>
  <c r="A416" i="3"/>
  <c r="H416" i="3" s="1"/>
  <c r="A417" i="3"/>
  <c r="H417" i="3" s="1"/>
  <c r="A418" i="3"/>
  <c r="H418" i="3" s="1"/>
  <c r="A419" i="3"/>
  <c r="H419" i="3" s="1"/>
  <c r="A420" i="3"/>
  <c r="H420" i="3" s="1"/>
  <c r="A421" i="3"/>
  <c r="H421" i="3" s="1"/>
  <c r="A422" i="3"/>
  <c r="H422" i="3" s="1"/>
  <c r="A423" i="3"/>
  <c r="H423" i="3" s="1"/>
  <c r="A424" i="3"/>
  <c r="H424" i="3" s="1"/>
  <c r="A425" i="3"/>
  <c r="H425" i="3" s="1"/>
  <c r="A426" i="3"/>
  <c r="H426" i="3" s="1"/>
  <c r="A427" i="3"/>
  <c r="H427" i="3" s="1"/>
  <c r="A428" i="3"/>
  <c r="H428" i="3" s="1"/>
  <c r="A429" i="3"/>
  <c r="H429" i="3" s="1"/>
  <c r="A430" i="3"/>
  <c r="H430" i="3" s="1"/>
  <c r="A431" i="3"/>
  <c r="H431" i="3" s="1"/>
  <c r="A432" i="3"/>
  <c r="H432" i="3" s="1"/>
  <c r="A433" i="3"/>
  <c r="H433" i="3" s="1"/>
  <c r="A434" i="3"/>
  <c r="H434" i="3" s="1"/>
  <c r="A435" i="3"/>
  <c r="H435" i="3" s="1"/>
  <c r="A436" i="3"/>
  <c r="H436" i="3" s="1"/>
  <c r="A437" i="3"/>
  <c r="H437" i="3" s="1"/>
  <c r="A438" i="3"/>
  <c r="H438" i="3" s="1"/>
  <c r="A439" i="3"/>
  <c r="H439" i="3" s="1"/>
  <c r="A440" i="3"/>
  <c r="H440" i="3" s="1"/>
  <c r="A441" i="3"/>
  <c r="H441" i="3" s="1"/>
  <c r="A442" i="3"/>
  <c r="H442" i="3" s="1"/>
  <c r="A443" i="3"/>
  <c r="H443" i="3" s="1"/>
  <c r="A444" i="3"/>
  <c r="H444" i="3" s="1"/>
  <c r="A445" i="3"/>
  <c r="H445" i="3" s="1"/>
  <c r="A446" i="3"/>
  <c r="H446" i="3" s="1"/>
  <c r="A447" i="3"/>
  <c r="H447" i="3" s="1"/>
  <c r="A448" i="3"/>
  <c r="H448" i="3" s="1"/>
  <c r="A449" i="3"/>
  <c r="H449" i="3" s="1"/>
  <c r="A450" i="3"/>
  <c r="H450" i="3" s="1"/>
  <c r="A451" i="3"/>
  <c r="H451" i="3" s="1"/>
  <c r="A452" i="3"/>
  <c r="H452" i="3" s="1"/>
  <c r="A453" i="3"/>
  <c r="H453" i="3" s="1"/>
  <c r="A454" i="3"/>
  <c r="H454" i="3" s="1"/>
  <c r="A455" i="3"/>
  <c r="H455" i="3" s="1"/>
  <c r="A456" i="3"/>
  <c r="H456" i="3" s="1"/>
  <c r="A8" i="3"/>
  <c r="H8" i="3" s="1"/>
  <c r="H8" i="5"/>
  <c r="H15" i="5"/>
  <c r="A9" i="5"/>
  <c r="A10" i="5"/>
  <c r="A11" i="5"/>
  <c r="I11" i="5" s="1"/>
  <c r="A12" i="5"/>
  <c r="I12" i="5" s="1"/>
  <c r="A13" i="5"/>
  <c r="H13" i="5" s="1"/>
  <c r="A14" i="5"/>
  <c r="H14" i="5" s="1"/>
  <c r="A15" i="5"/>
  <c r="A16" i="5"/>
  <c r="I16" i="5" s="1"/>
  <c r="A17" i="5"/>
  <c r="H17" i="5" s="1"/>
  <c r="A18" i="5"/>
  <c r="I18" i="5" s="1"/>
  <c r="A19" i="5"/>
  <c r="H19" i="5" s="1"/>
  <c r="A20" i="5"/>
  <c r="I20" i="5" s="1"/>
  <c r="A21" i="5"/>
  <c r="H21" i="5" s="1"/>
  <c r="A22" i="5"/>
  <c r="I22" i="5" s="1"/>
  <c r="A23" i="5"/>
  <c r="H23" i="5" s="1"/>
  <c r="A24" i="5"/>
  <c r="I24" i="5" s="1"/>
  <c r="A25" i="5"/>
  <c r="A26" i="5"/>
  <c r="A27" i="5"/>
  <c r="I27" i="5" s="1"/>
  <c r="A28" i="5"/>
  <c r="I28" i="5" s="1"/>
  <c r="A29" i="5"/>
  <c r="H29" i="5" s="1"/>
  <c r="A30" i="5"/>
  <c r="H30" i="5" s="1"/>
  <c r="A31" i="5"/>
  <c r="H31" i="5" s="1"/>
  <c r="A32" i="5"/>
  <c r="H32" i="5" s="1"/>
  <c r="A33" i="5"/>
  <c r="H33" i="5" s="1"/>
  <c r="A34" i="5"/>
  <c r="H34" i="5" s="1"/>
  <c r="A35" i="5"/>
  <c r="H35" i="5" s="1"/>
  <c r="A36" i="5"/>
  <c r="H36" i="5" s="1"/>
  <c r="A37" i="5"/>
  <c r="H37" i="5" s="1"/>
  <c r="A38" i="5"/>
  <c r="I38" i="5" s="1"/>
  <c r="A8" i="5"/>
  <c r="I8" i="5" s="1"/>
  <c r="I9" i="5"/>
  <c r="I10" i="5"/>
  <c r="I25" i="5"/>
  <c r="I26" i="5"/>
  <c r="H9" i="5"/>
  <c r="H10" i="5"/>
  <c r="H11" i="5"/>
  <c r="H12" i="5"/>
  <c r="H25" i="5"/>
  <c r="H26" i="5"/>
  <c r="H27" i="5"/>
  <c r="H28" i="5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A38" i="7"/>
  <c r="I38" i="7" s="1"/>
  <c r="A40" i="7"/>
  <c r="I40" i="7" s="1"/>
  <c r="A57" i="7"/>
  <c r="I57" i="7" s="1"/>
  <c r="A110" i="7"/>
  <c r="I110" i="7" s="1"/>
  <c r="A146" i="7"/>
  <c r="I146" i="7" s="1"/>
  <c r="A208" i="7"/>
  <c r="I208" i="7" s="1"/>
  <c r="A214" i="7"/>
  <c r="I214" i="7" s="1"/>
  <c r="A223" i="7"/>
  <c r="I223" i="7" s="1"/>
  <c r="A235" i="7"/>
  <c r="I235" i="7" s="1"/>
  <c r="A237" i="7"/>
  <c r="I237" i="7" s="1"/>
  <c r="A238" i="7"/>
  <c r="I238" i="7" s="1"/>
  <c r="A246" i="7"/>
  <c r="I246" i="7" s="1"/>
  <c r="A265" i="7"/>
  <c r="I265" i="7" s="1"/>
  <c r="A313" i="7"/>
  <c r="I313" i="7" s="1"/>
  <c r="A323" i="7"/>
  <c r="I323" i="7" s="1"/>
  <c r="A324" i="7"/>
  <c r="I324" i="7" s="1"/>
  <c r="A326" i="7"/>
  <c r="I326" i="7" s="1"/>
  <c r="A346" i="7"/>
  <c r="I346" i="7" s="1"/>
  <c r="A372" i="7"/>
  <c r="I372" i="7" s="1"/>
  <c r="A382" i="7"/>
  <c r="I382" i="7" s="1"/>
  <c r="A385" i="7"/>
  <c r="I385" i="7" s="1"/>
  <c r="A386" i="7"/>
  <c r="I386" i="7" s="1"/>
  <c r="A405" i="7"/>
  <c r="I405" i="7" s="1"/>
  <c r="A8" i="7"/>
  <c r="I8" i="7" s="1"/>
  <c r="A9" i="7"/>
  <c r="I9" i="7" s="1"/>
  <c r="A10" i="7"/>
  <c r="I10" i="7" s="1"/>
  <c r="A11" i="7"/>
  <c r="I11" i="7" s="1"/>
  <c r="A12" i="7"/>
  <c r="I12" i="7" s="1"/>
  <c r="A13" i="7"/>
  <c r="I13" i="7" s="1"/>
  <c r="A14" i="7"/>
  <c r="I14" i="7" s="1"/>
  <c r="A15" i="7"/>
  <c r="I15" i="7" s="1"/>
  <c r="A16" i="7"/>
  <c r="I16" i="7" s="1"/>
  <c r="A17" i="7"/>
  <c r="I17" i="7" s="1"/>
  <c r="A18" i="7"/>
  <c r="I18" i="7" s="1"/>
  <c r="A19" i="7"/>
  <c r="I19" i="7" s="1"/>
  <c r="A20" i="7"/>
  <c r="I20" i="7" s="1"/>
  <c r="A21" i="7"/>
  <c r="I21" i="7" s="1"/>
  <c r="A22" i="7"/>
  <c r="I22" i="7" s="1"/>
  <c r="A24" i="7"/>
  <c r="I24" i="7" s="1"/>
  <c r="A25" i="7"/>
  <c r="I25" i="7" s="1"/>
  <c r="A26" i="7"/>
  <c r="I26" i="7" s="1"/>
  <c r="A27" i="7"/>
  <c r="I27" i="7" s="1"/>
  <c r="A28" i="7"/>
  <c r="I28" i="7" s="1"/>
  <c r="A29" i="7"/>
  <c r="I29" i="7" s="1"/>
  <c r="A30" i="7"/>
  <c r="I30" i="7" s="1"/>
  <c r="A31" i="7"/>
  <c r="I31" i="7" s="1"/>
  <c r="A32" i="7"/>
  <c r="I32" i="7" s="1"/>
  <c r="A33" i="7"/>
  <c r="I33" i="7" s="1"/>
  <c r="A34" i="7"/>
  <c r="I34" i="7" s="1"/>
  <c r="A35" i="7"/>
  <c r="I35" i="7" s="1"/>
  <c r="A36" i="7"/>
  <c r="I36" i="7" s="1"/>
  <c r="A37" i="7"/>
  <c r="I37" i="7" s="1"/>
  <c r="A39" i="7"/>
  <c r="I39" i="7" s="1"/>
  <c r="A41" i="7"/>
  <c r="I41" i="7" s="1"/>
  <c r="A42" i="7"/>
  <c r="I42" i="7" s="1"/>
  <c r="A43" i="7"/>
  <c r="I43" i="7" s="1"/>
  <c r="A44" i="7"/>
  <c r="I44" i="7" s="1"/>
  <c r="A45" i="7"/>
  <c r="I45" i="7" s="1"/>
  <c r="A46" i="7"/>
  <c r="I46" i="7" s="1"/>
  <c r="A47" i="7"/>
  <c r="I47" i="7" s="1"/>
  <c r="A48" i="7"/>
  <c r="I48" i="7" s="1"/>
  <c r="A49" i="7"/>
  <c r="I49" i="7" s="1"/>
  <c r="A50" i="7"/>
  <c r="I50" i="7" s="1"/>
  <c r="A51" i="7"/>
  <c r="I51" i="7" s="1"/>
  <c r="A52" i="7"/>
  <c r="I52" i="7" s="1"/>
  <c r="A53" i="7"/>
  <c r="I53" i="7" s="1"/>
  <c r="A54" i="7"/>
  <c r="I54" i="7" s="1"/>
  <c r="A55" i="7"/>
  <c r="I55" i="7" s="1"/>
  <c r="A56" i="7"/>
  <c r="I56" i="7" s="1"/>
  <c r="A58" i="7"/>
  <c r="I58" i="7" s="1"/>
  <c r="A59" i="7"/>
  <c r="I59" i="7" s="1"/>
  <c r="A60" i="7"/>
  <c r="I60" i="7" s="1"/>
  <c r="A61" i="7"/>
  <c r="I61" i="7" s="1"/>
  <c r="A62" i="7"/>
  <c r="I62" i="7" s="1"/>
  <c r="A63" i="7"/>
  <c r="I63" i="7" s="1"/>
  <c r="A64" i="7"/>
  <c r="I64" i="7" s="1"/>
  <c r="A65" i="7"/>
  <c r="I65" i="7" s="1"/>
  <c r="A66" i="7"/>
  <c r="I66" i="7" s="1"/>
  <c r="A67" i="7"/>
  <c r="I67" i="7" s="1"/>
  <c r="A68" i="7"/>
  <c r="I68" i="7" s="1"/>
  <c r="A69" i="7"/>
  <c r="I69" i="7" s="1"/>
  <c r="A70" i="7"/>
  <c r="I70" i="7" s="1"/>
  <c r="A71" i="7"/>
  <c r="I71" i="7" s="1"/>
  <c r="A72" i="7"/>
  <c r="I72" i="7" s="1"/>
  <c r="A73" i="7"/>
  <c r="I73" i="7" s="1"/>
  <c r="A74" i="7"/>
  <c r="I74" i="7" s="1"/>
  <c r="A75" i="7"/>
  <c r="I75" i="7" s="1"/>
  <c r="A76" i="7"/>
  <c r="I76" i="7" s="1"/>
  <c r="A77" i="7"/>
  <c r="I77" i="7" s="1"/>
  <c r="A78" i="7"/>
  <c r="I78" i="7" s="1"/>
  <c r="A79" i="7"/>
  <c r="I79" i="7" s="1"/>
  <c r="A80" i="7"/>
  <c r="I80" i="7" s="1"/>
  <c r="A81" i="7"/>
  <c r="I81" i="7" s="1"/>
  <c r="A82" i="7"/>
  <c r="I82" i="7" s="1"/>
  <c r="A83" i="7"/>
  <c r="I83" i="7" s="1"/>
  <c r="A84" i="7"/>
  <c r="I84" i="7" s="1"/>
  <c r="A85" i="7"/>
  <c r="I85" i="7" s="1"/>
  <c r="A86" i="7"/>
  <c r="I86" i="7" s="1"/>
  <c r="A87" i="7"/>
  <c r="I87" i="7" s="1"/>
  <c r="A88" i="7"/>
  <c r="I88" i="7" s="1"/>
  <c r="A89" i="7"/>
  <c r="I89" i="7" s="1"/>
  <c r="A90" i="7"/>
  <c r="I90" i="7" s="1"/>
  <c r="A91" i="7"/>
  <c r="I91" i="7" s="1"/>
  <c r="A92" i="7"/>
  <c r="I92" i="7" s="1"/>
  <c r="A93" i="7"/>
  <c r="I93" i="7" s="1"/>
  <c r="A94" i="7"/>
  <c r="I94" i="7" s="1"/>
  <c r="A95" i="7"/>
  <c r="I95" i="7" s="1"/>
  <c r="A96" i="7"/>
  <c r="I96" i="7" s="1"/>
  <c r="A97" i="7"/>
  <c r="I97" i="7" s="1"/>
  <c r="A98" i="7"/>
  <c r="I98" i="7" s="1"/>
  <c r="A99" i="7"/>
  <c r="I99" i="7" s="1"/>
  <c r="A100" i="7"/>
  <c r="I100" i="7" s="1"/>
  <c r="A101" i="7"/>
  <c r="I101" i="7" s="1"/>
  <c r="A102" i="7"/>
  <c r="I102" i="7" s="1"/>
  <c r="A103" i="7"/>
  <c r="I103" i="7" s="1"/>
  <c r="A104" i="7"/>
  <c r="I104" i="7" s="1"/>
  <c r="A105" i="7"/>
  <c r="I105" i="7" s="1"/>
  <c r="A106" i="7"/>
  <c r="I106" i="7" s="1"/>
  <c r="A107" i="7"/>
  <c r="I107" i="7" s="1"/>
  <c r="A108" i="7"/>
  <c r="I108" i="7" s="1"/>
  <c r="A109" i="7"/>
  <c r="I109" i="7" s="1"/>
  <c r="A111" i="7"/>
  <c r="I111" i="7" s="1"/>
  <c r="A112" i="7"/>
  <c r="I112" i="7" s="1"/>
  <c r="A113" i="7"/>
  <c r="I113" i="7" s="1"/>
  <c r="A114" i="7"/>
  <c r="I114" i="7" s="1"/>
  <c r="A115" i="7"/>
  <c r="I115" i="7" s="1"/>
  <c r="A116" i="7"/>
  <c r="I116" i="7" s="1"/>
  <c r="A117" i="7"/>
  <c r="I117" i="7" s="1"/>
  <c r="A118" i="7"/>
  <c r="I118" i="7" s="1"/>
  <c r="A119" i="7"/>
  <c r="I119" i="7" s="1"/>
  <c r="A120" i="7"/>
  <c r="I120" i="7" s="1"/>
  <c r="A121" i="7"/>
  <c r="I121" i="7" s="1"/>
  <c r="A122" i="7"/>
  <c r="I122" i="7" s="1"/>
  <c r="A123" i="7"/>
  <c r="I123" i="7" s="1"/>
  <c r="A124" i="7"/>
  <c r="I124" i="7" s="1"/>
  <c r="A125" i="7"/>
  <c r="I125" i="7" s="1"/>
  <c r="A126" i="7"/>
  <c r="I126" i="7" s="1"/>
  <c r="A127" i="7"/>
  <c r="I127" i="7" s="1"/>
  <c r="A128" i="7"/>
  <c r="I128" i="7" s="1"/>
  <c r="A129" i="7"/>
  <c r="I129" i="7" s="1"/>
  <c r="A130" i="7"/>
  <c r="I130" i="7" s="1"/>
  <c r="A131" i="7"/>
  <c r="I131" i="7" s="1"/>
  <c r="A132" i="7"/>
  <c r="I132" i="7" s="1"/>
  <c r="A133" i="7"/>
  <c r="I133" i="7" s="1"/>
  <c r="A134" i="7"/>
  <c r="I134" i="7" s="1"/>
  <c r="A135" i="7"/>
  <c r="I135" i="7" s="1"/>
  <c r="A136" i="7"/>
  <c r="I136" i="7" s="1"/>
  <c r="A137" i="7"/>
  <c r="I137" i="7" s="1"/>
  <c r="A138" i="7"/>
  <c r="I138" i="7" s="1"/>
  <c r="A139" i="7"/>
  <c r="I139" i="7" s="1"/>
  <c r="A140" i="7"/>
  <c r="I140" i="7" s="1"/>
  <c r="A141" i="7"/>
  <c r="I141" i="7" s="1"/>
  <c r="A142" i="7"/>
  <c r="I142" i="7" s="1"/>
  <c r="A143" i="7"/>
  <c r="I143" i="7" s="1"/>
  <c r="A144" i="7"/>
  <c r="I144" i="7" s="1"/>
  <c r="A145" i="7"/>
  <c r="I145" i="7" s="1"/>
  <c r="A147" i="7"/>
  <c r="I147" i="7" s="1"/>
  <c r="A148" i="7"/>
  <c r="I148" i="7" s="1"/>
  <c r="A149" i="7"/>
  <c r="I149" i="7" s="1"/>
  <c r="A150" i="7"/>
  <c r="I150" i="7" s="1"/>
  <c r="A151" i="7"/>
  <c r="I151" i="7" s="1"/>
  <c r="A152" i="7"/>
  <c r="I152" i="7" s="1"/>
  <c r="A153" i="7"/>
  <c r="I153" i="7" s="1"/>
  <c r="A154" i="7"/>
  <c r="I154" i="7" s="1"/>
  <c r="A155" i="7"/>
  <c r="I155" i="7" s="1"/>
  <c r="A156" i="7"/>
  <c r="I156" i="7" s="1"/>
  <c r="A157" i="7"/>
  <c r="I157" i="7" s="1"/>
  <c r="A158" i="7"/>
  <c r="I158" i="7" s="1"/>
  <c r="A159" i="7"/>
  <c r="I159" i="7" s="1"/>
  <c r="A160" i="7"/>
  <c r="I160" i="7" s="1"/>
  <c r="A161" i="7"/>
  <c r="I161" i="7" s="1"/>
  <c r="A162" i="7"/>
  <c r="I162" i="7" s="1"/>
  <c r="A163" i="7"/>
  <c r="I163" i="7" s="1"/>
  <c r="A164" i="7"/>
  <c r="I164" i="7" s="1"/>
  <c r="A165" i="7"/>
  <c r="I165" i="7" s="1"/>
  <c r="A166" i="7"/>
  <c r="I166" i="7" s="1"/>
  <c r="A167" i="7"/>
  <c r="I167" i="7" s="1"/>
  <c r="A168" i="7"/>
  <c r="I168" i="7" s="1"/>
  <c r="A169" i="7"/>
  <c r="I169" i="7" s="1"/>
  <c r="A170" i="7"/>
  <c r="I170" i="7" s="1"/>
  <c r="A171" i="7"/>
  <c r="I171" i="7" s="1"/>
  <c r="A172" i="7"/>
  <c r="I172" i="7" s="1"/>
  <c r="A173" i="7"/>
  <c r="I173" i="7" s="1"/>
  <c r="A174" i="7"/>
  <c r="I174" i="7" s="1"/>
  <c r="A175" i="7"/>
  <c r="I175" i="7" s="1"/>
  <c r="A176" i="7"/>
  <c r="I176" i="7" s="1"/>
  <c r="A177" i="7"/>
  <c r="I177" i="7" s="1"/>
  <c r="A178" i="7"/>
  <c r="I178" i="7" s="1"/>
  <c r="A179" i="7"/>
  <c r="I179" i="7" s="1"/>
  <c r="A180" i="7"/>
  <c r="I180" i="7" s="1"/>
  <c r="A181" i="7"/>
  <c r="I181" i="7" s="1"/>
  <c r="A182" i="7"/>
  <c r="I182" i="7" s="1"/>
  <c r="A183" i="7"/>
  <c r="I183" i="7" s="1"/>
  <c r="A184" i="7"/>
  <c r="I184" i="7" s="1"/>
  <c r="A185" i="7"/>
  <c r="I185" i="7" s="1"/>
  <c r="A186" i="7"/>
  <c r="I186" i="7" s="1"/>
  <c r="A187" i="7"/>
  <c r="I187" i="7" s="1"/>
  <c r="A188" i="7"/>
  <c r="I188" i="7" s="1"/>
  <c r="A189" i="7"/>
  <c r="I189" i="7" s="1"/>
  <c r="A190" i="7"/>
  <c r="I190" i="7" s="1"/>
  <c r="A191" i="7"/>
  <c r="I191" i="7" s="1"/>
  <c r="A192" i="7"/>
  <c r="I192" i="7" s="1"/>
  <c r="A193" i="7"/>
  <c r="I193" i="7" s="1"/>
  <c r="A194" i="7"/>
  <c r="I194" i="7" s="1"/>
  <c r="A195" i="7"/>
  <c r="I195" i="7" s="1"/>
  <c r="A196" i="7"/>
  <c r="I196" i="7" s="1"/>
  <c r="A197" i="7"/>
  <c r="I197" i="7" s="1"/>
  <c r="A198" i="7"/>
  <c r="I198" i="7" s="1"/>
  <c r="A199" i="7"/>
  <c r="I199" i="7" s="1"/>
  <c r="A200" i="7"/>
  <c r="I200" i="7" s="1"/>
  <c r="A201" i="7"/>
  <c r="I201" i="7" s="1"/>
  <c r="A202" i="7"/>
  <c r="I202" i="7" s="1"/>
  <c r="A203" i="7"/>
  <c r="I203" i="7" s="1"/>
  <c r="A204" i="7"/>
  <c r="I204" i="7" s="1"/>
  <c r="A205" i="7"/>
  <c r="I205" i="7" s="1"/>
  <c r="A206" i="7"/>
  <c r="I206" i="7" s="1"/>
  <c r="A207" i="7"/>
  <c r="I207" i="7" s="1"/>
  <c r="A209" i="7"/>
  <c r="I209" i="7" s="1"/>
  <c r="A210" i="7"/>
  <c r="I210" i="7" s="1"/>
  <c r="A211" i="7"/>
  <c r="I211" i="7" s="1"/>
  <c r="A212" i="7"/>
  <c r="I212" i="7" s="1"/>
  <c r="A213" i="7"/>
  <c r="I213" i="7" s="1"/>
  <c r="A215" i="7"/>
  <c r="I215" i="7" s="1"/>
  <c r="A216" i="7"/>
  <c r="I216" i="7" s="1"/>
  <c r="A217" i="7"/>
  <c r="I217" i="7" s="1"/>
  <c r="A218" i="7"/>
  <c r="I218" i="7" s="1"/>
  <c r="A219" i="7"/>
  <c r="I219" i="7" s="1"/>
  <c r="A220" i="7"/>
  <c r="I220" i="7" s="1"/>
  <c r="A221" i="7"/>
  <c r="I221" i="7" s="1"/>
  <c r="A222" i="7"/>
  <c r="I222" i="7" s="1"/>
  <c r="A224" i="7"/>
  <c r="I224" i="7" s="1"/>
  <c r="A225" i="7"/>
  <c r="I225" i="7" s="1"/>
  <c r="A226" i="7"/>
  <c r="I226" i="7" s="1"/>
  <c r="A227" i="7"/>
  <c r="I227" i="7" s="1"/>
  <c r="A228" i="7"/>
  <c r="I228" i="7" s="1"/>
  <c r="A229" i="7"/>
  <c r="I229" i="7" s="1"/>
  <c r="A230" i="7"/>
  <c r="I230" i="7" s="1"/>
  <c r="A231" i="7"/>
  <c r="I231" i="7" s="1"/>
  <c r="A232" i="7"/>
  <c r="I232" i="7" s="1"/>
  <c r="A233" i="7"/>
  <c r="I233" i="7" s="1"/>
  <c r="A234" i="7"/>
  <c r="I234" i="7" s="1"/>
  <c r="A236" i="7"/>
  <c r="I236" i="7" s="1"/>
  <c r="A239" i="7"/>
  <c r="I239" i="7" s="1"/>
  <c r="A240" i="7"/>
  <c r="I240" i="7" s="1"/>
  <c r="A241" i="7"/>
  <c r="I241" i="7" s="1"/>
  <c r="A242" i="7"/>
  <c r="I242" i="7" s="1"/>
  <c r="A243" i="7"/>
  <c r="I243" i="7" s="1"/>
  <c r="A244" i="7"/>
  <c r="I244" i="7" s="1"/>
  <c r="A245" i="7"/>
  <c r="I245" i="7" s="1"/>
  <c r="A247" i="7"/>
  <c r="I247" i="7" s="1"/>
  <c r="A248" i="7"/>
  <c r="I248" i="7" s="1"/>
  <c r="A249" i="7"/>
  <c r="I249" i="7" s="1"/>
  <c r="A250" i="7"/>
  <c r="I250" i="7" s="1"/>
  <c r="A251" i="7"/>
  <c r="I251" i="7" s="1"/>
  <c r="A252" i="7"/>
  <c r="I252" i="7" s="1"/>
  <c r="A253" i="7"/>
  <c r="I253" i="7" s="1"/>
  <c r="A254" i="7"/>
  <c r="I254" i="7" s="1"/>
  <c r="A255" i="7"/>
  <c r="I255" i="7" s="1"/>
  <c r="A256" i="7"/>
  <c r="I256" i="7" s="1"/>
  <c r="A257" i="7"/>
  <c r="I257" i="7" s="1"/>
  <c r="A258" i="7"/>
  <c r="I258" i="7" s="1"/>
  <c r="A259" i="7"/>
  <c r="I259" i="7" s="1"/>
  <c r="A260" i="7"/>
  <c r="I260" i="7" s="1"/>
  <c r="A261" i="7"/>
  <c r="I261" i="7" s="1"/>
  <c r="A262" i="7"/>
  <c r="I262" i="7" s="1"/>
  <c r="A263" i="7"/>
  <c r="I263" i="7" s="1"/>
  <c r="A264" i="7"/>
  <c r="I264" i="7" s="1"/>
  <c r="A266" i="7"/>
  <c r="I266" i="7" s="1"/>
  <c r="A267" i="7"/>
  <c r="I267" i="7" s="1"/>
  <c r="A268" i="7"/>
  <c r="I268" i="7" s="1"/>
  <c r="A269" i="7"/>
  <c r="I269" i="7" s="1"/>
  <c r="A270" i="7"/>
  <c r="I270" i="7" s="1"/>
  <c r="A271" i="7"/>
  <c r="I271" i="7" s="1"/>
  <c r="A272" i="7"/>
  <c r="I272" i="7" s="1"/>
  <c r="A273" i="7"/>
  <c r="I273" i="7" s="1"/>
  <c r="A274" i="7"/>
  <c r="I274" i="7" s="1"/>
  <c r="A275" i="7"/>
  <c r="I275" i="7" s="1"/>
  <c r="A276" i="7"/>
  <c r="I276" i="7" s="1"/>
  <c r="A277" i="7"/>
  <c r="I277" i="7" s="1"/>
  <c r="A278" i="7"/>
  <c r="I278" i="7" s="1"/>
  <c r="A279" i="7"/>
  <c r="I279" i="7" s="1"/>
  <c r="A280" i="7"/>
  <c r="I280" i="7" s="1"/>
  <c r="A281" i="7"/>
  <c r="I281" i="7" s="1"/>
  <c r="A282" i="7"/>
  <c r="I282" i="7" s="1"/>
  <c r="A283" i="7"/>
  <c r="I283" i="7" s="1"/>
  <c r="A284" i="7"/>
  <c r="I284" i="7" s="1"/>
  <c r="A285" i="7"/>
  <c r="I285" i="7" s="1"/>
  <c r="A286" i="7"/>
  <c r="I286" i="7" s="1"/>
  <c r="A287" i="7"/>
  <c r="I287" i="7" s="1"/>
  <c r="A288" i="7"/>
  <c r="I288" i="7" s="1"/>
  <c r="A289" i="7"/>
  <c r="I289" i="7" s="1"/>
  <c r="A290" i="7"/>
  <c r="I290" i="7" s="1"/>
  <c r="A291" i="7"/>
  <c r="I291" i="7" s="1"/>
  <c r="A292" i="7"/>
  <c r="I292" i="7" s="1"/>
  <c r="A293" i="7"/>
  <c r="I293" i="7" s="1"/>
  <c r="A294" i="7"/>
  <c r="I294" i="7" s="1"/>
  <c r="A295" i="7"/>
  <c r="I295" i="7" s="1"/>
  <c r="A296" i="7"/>
  <c r="I296" i="7" s="1"/>
  <c r="A297" i="7"/>
  <c r="I297" i="7" s="1"/>
  <c r="A298" i="7"/>
  <c r="I298" i="7" s="1"/>
  <c r="A299" i="7"/>
  <c r="I299" i="7" s="1"/>
  <c r="A300" i="7"/>
  <c r="I300" i="7" s="1"/>
  <c r="A301" i="7"/>
  <c r="I301" i="7" s="1"/>
  <c r="A302" i="7"/>
  <c r="I302" i="7" s="1"/>
  <c r="A303" i="7"/>
  <c r="I303" i="7" s="1"/>
  <c r="A304" i="7"/>
  <c r="I304" i="7" s="1"/>
  <c r="A305" i="7"/>
  <c r="I305" i="7" s="1"/>
  <c r="A306" i="7"/>
  <c r="I306" i="7" s="1"/>
  <c r="A307" i="7"/>
  <c r="I307" i="7" s="1"/>
  <c r="A308" i="7"/>
  <c r="I308" i="7" s="1"/>
  <c r="A309" i="7"/>
  <c r="I309" i="7" s="1"/>
  <c r="A310" i="7"/>
  <c r="I310" i="7" s="1"/>
  <c r="A311" i="7"/>
  <c r="I311" i="7" s="1"/>
  <c r="A312" i="7"/>
  <c r="I312" i="7" s="1"/>
  <c r="A314" i="7"/>
  <c r="I314" i="7" s="1"/>
  <c r="A315" i="7"/>
  <c r="I315" i="7" s="1"/>
  <c r="A316" i="7"/>
  <c r="I316" i="7" s="1"/>
  <c r="A317" i="7"/>
  <c r="I317" i="7" s="1"/>
  <c r="A318" i="7"/>
  <c r="I318" i="7" s="1"/>
  <c r="A319" i="7"/>
  <c r="I319" i="7" s="1"/>
  <c r="A320" i="7"/>
  <c r="I320" i="7" s="1"/>
  <c r="A321" i="7"/>
  <c r="I321" i="7" s="1"/>
  <c r="A322" i="7"/>
  <c r="I322" i="7" s="1"/>
  <c r="A325" i="7"/>
  <c r="I325" i="7" s="1"/>
  <c r="A327" i="7"/>
  <c r="I327" i="7" s="1"/>
  <c r="A328" i="7"/>
  <c r="I328" i="7" s="1"/>
  <c r="A329" i="7"/>
  <c r="I329" i="7" s="1"/>
  <c r="A330" i="7"/>
  <c r="I330" i="7" s="1"/>
  <c r="A331" i="7"/>
  <c r="I331" i="7" s="1"/>
  <c r="A332" i="7"/>
  <c r="I332" i="7" s="1"/>
  <c r="A333" i="7"/>
  <c r="I333" i="7" s="1"/>
  <c r="A334" i="7"/>
  <c r="I334" i="7" s="1"/>
  <c r="A335" i="7"/>
  <c r="I335" i="7" s="1"/>
  <c r="A336" i="7"/>
  <c r="I336" i="7" s="1"/>
  <c r="A337" i="7"/>
  <c r="I337" i="7" s="1"/>
  <c r="A338" i="7"/>
  <c r="I338" i="7" s="1"/>
  <c r="A339" i="7"/>
  <c r="I339" i="7" s="1"/>
  <c r="A340" i="7"/>
  <c r="I340" i="7" s="1"/>
  <c r="A341" i="7"/>
  <c r="I341" i="7" s="1"/>
  <c r="A342" i="7"/>
  <c r="I342" i="7" s="1"/>
  <c r="A343" i="7"/>
  <c r="I343" i="7" s="1"/>
  <c r="A344" i="7"/>
  <c r="I344" i="7" s="1"/>
  <c r="A345" i="7"/>
  <c r="I345" i="7" s="1"/>
  <c r="A347" i="7"/>
  <c r="I347" i="7" s="1"/>
  <c r="A348" i="7"/>
  <c r="I348" i="7" s="1"/>
  <c r="A349" i="7"/>
  <c r="I349" i="7" s="1"/>
  <c r="A350" i="7"/>
  <c r="I350" i="7" s="1"/>
  <c r="A351" i="7"/>
  <c r="I351" i="7" s="1"/>
  <c r="A352" i="7"/>
  <c r="I352" i="7" s="1"/>
  <c r="A353" i="7"/>
  <c r="I353" i="7" s="1"/>
  <c r="A354" i="7"/>
  <c r="I354" i="7" s="1"/>
  <c r="A355" i="7"/>
  <c r="I355" i="7" s="1"/>
  <c r="A356" i="7"/>
  <c r="I356" i="7" s="1"/>
  <c r="A357" i="7"/>
  <c r="I357" i="7" s="1"/>
  <c r="A358" i="7"/>
  <c r="I358" i="7" s="1"/>
  <c r="A359" i="7"/>
  <c r="I359" i="7" s="1"/>
  <c r="A360" i="7"/>
  <c r="I360" i="7" s="1"/>
  <c r="A361" i="7"/>
  <c r="I361" i="7" s="1"/>
  <c r="A362" i="7"/>
  <c r="I362" i="7" s="1"/>
  <c r="A363" i="7"/>
  <c r="I363" i="7" s="1"/>
  <c r="A364" i="7"/>
  <c r="I364" i="7" s="1"/>
  <c r="A365" i="7"/>
  <c r="I365" i="7" s="1"/>
  <c r="A366" i="7"/>
  <c r="I366" i="7" s="1"/>
  <c r="A367" i="7"/>
  <c r="I367" i="7" s="1"/>
  <c r="A368" i="7"/>
  <c r="I368" i="7" s="1"/>
  <c r="A369" i="7"/>
  <c r="I369" i="7" s="1"/>
  <c r="A370" i="7"/>
  <c r="I370" i="7" s="1"/>
  <c r="A371" i="7"/>
  <c r="I371" i="7" s="1"/>
  <c r="A373" i="7"/>
  <c r="I373" i="7" s="1"/>
  <c r="A374" i="7"/>
  <c r="I374" i="7" s="1"/>
  <c r="A375" i="7"/>
  <c r="I375" i="7" s="1"/>
  <c r="A376" i="7"/>
  <c r="I376" i="7" s="1"/>
  <c r="A377" i="7"/>
  <c r="I377" i="7" s="1"/>
  <c r="A378" i="7"/>
  <c r="I378" i="7" s="1"/>
  <c r="A379" i="7"/>
  <c r="I379" i="7" s="1"/>
  <c r="A380" i="7"/>
  <c r="I380" i="7" s="1"/>
  <c r="A381" i="7"/>
  <c r="I381" i="7" s="1"/>
  <c r="A383" i="7"/>
  <c r="I383" i="7" s="1"/>
  <c r="A384" i="7"/>
  <c r="I384" i="7" s="1"/>
  <c r="A387" i="7"/>
  <c r="I387" i="7" s="1"/>
  <c r="A388" i="7"/>
  <c r="I388" i="7" s="1"/>
  <c r="A389" i="7"/>
  <c r="I389" i="7" s="1"/>
  <c r="A390" i="7"/>
  <c r="I390" i="7" s="1"/>
  <c r="A391" i="7"/>
  <c r="I391" i="7" s="1"/>
  <c r="A392" i="7"/>
  <c r="I392" i="7" s="1"/>
  <c r="A393" i="7"/>
  <c r="I393" i="7" s="1"/>
  <c r="A394" i="7"/>
  <c r="I394" i="7" s="1"/>
  <c r="A395" i="7"/>
  <c r="I395" i="7" s="1"/>
  <c r="A396" i="7"/>
  <c r="I396" i="7" s="1"/>
  <c r="A397" i="7"/>
  <c r="I397" i="7" s="1"/>
  <c r="A398" i="7"/>
  <c r="I398" i="7" s="1"/>
  <c r="A399" i="7"/>
  <c r="I399" i="7" s="1"/>
  <c r="A400" i="7"/>
  <c r="I400" i="7" s="1"/>
  <c r="A401" i="7"/>
  <c r="I401" i="7" s="1"/>
  <c r="A402" i="7"/>
  <c r="I402" i="7" s="1"/>
  <c r="A403" i="7"/>
  <c r="I403" i="7" s="1"/>
  <c r="A404" i="7"/>
  <c r="I404" i="7" s="1"/>
  <c r="A406" i="7"/>
  <c r="I406" i="7" s="1"/>
  <c r="A407" i="7"/>
  <c r="I407" i="7" s="1"/>
  <c r="A408" i="7"/>
  <c r="I408" i="7" s="1"/>
  <c r="A409" i="7"/>
  <c r="I409" i="7" s="1"/>
  <c r="A410" i="7"/>
  <c r="I410" i="7" s="1"/>
  <c r="A411" i="7"/>
  <c r="I411" i="7" s="1"/>
  <c r="A412" i="7"/>
  <c r="I412" i="7" s="1"/>
  <c r="A413" i="7"/>
  <c r="I413" i="7" s="1"/>
  <c r="A414" i="7"/>
  <c r="I414" i="7" s="1"/>
  <c r="A415" i="7"/>
  <c r="I415" i="7" s="1"/>
  <c r="A416" i="7"/>
  <c r="I416" i="7" s="1"/>
  <c r="A417" i="7"/>
  <c r="I417" i="7" s="1"/>
  <c r="A418" i="7"/>
  <c r="I418" i="7" s="1"/>
  <c r="A419" i="7"/>
  <c r="I419" i="7" s="1"/>
  <c r="A420" i="7"/>
  <c r="I420" i="7" s="1"/>
  <c r="A421" i="7"/>
  <c r="I421" i="7" s="1"/>
  <c r="A422" i="7"/>
  <c r="I422" i="7" s="1"/>
  <c r="A423" i="7"/>
  <c r="I423" i="7" s="1"/>
  <c r="A424" i="7"/>
  <c r="I424" i="7" s="1"/>
  <c r="A425" i="7"/>
  <c r="I425" i="7" s="1"/>
  <c r="A426" i="7"/>
  <c r="I426" i="7" s="1"/>
  <c r="A427" i="7"/>
  <c r="I427" i="7" s="1"/>
  <c r="A428" i="7"/>
  <c r="I428" i="7" s="1"/>
  <c r="A429" i="7"/>
  <c r="I429" i="7" s="1"/>
  <c r="A430" i="7"/>
  <c r="I430" i="7" s="1"/>
  <c r="A431" i="7"/>
  <c r="I431" i="7" s="1"/>
  <c r="A432" i="7"/>
  <c r="I432" i="7" s="1"/>
  <c r="A433" i="7"/>
  <c r="I433" i="7" s="1"/>
  <c r="A434" i="7"/>
  <c r="I434" i="7" s="1"/>
  <c r="A435" i="7"/>
  <c r="I435" i="7" s="1"/>
  <c r="A436" i="7"/>
  <c r="I436" i="7" s="1"/>
  <c r="A437" i="7"/>
  <c r="I437" i="7" s="1"/>
  <c r="A438" i="7"/>
  <c r="I438" i="7" s="1"/>
  <c r="A439" i="7"/>
  <c r="I439" i="7" s="1"/>
  <c r="A440" i="7"/>
  <c r="I440" i="7" s="1"/>
  <c r="A441" i="7"/>
  <c r="I441" i="7" s="1"/>
  <c r="A442" i="7"/>
  <c r="I442" i="7" s="1"/>
  <c r="A443" i="7"/>
  <c r="I443" i="7" s="1"/>
  <c r="A444" i="7"/>
  <c r="I444" i="7" s="1"/>
  <c r="A445" i="7"/>
  <c r="I445" i="7" s="1"/>
  <c r="A23" i="7"/>
  <c r="I23" i="7" s="1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I21" i="5" l="1"/>
  <c r="H38" i="5"/>
  <c r="I36" i="5"/>
  <c r="I19" i="5"/>
  <c r="H20" i="5"/>
  <c r="I17" i="5"/>
  <c r="H18" i="5"/>
  <c r="H24" i="5"/>
  <c r="I37" i="5"/>
  <c r="H22" i="5"/>
  <c r="I35" i="5"/>
  <c r="I34" i="5"/>
  <c r="I33" i="5"/>
  <c r="I32" i="5"/>
  <c r="I31" i="5"/>
  <c r="I15" i="5"/>
  <c r="H16" i="5"/>
  <c r="I30" i="5"/>
  <c r="I14" i="5"/>
  <c r="I29" i="5"/>
  <c r="I13" i="5"/>
  <c r="I23" i="5"/>
</calcChain>
</file>

<file path=xl/sharedStrings.xml><?xml version="1.0" encoding="utf-8"?>
<sst xmlns="http://schemas.openxmlformats.org/spreadsheetml/2006/main" count="18662" uniqueCount="2307">
  <si>
    <t>NOMBRES Y APELLIDOS</t>
  </si>
  <si>
    <t>DOCUMENTODEINDENTIDAD</t>
  </si>
  <si>
    <t>NO. DE CONTACTO</t>
  </si>
  <si>
    <t>NO. CONTRATO</t>
  </si>
  <si>
    <t>FECHA INICIO</t>
  </si>
  <si>
    <t>FECHA FIN</t>
  </si>
  <si>
    <t>CORREO ELECTRÓNICO</t>
  </si>
  <si>
    <t>DEPENDENCIA</t>
  </si>
  <si>
    <t>TIPO DE MEDIO DE TRANSPORTE</t>
  </si>
  <si>
    <t>MARCA</t>
  </si>
  <si>
    <t>NOPLACA</t>
  </si>
  <si>
    <t>TIPO DE VEHÍCULO</t>
  </si>
  <si>
    <t>COLOR</t>
  </si>
  <si>
    <t>MANUEL ALEJANDRO VALENCIA MURILLO</t>
  </si>
  <si>
    <t>459-2026</t>
  </si>
  <si>
    <t>HONDA NAVI</t>
  </si>
  <si>
    <t>HHC30F</t>
  </si>
  <si>
    <t>COMBUSTIBLE</t>
  </si>
  <si>
    <t>AZUL</t>
  </si>
  <si>
    <t>MAURICIO LIEVANO BERNAL</t>
  </si>
  <si>
    <t>NA</t>
  </si>
  <si>
    <t>mauricio.lievano@habitatbogota.gov.co</t>
  </si>
  <si>
    <t>BYD</t>
  </si>
  <si>
    <t>PYO819</t>
  </si>
  <si>
    <t>NEGRO</t>
  </si>
  <si>
    <t>GUILLERMO ANDRES PALACIOS LOPEZ</t>
  </si>
  <si>
    <t>92-2026</t>
  </si>
  <si>
    <t>guillermo.palacios@habitatbogota.gov.co</t>
  </si>
  <si>
    <t>VOLVO</t>
  </si>
  <si>
    <t>PZK790</t>
  </si>
  <si>
    <t>PENDIENTE</t>
  </si>
  <si>
    <t>ctorresalejandro@gmail.com</t>
  </si>
  <si>
    <t>RENAULT KWID</t>
  </si>
  <si>
    <t>GBN050</t>
  </si>
  <si>
    <t>BEIGE</t>
  </si>
  <si>
    <t>LADY CATERINE SUAREZ ARIAS</t>
  </si>
  <si>
    <t>187-2026</t>
  </si>
  <si>
    <t>lady.suarez@habitatbogota.gov.co</t>
  </si>
  <si>
    <t>VERDE</t>
  </si>
  <si>
    <t>ADRIANA VILLANEDA URIBE</t>
  </si>
  <si>
    <t>462-2026</t>
  </si>
  <si>
    <t>adriana.villaneda@habitatbogota.gov.co</t>
  </si>
  <si>
    <t>TOYOTA COROLLA</t>
  </si>
  <si>
    <t>NJW140</t>
  </si>
  <si>
    <t>ROJO</t>
  </si>
  <si>
    <t>JAIME HUMBERTO ARBOLEDA RESTREPO</t>
  </si>
  <si>
    <t>278-2026</t>
  </si>
  <si>
    <t>HERO HUNK 125R</t>
  </si>
  <si>
    <t>UBT13H</t>
  </si>
  <si>
    <t>DORISNEY ORDUNA HOLGUIN</t>
  </si>
  <si>
    <t>MERCEDEZ BENZ</t>
  </si>
  <si>
    <t>PBV621</t>
  </si>
  <si>
    <t>PLATA</t>
  </si>
  <si>
    <t>MIGUEL SVIER DUCUARA VERA</t>
  </si>
  <si>
    <t>444-2026</t>
  </si>
  <si>
    <t>miguelducuara@habitatbogota.gov.co</t>
  </si>
  <si>
    <t>HONDA</t>
  </si>
  <si>
    <t>XBE29G</t>
  </si>
  <si>
    <t>CHEVROLET</t>
  </si>
  <si>
    <t>NDP314</t>
  </si>
  <si>
    <t>GRIS</t>
  </si>
  <si>
    <t>DANIELA BUENO FLOREZ</t>
  </si>
  <si>
    <t>88-2026</t>
  </si>
  <si>
    <t>daniela.bueno@habitatbogota.gov.co</t>
  </si>
  <si>
    <t>TOYOTA</t>
  </si>
  <si>
    <t>PCX986</t>
  </si>
  <si>
    <t>BLANCO</t>
  </si>
  <si>
    <t>DANIEL FELIPE GOMEZ PARRA</t>
  </si>
  <si>
    <t>670-2026</t>
  </si>
  <si>
    <t>dnaiel.gomezf@habitatbogota.gov.co</t>
  </si>
  <si>
    <t>DOMINAR BAJAJ</t>
  </si>
  <si>
    <t>IHS476</t>
  </si>
  <si>
    <t>DANIEL BARRERA BUSTOS</t>
  </si>
  <si>
    <t>356-2026</t>
  </si>
  <si>
    <t>daniel.barrera@habitatbogota.gov.co</t>
  </si>
  <si>
    <t>MAZDA</t>
  </si>
  <si>
    <t>KXR994</t>
  </si>
  <si>
    <t>NELSON ALEJANDRO BOHORQUEZ RUIZ</t>
  </si>
  <si>
    <t>468-2026</t>
  </si>
  <si>
    <t>nelson.bohorquez@habitatbogota.gov.co</t>
  </si>
  <si>
    <t>BICICLETA</t>
  </si>
  <si>
    <t>SPECIALIZED</t>
  </si>
  <si>
    <t>HELIZANDER VERA CASTRO</t>
  </si>
  <si>
    <t>299-2026</t>
  </si>
  <si>
    <t>helizander.vera@habitatbogota.gov.co</t>
  </si>
  <si>
    <t>KIMCO</t>
  </si>
  <si>
    <t>WLO17E</t>
  </si>
  <si>
    <t>LUISA FERNANDA TOVAR CORAL</t>
  </si>
  <si>
    <t>1341-2026</t>
  </si>
  <si>
    <t>luisa.tovar@habitatbogota.gov.co</t>
  </si>
  <si>
    <t>ROSA</t>
  </si>
  <si>
    <t>MARTHA VIVIANA DURAN PLATA</t>
  </si>
  <si>
    <t>216-2026</t>
  </si>
  <si>
    <t>martha.duran@habitatbogota.gov.co</t>
  </si>
  <si>
    <t>VOLKSWAGEN T-CROSS</t>
  </si>
  <si>
    <t>PZR618</t>
  </si>
  <si>
    <t>GRIS PLATINO METALICO</t>
  </si>
  <si>
    <t>LAURA JULIANA CRUZ BARRERA</t>
  </si>
  <si>
    <t>581-2026</t>
  </si>
  <si>
    <t>laura.cruz@habitatbogota.gov.co</t>
  </si>
  <si>
    <t>DOU159</t>
  </si>
  <si>
    <t>ANDRES FERNANDO CARDOZO RATIVA</t>
  </si>
  <si>
    <t>770-2026</t>
  </si>
  <si>
    <t>andres.cardozo45@gmail.com</t>
  </si>
  <si>
    <t>SUSUKI GIXXER 250</t>
  </si>
  <si>
    <t>WVZ58G</t>
  </si>
  <si>
    <t>MOTO</t>
  </si>
  <si>
    <t>EDNA MARCELA MENDEZ PALMA</t>
  </si>
  <si>
    <t>136-2026</t>
  </si>
  <si>
    <t>adria.mendez@habitatbogota.gov.co</t>
  </si>
  <si>
    <t xml:space="preserve">JEEP RENAGADE </t>
  </si>
  <si>
    <t>EDW320</t>
  </si>
  <si>
    <t>VERDE MILITAR</t>
  </si>
  <si>
    <t>EDGAR ANDRÉS CASTRO PEÑA</t>
  </si>
  <si>
    <t>edgar.castro@habitatbogota.gov.co</t>
  </si>
  <si>
    <t>AUTOMÓVIL</t>
  </si>
  <si>
    <t>HYUNDAI</t>
  </si>
  <si>
    <t>CYG124</t>
  </si>
  <si>
    <t>GRIS MEDIA NOCHE</t>
  </si>
  <si>
    <t>FUNCIONARIO</t>
  </si>
  <si>
    <t>SERGIO ALEJANDRO AVELLA FIGUEROA</t>
  </si>
  <si>
    <t>69-2026</t>
  </si>
  <si>
    <t>sergio.avella@habitatbogota.gov.co</t>
  </si>
  <si>
    <t xml:space="preserve">CHEVROLET </t>
  </si>
  <si>
    <t>CEW125</t>
  </si>
  <si>
    <t>CONTRATISTA </t>
  </si>
  <si>
    <t>EDNA LUCÍA PERILLA MEDINA</t>
  </si>
  <si>
    <t>453-2026</t>
  </si>
  <si>
    <t>edna.perilla@habitatbogota.gov.co</t>
  </si>
  <si>
    <t>ELÉCTRICO</t>
  </si>
  <si>
    <t>ADRIANA IVONNE CÁRDENAS</t>
  </si>
  <si>
    <t>ivonne.cardenas@habitatbogota.gov.co</t>
  </si>
  <si>
    <t>BMW</t>
  </si>
  <si>
    <t>JDK292</t>
  </si>
  <si>
    <t xml:space="preserve">GRIS </t>
  </si>
  <si>
    <t>TANIA SOFIA PUENTES ROJAS</t>
  </si>
  <si>
    <t>202-2026</t>
  </si>
  <si>
    <t>tania.puentes@habitatbogota.gov.co</t>
  </si>
  <si>
    <t>RENAULT SANDERO</t>
  </si>
  <si>
    <t>UBL721</t>
  </si>
  <si>
    <t>ROJO FUEGO</t>
  </si>
  <si>
    <t xml:space="preserve">FRANCISCO PÉREZ MARTÍNEZ </t>
  </si>
  <si>
    <t>francisco.perez@habitatbogota.gov.co</t>
  </si>
  <si>
    <t>CAMIONETA</t>
  </si>
  <si>
    <t xml:space="preserve">FORD </t>
  </si>
  <si>
    <t>IRW101</t>
  </si>
  <si>
    <t xml:space="preserve">BLANCO </t>
  </si>
  <si>
    <t xml:space="preserve">ANGELA MILENA LATORRE RODRÍGUEZ </t>
  </si>
  <si>
    <t>178-2026</t>
  </si>
  <si>
    <t>angela.latorre@habitatbogota.gov.co</t>
  </si>
  <si>
    <t>SANDERO</t>
  </si>
  <si>
    <t>JMK619</t>
  </si>
  <si>
    <t>WENDY SHIRLEY LESMES GARZON</t>
  </si>
  <si>
    <t>11-2026</t>
  </si>
  <si>
    <t>wendy.lesmes@habitatbogota.gov.co</t>
  </si>
  <si>
    <t>PATINETA ELÉCTRICA</t>
  </si>
  <si>
    <t>SCOOP</t>
  </si>
  <si>
    <t>NEGRA</t>
  </si>
  <si>
    <t>OSCAR FELIPE CHILLAN PARRA</t>
  </si>
  <si>
    <t>oscar.chillan@habitatbogota.gov.co</t>
  </si>
  <si>
    <t>HKL409</t>
  </si>
  <si>
    <t>MAYRA MELISSA HERNÁNDEZ TORRES</t>
  </si>
  <si>
    <t>111-2026</t>
  </si>
  <si>
    <t>mayra.hernandez@habitatbogota.gov.co</t>
  </si>
  <si>
    <t>KIA</t>
  </si>
  <si>
    <t>PWO708</t>
  </si>
  <si>
    <t>GRIS OSCURO</t>
  </si>
  <si>
    <t>JUAN CAMILO CASTAÑEDA SANDOVAL</t>
  </si>
  <si>
    <t>107-2026</t>
  </si>
  <si>
    <t>juan.castanedas@habitatbogota.gov.co</t>
  </si>
  <si>
    <t xml:space="preserve">ROYAL ENDFIELD </t>
  </si>
  <si>
    <t>MWQ77H</t>
  </si>
  <si>
    <t xml:space="preserve">CARLOS ANDRÉS RIVERA TRIVIÑO </t>
  </si>
  <si>
    <t>643-2026</t>
  </si>
  <si>
    <t>carlos.riverat@habitatbogota.gov.co</t>
  </si>
  <si>
    <t>AKT</t>
  </si>
  <si>
    <t>CAU94H</t>
  </si>
  <si>
    <t xml:space="preserve">NEGRO </t>
  </si>
  <si>
    <t>CARLOS EDUARDO PINILLA HERNANDEZ</t>
  </si>
  <si>
    <t>4-2026</t>
  </si>
  <si>
    <t>carlos.pinilla@habitatbogota.gov.co</t>
  </si>
  <si>
    <t>VOLKS WAGEN</t>
  </si>
  <si>
    <t>NJS729</t>
  </si>
  <si>
    <t>JUAN CAMILO MOYA PATIÑO</t>
  </si>
  <si>
    <t>137-2026</t>
  </si>
  <si>
    <t>juan.moya@habitatbogota.gov.co</t>
  </si>
  <si>
    <t>UCY144</t>
  </si>
  <si>
    <t>FLASH TITANIO</t>
  </si>
  <si>
    <t>DEYNA LIZETH CHINCHA TISOY</t>
  </si>
  <si>
    <t>gestion.documental@habitatbogota.gov.co</t>
  </si>
  <si>
    <t xml:space="preserve">AKT </t>
  </si>
  <si>
    <t>JWQ20F</t>
  </si>
  <si>
    <t>NEGRA MATE</t>
  </si>
  <si>
    <t>RUTH PADILLA ALMARIO</t>
  </si>
  <si>
    <t>638-2026</t>
  </si>
  <si>
    <t>ruth.padilla@habitatbogota.gov.co</t>
  </si>
  <si>
    <t>NISSAN VERSA</t>
  </si>
  <si>
    <t>DNT964</t>
  </si>
  <si>
    <t>HERNAN JAVIER RODRÍGUEZ CERVANTES</t>
  </si>
  <si>
    <t>130-2026</t>
  </si>
  <si>
    <t>hernan.rodriguezc@habitatbogotá.gov.co</t>
  </si>
  <si>
    <t>Dirección de Mejoramiento Habitacional</t>
  </si>
  <si>
    <t>VOLKSWAGEN</t>
  </si>
  <si>
    <t>LJQ380</t>
  </si>
  <si>
    <t>SONIA CRISTINA ALVAREZ RODRIGUEZ</t>
  </si>
  <si>
    <t>366-2026</t>
  </si>
  <si>
    <t>sonia.alvarez@habitatbogota.gov.co</t>
  </si>
  <si>
    <t>Dirección de Gestión de Suelo</t>
  </si>
  <si>
    <t>MERCEDEZ</t>
  </si>
  <si>
    <t>HVQ896</t>
  </si>
  <si>
    <t>GRIS PLATEADO</t>
  </si>
  <si>
    <t>PAOLA EDITH HURTADO ARÉVALO</t>
  </si>
  <si>
    <t>227-2026</t>
  </si>
  <si>
    <t>paola.hurtado@habitatbogota.gov.co</t>
  </si>
  <si>
    <t>CHEVROLET TRACKER</t>
  </si>
  <si>
    <t>HIT028</t>
  </si>
  <si>
    <t>ANDREA PAOLA CORTES CARVAJALINO</t>
  </si>
  <si>
    <t>230-2026</t>
  </si>
  <si>
    <t>andrea.cortes@habitatbogota.gov.co</t>
  </si>
  <si>
    <t>RENAULT SANDERO STEP WAY</t>
  </si>
  <si>
    <t>PKK961</t>
  </si>
  <si>
    <t>GRIS CASIOPE</t>
  </si>
  <si>
    <t>JENNY GARZON TRIVIÑO</t>
  </si>
  <si>
    <t>542-2026</t>
  </si>
  <si>
    <t>jenny.garzon@habitatbogota.gov.co</t>
  </si>
  <si>
    <t>WOLKSVAGEN</t>
  </si>
  <si>
    <t>LRK237</t>
  </si>
  <si>
    <t>LORENA CAJAMARCA GALEANO</t>
  </si>
  <si>
    <t>166-2026</t>
  </si>
  <si>
    <t>lorena.cajamarca@habitatbogota.gov.co</t>
  </si>
  <si>
    <t>SEAT ARONA</t>
  </si>
  <si>
    <t>GPW925</t>
  </si>
  <si>
    <t>ROJO- NEGRO</t>
  </si>
  <si>
    <t xml:space="preserve">FELIX ALEXANDER LOPEZ ANZOLA </t>
  </si>
  <si>
    <t>205-2026</t>
  </si>
  <si>
    <t>felix.lopez@habitatbogota.gov.co</t>
  </si>
  <si>
    <t>APACHE 180</t>
  </si>
  <si>
    <t>TOO29E</t>
  </si>
  <si>
    <t>BLANCA</t>
  </si>
  <si>
    <t xml:space="preserve">RODRIGO HIDALGO </t>
  </si>
  <si>
    <t>616-2026</t>
  </si>
  <si>
    <t>rodrigo.hidalgo@habitatbogora.gov.co</t>
  </si>
  <si>
    <t>CXO597</t>
  </si>
  <si>
    <t>GIOVANNI SOTO CAGUA</t>
  </si>
  <si>
    <t>53-2026</t>
  </si>
  <si>
    <t>giovanni.soto@habitatbogota.gov.co</t>
  </si>
  <si>
    <t>CHEVROLET AVEO</t>
  </si>
  <si>
    <t>CCT166</t>
  </si>
  <si>
    <t>GRIS PLATA</t>
  </si>
  <si>
    <t>PEDRO ANTONIO SOLARTE PORTILLA</t>
  </si>
  <si>
    <t>520-2026</t>
  </si>
  <si>
    <t>pedro.solarte@habitatbogota.gov.co</t>
  </si>
  <si>
    <t>KWP790</t>
  </si>
  <si>
    <t>HÍBRIDO</t>
  </si>
  <si>
    <t>ANDRES FAID GARZON APONTE</t>
  </si>
  <si>
    <t>andres.garzon@habitatbogota.gov.co</t>
  </si>
  <si>
    <t>Dirección de Prevención, Arrendamiento y Control de Enajenación</t>
  </si>
  <si>
    <t>CHEVROLET OPTRA</t>
  </si>
  <si>
    <t>CZT814</t>
  </si>
  <si>
    <t>PLATEADO</t>
  </si>
  <si>
    <t>rodrigo.hidalgo@habitatbogota.gov.co</t>
  </si>
  <si>
    <t>RDT94H</t>
  </si>
  <si>
    <t>JOHN ALEXANDER CORREDOR FONSECA</t>
  </si>
  <si>
    <t>548-2026</t>
  </si>
  <si>
    <t>john.corredor@habitatbogota.gov.co</t>
  </si>
  <si>
    <t>QLO085</t>
  </si>
  <si>
    <t>AZUL OSCURO</t>
  </si>
  <si>
    <t xml:space="preserve">PAOLA BASTO ROMERO </t>
  </si>
  <si>
    <t>420-2026</t>
  </si>
  <si>
    <t>paola.basto@habitatbogota.gov.co</t>
  </si>
  <si>
    <t>Dirección de Investigaciones y Control de Vivienda</t>
  </si>
  <si>
    <t>KIA MOHAVE EX</t>
  </si>
  <si>
    <t>DDR152</t>
  </si>
  <si>
    <t>CARMEN ELENA CASTAÑEDA RINCÓN</t>
  </si>
  <si>
    <t>418-2026</t>
  </si>
  <si>
    <t>carmen.castaneda@habitatbogota.gov.co</t>
  </si>
  <si>
    <t>SUZUKI</t>
  </si>
  <si>
    <t>LTW847</t>
  </si>
  <si>
    <t>JUAN CARLOS HOYOS RODRIGUEZ</t>
  </si>
  <si>
    <t>juan.hoyosro@habitatbogota.gov.co</t>
  </si>
  <si>
    <t>NISSAN QASHQAI 2017</t>
  </si>
  <si>
    <t>JEZ418</t>
  </si>
  <si>
    <t>LUISA FERNANDA AREVALO SANABRIA</t>
  </si>
  <si>
    <t>163-2026</t>
  </si>
  <si>
    <t>luisa.arevalo@habitatbogota.gov.co</t>
  </si>
  <si>
    <t>Oficina Asesora de Planeación</t>
  </si>
  <si>
    <t>PYW679</t>
  </si>
  <si>
    <t>RODOLFO ORLANDO BELTRAN CUBILLOS</t>
  </si>
  <si>
    <t>rodolfo.beltran@habitatbogota.gov.co</t>
  </si>
  <si>
    <t>FORD ESCAPE TITANIUM</t>
  </si>
  <si>
    <t>IHK708</t>
  </si>
  <si>
    <t>JENNY PATRICIA MUÑOZ CHAVES</t>
  </si>
  <si>
    <t>232-2026</t>
  </si>
  <si>
    <t>jenny.munoz@habitatbogota.gov.co</t>
  </si>
  <si>
    <t>FORD</t>
  </si>
  <si>
    <t>IXS573</t>
  </si>
  <si>
    <t>ISABELLA SGUERRA RODRÍGUEZ</t>
  </si>
  <si>
    <t>224-2026</t>
  </si>
  <si>
    <t>isabella.sguerra@habitatbogota.gov.co</t>
  </si>
  <si>
    <t>Despacho</t>
  </si>
  <si>
    <t>NIR622</t>
  </si>
  <si>
    <t>CAMILO AUGUSTO PARDO ROCHA</t>
  </si>
  <si>
    <t>27-2026</t>
  </si>
  <si>
    <t>camilo.pardo@habitatbogota.gov.co</t>
  </si>
  <si>
    <t>RENAULT</t>
  </si>
  <si>
    <t>NLV039</t>
  </si>
  <si>
    <t>DIANA MARCELA PINEDA RODRIGUEZ</t>
  </si>
  <si>
    <t>309-2026</t>
  </si>
  <si>
    <t>diana.pineda@habitatbogota.gov.co</t>
  </si>
  <si>
    <t>TOYOYA YARIS CROSS</t>
  </si>
  <si>
    <t>PGR899</t>
  </si>
  <si>
    <t>GERMAN ANDRES ORTIZ SABOGAL</t>
  </si>
  <si>
    <t>156-2026</t>
  </si>
  <si>
    <t>german.ortiz@habitatbogota.gov.co</t>
  </si>
  <si>
    <t>SUSUKI GIXER SF</t>
  </si>
  <si>
    <t>OAP88G</t>
  </si>
  <si>
    <t>NEGRO MATE</t>
  </si>
  <si>
    <t>CATHERIN ANDREA ALVAREZ HERNANDEZ</t>
  </si>
  <si>
    <t>322-2026</t>
  </si>
  <si>
    <t>catherin.alvarez@habitatbogota.gov.co</t>
  </si>
  <si>
    <t>AUDI</t>
  </si>
  <si>
    <t>HJZ870</t>
  </si>
  <si>
    <t>YUMMAY LONDOÑO SANCHEZ</t>
  </si>
  <si>
    <t>174-2026</t>
  </si>
  <si>
    <t>yummay.londono@habitatbogota.gov.co</t>
  </si>
  <si>
    <t>Dirección de Operaciones</t>
  </si>
  <si>
    <t>KHB999</t>
  </si>
  <si>
    <t xml:space="preserve">EDISON RESTREPO CEBALLOS </t>
  </si>
  <si>
    <t>edison.restrepo@habitatbogota.gov.co</t>
  </si>
  <si>
    <t>LNP307</t>
  </si>
  <si>
    <t>GRIS PL</t>
  </si>
  <si>
    <t xml:space="preserve">MARY SOL BATERO CALVO </t>
  </si>
  <si>
    <t>77-2026</t>
  </si>
  <si>
    <t>mary.batero@habitatbogota.gov.co</t>
  </si>
  <si>
    <t>MSM158</t>
  </si>
  <si>
    <t>CAMILO TORRES</t>
  </si>
  <si>
    <t>camilo.torres@habitatbogota.gov.co</t>
  </si>
  <si>
    <t>MERCEDES BENZ</t>
  </si>
  <si>
    <t>JON445</t>
  </si>
  <si>
    <t xml:space="preserve">GRIS PLATA </t>
  </si>
  <si>
    <t>LAURA JULIANA SANCHEZ SIACHOQUE</t>
  </si>
  <si>
    <t>252-2026</t>
  </si>
  <si>
    <t>laura.sanchezs@habitatbogota.gov.co</t>
  </si>
  <si>
    <t>RENAULT TWINGO</t>
  </si>
  <si>
    <t>KMS378</t>
  </si>
  <si>
    <t xml:space="preserve">AMMY JULIETH MORA PARRALES </t>
  </si>
  <si>
    <t>250-2026</t>
  </si>
  <si>
    <t>ammy.mora@habitatbogota.gov.co</t>
  </si>
  <si>
    <t xml:space="preserve">TOYOTA </t>
  </si>
  <si>
    <t>PXW002</t>
  </si>
  <si>
    <t xml:space="preserve">PLATEADO </t>
  </si>
  <si>
    <t>SERGIO ARTURO SANCHEZ SALAMANCA</t>
  </si>
  <si>
    <t>474-2026</t>
  </si>
  <si>
    <t>sergio.sanchez@habitatbogota.gov.co</t>
  </si>
  <si>
    <t xml:space="preserve">NISSAN </t>
  </si>
  <si>
    <t>JVZ512</t>
  </si>
  <si>
    <t>DANILO JOSE VILLAZON</t>
  </si>
  <si>
    <t>226-2026</t>
  </si>
  <si>
    <t>danilo.villazon@habitatbogota.gov.co</t>
  </si>
  <si>
    <t>HFS366</t>
  </si>
  <si>
    <t>LAURA MANTILLA VILLA</t>
  </si>
  <si>
    <t>388-2026</t>
  </si>
  <si>
    <t>laura.mantilla@habitatbogota.gov.co</t>
  </si>
  <si>
    <t>SUSUKI</t>
  </si>
  <si>
    <t>LMV460</t>
  </si>
  <si>
    <t>GRIS   OSCURO</t>
  </si>
  <si>
    <t>MARTHA XIMENA CASAS DUQUE</t>
  </si>
  <si>
    <t>254-2026</t>
  </si>
  <si>
    <t>martha.casas@habitatbogota.gov.co</t>
  </si>
  <si>
    <t>KAM648</t>
  </si>
  <si>
    <t>ALEX CORREA</t>
  </si>
  <si>
    <t>317-2026</t>
  </si>
  <si>
    <t>alex.correa@habitatbogota.gov.co</t>
  </si>
  <si>
    <t>RTN03C</t>
  </si>
  <si>
    <t>AMARILLO - NEGRO</t>
  </si>
  <si>
    <t>ALFONSO MORENO BUITRAGO</t>
  </si>
  <si>
    <t>261-2026</t>
  </si>
  <si>
    <t>alfonso.moreno@habitatbogota.gov.co</t>
  </si>
  <si>
    <t>WLR267</t>
  </si>
  <si>
    <t>SONIA LISETH GOMEZ CACERES</t>
  </si>
  <si>
    <t>249-2026</t>
  </si>
  <si>
    <t>sonia.gomez@habitatbogota.gov.co</t>
  </si>
  <si>
    <t>ROSLY</t>
  </si>
  <si>
    <t>GRIS CON CAFE</t>
  </si>
  <si>
    <t xml:space="preserve">MARIA EUGENIA TAMAYO GUERRERO </t>
  </si>
  <si>
    <t>763-2026</t>
  </si>
  <si>
    <t>maria.tamayo@habitatbogota.gov.co</t>
  </si>
  <si>
    <t xml:space="preserve">RENAULT DUSTER </t>
  </si>
  <si>
    <t>UBO156</t>
  </si>
  <si>
    <t xml:space="preserve">NEGRA </t>
  </si>
  <si>
    <t>ANDREA FERNANDA GUZMAN RAMOS</t>
  </si>
  <si>
    <t>253-2026</t>
  </si>
  <si>
    <t>andrea.guzman@habitatbogota.gov.co</t>
  </si>
  <si>
    <t>KIA RIO</t>
  </si>
  <si>
    <t>ELQ834</t>
  </si>
  <si>
    <t>ANDRES FARFAN</t>
  </si>
  <si>
    <t>298-2026</t>
  </si>
  <si>
    <t>victor.farfan@habitatbogota.gov.co</t>
  </si>
  <si>
    <t xml:space="preserve">RENAULT </t>
  </si>
  <si>
    <t>PYO907</t>
  </si>
  <si>
    <t>JOHN HENRY RAMIREZ RAMIREZ</t>
  </si>
  <si>
    <t>195-2026</t>
  </si>
  <si>
    <t>john.ramirezr@habitatbogota.gov.co</t>
  </si>
  <si>
    <t>KAWASAKI</t>
  </si>
  <si>
    <t>ZSD48H</t>
  </si>
  <si>
    <t>LUISA FERNANDA MORENO LOMBANA</t>
  </si>
  <si>
    <t>236-2026</t>
  </si>
  <si>
    <t>luisa.moreno@habitatbogota.gov.co</t>
  </si>
  <si>
    <t>WOLKSWAGEN</t>
  </si>
  <si>
    <t>JDV154</t>
  </si>
  <si>
    <t>JOSE LUIS DAZA PEREZ</t>
  </si>
  <si>
    <t>192-2026</t>
  </si>
  <si>
    <t>jose.daza@habitatbogota.gov.co</t>
  </si>
  <si>
    <t>LTP577</t>
  </si>
  <si>
    <t>CARLOS AUGUSTO HERNANDEZ ZAMBRANO</t>
  </si>
  <si>
    <t>196-2026</t>
  </si>
  <si>
    <t>carlos.hernandezz@habitatbogota.gov.co</t>
  </si>
  <si>
    <t>PHX295</t>
  </si>
  <si>
    <t xml:space="preserve">FERNANDO BARBOSA OSORIO </t>
  </si>
  <si>
    <t>687-2026</t>
  </si>
  <si>
    <t>fernando.barbosa@habitatbogota.gov.co</t>
  </si>
  <si>
    <t>OPTIMUS</t>
  </si>
  <si>
    <t>MTB</t>
  </si>
  <si>
    <t>CLAUDIA PATRICIA TRIVIÑO ROJAS</t>
  </si>
  <si>
    <t>117-2026</t>
  </si>
  <si>
    <t>claudia.trivino@habitatbogota.gov.co</t>
  </si>
  <si>
    <t>KWX244</t>
  </si>
  <si>
    <t>GRIS CASSIOPE</t>
  </si>
  <si>
    <t xml:space="preserve">LUISA FERNANDA TOVAR CORAL </t>
  </si>
  <si>
    <t xml:space="preserve">MOTO ELÉCTRICA </t>
  </si>
  <si>
    <t xml:space="preserve">ROSADO </t>
  </si>
  <si>
    <t>NELSON GIOVANNI ACUÑA RODRIGUEZ</t>
  </si>
  <si>
    <t>41-2026</t>
  </si>
  <si>
    <t>nelson.acuna@habitatbogota.gov.co</t>
  </si>
  <si>
    <t>Dirección Administrativa</t>
  </si>
  <si>
    <t>AVF201</t>
  </si>
  <si>
    <t>DAIRON ANDRES CAMILO GALINDO CASTRO</t>
  </si>
  <si>
    <t>212-2026</t>
  </si>
  <si>
    <t>dairon.galindo@habitatbogota.gov.co</t>
  </si>
  <si>
    <t>NISSAN KICKS</t>
  </si>
  <si>
    <t>FPQ281</t>
  </si>
  <si>
    <t>IVÁN GIL ISAZA</t>
  </si>
  <si>
    <t>ivan.gil@habitatbogota.gov.co</t>
  </si>
  <si>
    <t>HONDA HR-V</t>
  </si>
  <si>
    <t>ELP818</t>
  </si>
  <si>
    <t xml:space="preserve">JENNY MARITZA BARRERA SUÁREZ </t>
  </si>
  <si>
    <t>jenny.barrera@habitatbogota.gov.co</t>
  </si>
  <si>
    <t xml:space="preserve">VOLKSWAGEN </t>
  </si>
  <si>
    <t>IVP630</t>
  </si>
  <si>
    <t xml:space="preserve">NATALIA ANDREA OTERO TRUJILLO </t>
  </si>
  <si>
    <t>749-2026</t>
  </si>
  <si>
    <t>natalia.otero@habitatbogota.gov.co</t>
  </si>
  <si>
    <t>KWID</t>
  </si>
  <si>
    <t>GBU698</t>
  </si>
  <si>
    <t xml:space="preserve">ANA CAROLINA ARAÚJO CHÁVEZ </t>
  </si>
  <si>
    <t>627-2026</t>
  </si>
  <si>
    <t>ana.araujo@habitatbogota.gov.co</t>
  </si>
  <si>
    <t>NLV749</t>
  </si>
  <si>
    <t>JOHN JAVIER TORRES PAVA</t>
  </si>
  <si>
    <t>814-2026</t>
  </si>
  <si>
    <t>john.torres@habitatbogota.gov.co</t>
  </si>
  <si>
    <t>RENAULT FLUENCE</t>
  </si>
  <si>
    <t>RKY958</t>
  </si>
  <si>
    <t>CÉSAR ENRIQUE GONZÁLEZ ARDILA</t>
  </si>
  <si>
    <t>331-2026</t>
  </si>
  <si>
    <t>cesar.gonzalez@habitatbogota.gov.co</t>
  </si>
  <si>
    <t>DJO120</t>
  </si>
  <si>
    <t>ACERO</t>
  </si>
  <si>
    <t xml:space="preserve">SARA MILENA AGUIRRE BARRERA </t>
  </si>
  <si>
    <t>728-2026</t>
  </si>
  <si>
    <t>saritaguirre@hotmail.com</t>
  </si>
  <si>
    <t>KIA PICANTO</t>
  </si>
  <si>
    <t>DZZ039</t>
  </si>
  <si>
    <t xml:space="preserve">JUAN CARLOS LOZANO MAHECHA </t>
  </si>
  <si>
    <t>355-2026</t>
  </si>
  <si>
    <t>juan.lozano@habitatbogota.gov.co</t>
  </si>
  <si>
    <t>FORD ESCAPE</t>
  </si>
  <si>
    <t>JRM107</t>
  </si>
  <si>
    <t>KAREN LORENA GAITAN MEDINA</t>
  </si>
  <si>
    <t>410-2026</t>
  </si>
  <si>
    <t>karen.gaitan@habitatbogota.gov.co</t>
  </si>
  <si>
    <t>POT693</t>
  </si>
  <si>
    <t xml:space="preserve">LAURA CATALINA MARTÍNEZ LÓPEZ </t>
  </si>
  <si>
    <t>587-2026</t>
  </si>
  <si>
    <t>laura.martinez@habitatbogota.gov.co</t>
  </si>
  <si>
    <t xml:space="preserve">KIA SPORTAGE </t>
  </si>
  <si>
    <t>PHL863</t>
  </si>
  <si>
    <t xml:space="preserve">VERDE </t>
  </si>
  <si>
    <t>CAROLINA FERNÁNDEZ BORDA</t>
  </si>
  <si>
    <t>407-2026</t>
  </si>
  <si>
    <t>carolina.fernandez@habitatbogota.gov.co</t>
  </si>
  <si>
    <t>RENAULT DUSTER</t>
  </si>
  <si>
    <t>JCX491</t>
  </si>
  <si>
    <t>JEIMY CATALINA MORENO CASTAÑEDA</t>
  </si>
  <si>
    <t>302-2026</t>
  </si>
  <si>
    <t>jeimy.moreno@habitatbogota.gov.co</t>
  </si>
  <si>
    <t>ELR761</t>
  </si>
  <si>
    <t>WILLIAM DAVID PERALTA TORRES</t>
  </si>
  <si>
    <t>81-2026</t>
  </si>
  <si>
    <t>william.peralta@habitatbogota.gov.co</t>
  </si>
  <si>
    <t>Dirección de Financiación de Vivienda</t>
  </si>
  <si>
    <t>NISSAN</t>
  </si>
  <si>
    <t>DCT374</t>
  </si>
  <si>
    <t>JOHN ALBERTO MARTINEZ VARGAS</t>
  </si>
  <si>
    <t>538-2026</t>
  </si>
  <si>
    <t>john.martinezv@habitatbogota.gov.co</t>
  </si>
  <si>
    <t>VOLKSWAGEN TIGUAN</t>
  </si>
  <si>
    <t>JVS865</t>
  </si>
  <si>
    <t>VIVIANNA CRISTINA MONTEALEGRE ROJAS</t>
  </si>
  <si>
    <t>406-2026</t>
  </si>
  <si>
    <t>viviana.montealegre@habitatbogota.gov.co</t>
  </si>
  <si>
    <t>DDD459</t>
  </si>
  <si>
    <t>COBRE</t>
  </si>
  <si>
    <t xml:space="preserve">JUAN CARLOS CASTILLO QUINTANA </t>
  </si>
  <si>
    <t>523-2026</t>
  </si>
  <si>
    <t>juan.castillo@habitatbogota.gov.co</t>
  </si>
  <si>
    <t xml:space="preserve">YAMAHA </t>
  </si>
  <si>
    <t>OBG31E</t>
  </si>
  <si>
    <t xml:space="preserve">CLAUDIA MARCELA LONDOÑO LOPEZ </t>
  </si>
  <si>
    <t>663-2026</t>
  </si>
  <si>
    <t>claudia.londono@habitatbogota.gov.co</t>
  </si>
  <si>
    <t>RMM055</t>
  </si>
  <si>
    <t xml:space="preserve">DORA INOCENCIA CASTILLO VALDERRAMA </t>
  </si>
  <si>
    <t>dora.castillov@habitat.gov.co</t>
  </si>
  <si>
    <t xml:space="preserve">MAZDA </t>
  </si>
  <si>
    <t>KPK172</t>
  </si>
  <si>
    <t xml:space="preserve">GRIS OSCURO </t>
  </si>
  <si>
    <t xml:space="preserve">JOSÉ FRANCK MACHADO MORENO </t>
  </si>
  <si>
    <t>808-2026</t>
  </si>
  <si>
    <t>josé.machado@habitatbogota.gov.co</t>
  </si>
  <si>
    <t>JNO190</t>
  </si>
  <si>
    <t>CIRO LEONARDO MARTINEZ SANCHEZ</t>
  </si>
  <si>
    <t>23-2026</t>
  </si>
  <si>
    <t>ciro.martinez@habitatbogota.gov.co</t>
  </si>
  <si>
    <t>DZV347</t>
  </si>
  <si>
    <t xml:space="preserve">REMY JOSEFA RAMÍREZ NEGRETE </t>
  </si>
  <si>
    <t>626-2026</t>
  </si>
  <si>
    <t>remy.ramirez@habitatbogota.gov.co</t>
  </si>
  <si>
    <t>DBI304</t>
  </si>
  <si>
    <t>LAURA ALEJANDRA BARRAGÁN MONTENEGRO</t>
  </si>
  <si>
    <t>1338-2025</t>
  </si>
  <si>
    <t>laura.barragan@habitatbogota.gov.co</t>
  </si>
  <si>
    <t>JNQ616</t>
  </si>
  <si>
    <t>JOSÉ LUIS AGUILAR CASAS</t>
  </si>
  <si>
    <t>116-2026</t>
  </si>
  <si>
    <t>jose.aguilar@habitatbogota.gov.co</t>
  </si>
  <si>
    <t>JBN324</t>
  </si>
  <si>
    <t xml:space="preserve">MARIA CAMILA CACERES MENDOZA </t>
  </si>
  <si>
    <t>847-2026</t>
  </si>
  <si>
    <t>maria.caceres@habitatbogota.gov.co</t>
  </si>
  <si>
    <t>GW</t>
  </si>
  <si>
    <t>NEGRA CON MORADO</t>
  </si>
  <si>
    <t xml:space="preserve">CLAUDIA ALEJANDRA REYES GARCÍA </t>
  </si>
  <si>
    <t>451-2026</t>
  </si>
  <si>
    <t>claudia.reyes@habitatbogota.gov.co</t>
  </si>
  <si>
    <t>JDV193</t>
  </si>
  <si>
    <t>ZAHIMIS MORENO VERGARA</t>
  </si>
  <si>
    <t>434-2026</t>
  </si>
  <si>
    <t>zahimis.moreno@habitatbogota.gov.co</t>
  </si>
  <si>
    <t>CHEVROLET  TRACKER</t>
  </si>
  <si>
    <t>JNK827</t>
  </si>
  <si>
    <t>OMAR MORENO VERA</t>
  </si>
  <si>
    <t>561-2026</t>
  </si>
  <si>
    <t>omar.moreno@habitatbogota.gov.co</t>
  </si>
  <si>
    <t>BYR110</t>
  </si>
  <si>
    <t>CLARA LOREN ACUÑA SANCHEZ</t>
  </si>
  <si>
    <t>45-2026</t>
  </si>
  <si>
    <t>clara.acuna@habitatbogota.gov.co</t>
  </si>
  <si>
    <t>VOLKSWAGEN TCROSS</t>
  </si>
  <si>
    <t>LNP411</t>
  </si>
  <si>
    <t xml:space="preserve">AZUL </t>
  </si>
  <si>
    <t>PAULA CAMILA VEGA BUSTOS</t>
  </si>
  <si>
    <t>paula.vega@habitatbogota.gov.co</t>
  </si>
  <si>
    <t>EHM75F</t>
  </si>
  <si>
    <t>LUIS ALEJANDRO FAJARDO RAMIREZ</t>
  </si>
  <si>
    <t>96-2026</t>
  </si>
  <si>
    <t>luis.fajardo@habitatbogota.gov.co</t>
  </si>
  <si>
    <t>NIU313</t>
  </si>
  <si>
    <t>GRIS CHAMPAÑA</t>
  </si>
  <si>
    <t xml:space="preserve">CESAR MIGUEL CASERES DIAZ </t>
  </si>
  <si>
    <t>206-2026</t>
  </si>
  <si>
    <t>césar.caseres@habitatbogota.gov.co</t>
  </si>
  <si>
    <t xml:space="preserve">HONDA </t>
  </si>
  <si>
    <t>BHT12C</t>
  </si>
  <si>
    <t>SARA NATALIA CASALLAS RODRIGUEZ</t>
  </si>
  <si>
    <t>566-2026</t>
  </si>
  <si>
    <t>sara.casallas@habitatbogta.gov.co</t>
  </si>
  <si>
    <t>Dirección de Apoyo a la Contrucción</t>
  </si>
  <si>
    <t>UBZ404</t>
  </si>
  <si>
    <t>GRIS OBSCURO</t>
  </si>
  <si>
    <t>NATHALI ALEJANDRA FONSECA BURGOS</t>
  </si>
  <si>
    <t>169-2026</t>
  </si>
  <si>
    <t>nathali.fonseca@habitatbogota.gov.co</t>
  </si>
  <si>
    <t>DAX652</t>
  </si>
  <si>
    <t>MARÍA ALEJANDRA GÓMEZ GALEANO</t>
  </si>
  <si>
    <t>284-2026</t>
  </si>
  <si>
    <t>maria.gomezg@habitatbogota.gov.co</t>
  </si>
  <si>
    <t>JVT391</t>
  </si>
  <si>
    <t>ANGELICA MARIA ANTOLINEZ TIUSABA</t>
  </si>
  <si>
    <t>164-2026</t>
  </si>
  <si>
    <t>angelica.antolinez@habitatbogota.gov.co</t>
  </si>
  <si>
    <t>PCU762</t>
  </si>
  <si>
    <t>GRIS AERO</t>
  </si>
  <si>
    <t>EDWIN HUMBERTO BUSTACARA BETANCOURT</t>
  </si>
  <si>
    <t>652-2026</t>
  </si>
  <si>
    <t>edwinbustacara@gmail.com</t>
  </si>
  <si>
    <t>ROYAL ENFIEL SCRAM</t>
  </si>
  <si>
    <t>KJJ76G</t>
  </si>
  <si>
    <t>GRIS, NEGRO AZUL</t>
  </si>
  <si>
    <t>ANGIE DANIELA TIRANO MARTINEZ</t>
  </si>
  <si>
    <t>547-2026</t>
  </si>
  <si>
    <t>angie.tirano@habitatbogota.gov.co</t>
  </si>
  <si>
    <t>UTQ561</t>
  </si>
  <si>
    <t>ADRIANA MORENO CHAVES</t>
  </si>
  <si>
    <t>819-2026</t>
  </si>
  <si>
    <t>adriana.moreno@habitatbogota.gov.co</t>
  </si>
  <si>
    <t xml:space="preserve">SUZUKI </t>
  </si>
  <si>
    <t>KWZ109</t>
  </si>
  <si>
    <t xml:space="preserve">ROJO NEGRO </t>
  </si>
  <si>
    <t>LILIANA MARCELA BASTO ZABALA</t>
  </si>
  <si>
    <t>liliana.basto@habitatbogota.gov.co</t>
  </si>
  <si>
    <t>KXR481</t>
  </si>
  <si>
    <t>JORGE LUIS JIMENEZ PLAZAS</t>
  </si>
  <si>
    <t>286-2026</t>
  </si>
  <si>
    <t>jorge.jimenez@habitatbogota.gov.co</t>
  </si>
  <si>
    <t>SCX09F</t>
  </si>
  <si>
    <t>PEDRO MARIO BUITRAGO MEDINA</t>
  </si>
  <si>
    <t>157-2026</t>
  </si>
  <si>
    <t>pedro.buitrago@habitatbogota.gov.co</t>
  </si>
  <si>
    <t>CSF967</t>
  </si>
  <si>
    <t>ROJO CONTINENTAL</t>
  </si>
  <si>
    <t xml:space="preserve">JAVIER FERNANDO CAICEDO MONTOYA </t>
  </si>
  <si>
    <t>463-2026</t>
  </si>
  <si>
    <t>javier.caicedo@habitatbogota.gov.co</t>
  </si>
  <si>
    <t>PCM045</t>
  </si>
  <si>
    <t>NATALIA URIBE ABISAMBRA</t>
  </si>
  <si>
    <t>344-2026</t>
  </si>
  <si>
    <t>natalia.uribe@habitatbogota.gov.co</t>
  </si>
  <si>
    <t xml:space="preserve">TOYOTA CROSS </t>
  </si>
  <si>
    <t>LWM872</t>
  </si>
  <si>
    <t xml:space="preserve">MISAEL ESTEBAN LINARES GARZON </t>
  </si>
  <si>
    <t>489-2026</t>
  </si>
  <si>
    <t>misael.linares@habitatbogota.gov.co</t>
  </si>
  <si>
    <t>MYL89H</t>
  </si>
  <si>
    <t xml:space="preserve">SANTIAGO GARCIA </t>
  </si>
  <si>
    <t>276-2026</t>
  </si>
  <si>
    <t>santiago.garcia@habitatbogota.gov.co</t>
  </si>
  <si>
    <t>LMZ504</t>
  </si>
  <si>
    <t xml:space="preserve">JENNY FERNANDA VELANDIA CASTRO </t>
  </si>
  <si>
    <t>400-2026</t>
  </si>
  <si>
    <t>jenny.velandia@habitatbogota.gov.co</t>
  </si>
  <si>
    <t xml:space="preserve">RENAULT SANDERO </t>
  </si>
  <si>
    <t>MJW540</t>
  </si>
  <si>
    <t>VINOTINTO</t>
  </si>
  <si>
    <t>CRISTIAN CAMILO GUERRERO CALVO</t>
  </si>
  <si>
    <t>118-2026</t>
  </si>
  <si>
    <t>cristian.guerrero@habitatbogota.gov.co</t>
  </si>
  <si>
    <t xml:space="preserve">MITSUBISHI </t>
  </si>
  <si>
    <t>LWM992</t>
  </si>
  <si>
    <t>PAUBLA VANESSA MURCIA TOVAR</t>
  </si>
  <si>
    <t>277-2026</t>
  </si>
  <si>
    <t>paubla.murcia@habitatbogota.gov.co</t>
  </si>
  <si>
    <t>MLJ42</t>
  </si>
  <si>
    <t xml:space="preserve">EDUARDO CONTA MARTINEZ </t>
  </si>
  <si>
    <t>573-2026</t>
  </si>
  <si>
    <t>arnold.conta@habitatbogota.gov.co</t>
  </si>
  <si>
    <t>KYZ718</t>
  </si>
  <si>
    <t>JULIÁN DARÍO BONILLA RIOS</t>
  </si>
  <si>
    <t>102-2026</t>
  </si>
  <si>
    <t>julian.bonillar@habitatbogota.gov.co</t>
  </si>
  <si>
    <t>TRIUMPH</t>
  </si>
  <si>
    <t>FUA84H</t>
  </si>
  <si>
    <t xml:space="preserve">GRIS NARANJA </t>
  </si>
  <si>
    <t>MAGDA ROSARIO MENDOZA GOMEZ</t>
  </si>
  <si>
    <t>865-2026</t>
  </si>
  <si>
    <t>magda.mendoza@habitatbogota.gov.co</t>
  </si>
  <si>
    <t xml:space="preserve">SWIFT </t>
  </si>
  <si>
    <t>KXQ945</t>
  </si>
  <si>
    <t xml:space="preserve">BRIAN FELIPE PINILLA GARZÓN </t>
  </si>
  <si>
    <t>785-2026</t>
  </si>
  <si>
    <t>brian.pinilla@habitatbogota.gov.co</t>
  </si>
  <si>
    <t>MAZDA 2</t>
  </si>
  <si>
    <t>JLK455</t>
  </si>
  <si>
    <t>GRIS MACHINE</t>
  </si>
  <si>
    <t>ALFREDO GOMEZ ARBOLEDA</t>
  </si>
  <si>
    <t>1345-2026</t>
  </si>
  <si>
    <t>alfredo.gomez@habitatbogota.gov.co</t>
  </si>
  <si>
    <t>JDN117</t>
  </si>
  <si>
    <t>RICARDO DOMINGUEZ IRISARRI</t>
  </si>
  <si>
    <t>360-2026</t>
  </si>
  <si>
    <t>ricardo.dominguez@habitatbogota.gov.co</t>
  </si>
  <si>
    <t>RENAULT SCENIC</t>
  </si>
  <si>
    <t>CYT553</t>
  </si>
  <si>
    <t>GRIS ECLIPSE</t>
  </si>
  <si>
    <t>JAIRO DE JESUS DUITAMA REYES</t>
  </si>
  <si>
    <t>jairo.duitama@habitatbogota.gov.co</t>
  </si>
  <si>
    <t>SUZUKI GRAN VITARA</t>
  </si>
  <si>
    <t>HSQ116</t>
  </si>
  <si>
    <t>CARLOS ALBERTO ZULUAGA BARRERO</t>
  </si>
  <si>
    <t>167-2026</t>
  </si>
  <si>
    <t>carlos.zuluaga@habitatbogota.gov.co</t>
  </si>
  <si>
    <t>YAMAHA</t>
  </si>
  <si>
    <t>ODK66E</t>
  </si>
  <si>
    <t>GRIS Y NEGRO</t>
  </si>
  <si>
    <t xml:space="preserve">MARIA CONSUELO RODRIGUEZ MORENO </t>
  </si>
  <si>
    <t>937-2026</t>
  </si>
  <si>
    <t>maria.rodriguezm@habitatbogota.gov.co</t>
  </si>
  <si>
    <t>HIU615</t>
  </si>
  <si>
    <t>GRIS COMET</t>
  </si>
  <si>
    <t xml:space="preserve">LEIDY MARCELA TRUJILLO MATIZ </t>
  </si>
  <si>
    <t>765-2026</t>
  </si>
  <si>
    <t>leidy.trujillo@habitatbogota.gov.co</t>
  </si>
  <si>
    <t xml:space="preserve">FORD SCAPE </t>
  </si>
  <si>
    <t>NDX070</t>
  </si>
  <si>
    <t>YEISSON FERNANDO ORTIZ SABOGAL</t>
  </si>
  <si>
    <t>16-2026</t>
  </si>
  <si>
    <t>yeisson.ortiz@habitatbogota.gov.co</t>
  </si>
  <si>
    <t>ZAD20G</t>
  </si>
  <si>
    <t>JUAN CARLOS TORRES</t>
  </si>
  <si>
    <t>juanc.torres@habitatbogota.gov.co</t>
  </si>
  <si>
    <t>HJN091</t>
  </si>
  <si>
    <t xml:space="preserve">JAIRO ENRIQUE MOSQUERA PÁEZ </t>
  </si>
  <si>
    <t>667-2026</t>
  </si>
  <si>
    <t>jairo.mosquera@habitatbogota.gov.co</t>
  </si>
  <si>
    <t>GFN340</t>
  </si>
  <si>
    <t xml:space="preserve">ROJO </t>
  </si>
  <si>
    <t>FABIOLA ANDREA RODRIGUEZ ESQUIVEL</t>
  </si>
  <si>
    <t>467-2026</t>
  </si>
  <si>
    <t>fabiola.rodriguez@habitatbogota.gov.co</t>
  </si>
  <si>
    <t>FOO895</t>
  </si>
  <si>
    <t>MARIA PAULA ANDREA SARMIENTO BEDOYA</t>
  </si>
  <si>
    <t>614-2026</t>
  </si>
  <si>
    <t>maria.sarmiento@habitatbogota.gov.co</t>
  </si>
  <si>
    <t>SCP49F</t>
  </si>
  <si>
    <t>AZUL CLARO</t>
  </si>
  <si>
    <t xml:space="preserve">ROBERTO VELÁSQUEZ VELÁSQUEZ </t>
  </si>
  <si>
    <t>339-2026</t>
  </si>
  <si>
    <t>roberto.velasquez@habitatbogota.gov.co</t>
  </si>
  <si>
    <t>JDZ500</t>
  </si>
  <si>
    <t>INGRID PIEDAD NIÑO BUITRAGO</t>
  </si>
  <si>
    <t>562-2026</t>
  </si>
  <si>
    <t>ingrid.nino@habitatbogota.gov.co</t>
  </si>
  <si>
    <t>Gestión Documental</t>
  </si>
  <si>
    <t>VOLSWAGEN</t>
  </si>
  <si>
    <t>FNQ384</t>
  </si>
  <si>
    <t>LADY JHOVANNA CANCHINVO VERNY</t>
  </si>
  <si>
    <t>413-2026</t>
  </si>
  <si>
    <t>lady.canchinvo@habitatbogota.gov.co</t>
  </si>
  <si>
    <t>JMV160</t>
  </si>
  <si>
    <t>JULIAN ERNESTO RODRIGUEZ SIERRA</t>
  </si>
  <si>
    <t>julian.rodriguez@habitatbogota.gov.co</t>
  </si>
  <si>
    <t>DODGE JOURNEY</t>
  </si>
  <si>
    <t>RMZ758</t>
  </si>
  <si>
    <t>sergio.bohorquez@hotmail.com</t>
  </si>
  <si>
    <t>BENELLI</t>
  </si>
  <si>
    <t>DIP89H</t>
  </si>
  <si>
    <t>WILSON ALFONSO RAMIREZ MORALES</t>
  </si>
  <si>
    <t>259-2026</t>
  </si>
  <si>
    <t>wilson.ramirez@habitatbogota.gov.co</t>
  </si>
  <si>
    <t>KPM490</t>
  </si>
  <si>
    <t>CESAR AUGUSTO POVEDA HERNANDEZ</t>
  </si>
  <si>
    <t>24-2026</t>
  </si>
  <si>
    <t>pove79@hotmail.com</t>
  </si>
  <si>
    <t>JJP900</t>
  </si>
  <si>
    <t xml:space="preserve">LAURA CAMILA DE LA HOZ </t>
  </si>
  <si>
    <t>301-2026</t>
  </si>
  <si>
    <t>laura.delahoz@habitatbogota.gov.co</t>
  </si>
  <si>
    <t>MRZ989</t>
  </si>
  <si>
    <t>YÉSSSICA MARÍA BELTRÁN TORO</t>
  </si>
  <si>
    <t>559-2026</t>
  </si>
  <si>
    <t>yessica.beltran@habitatbogota.gov.co</t>
  </si>
  <si>
    <t>CITROEN C3</t>
  </si>
  <si>
    <t>NOM978</t>
  </si>
  <si>
    <t>GRIS GRAFITO</t>
  </si>
  <si>
    <t>JENIFER LORENA BELTRAN PENAGOS</t>
  </si>
  <si>
    <t>745-2026</t>
  </si>
  <si>
    <t>jenifer.beltran@habitat.gov.co</t>
  </si>
  <si>
    <t>KIA SPORTAGE</t>
  </si>
  <si>
    <t>FXY022</t>
  </si>
  <si>
    <t>EDGAR ANDRÉS ORTIZ VIVAS</t>
  </si>
  <si>
    <t>edgar.ortizv@habitatbogota.gov.co</t>
  </si>
  <si>
    <t>CHEVROLET SONIC</t>
  </si>
  <si>
    <t>URX028</t>
  </si>
  <si>
    <t>JIMENA DACHIARDI CASTRO</t>
  </si>
  <si>
    <t>281-2026</t>
  </si>
  <si>
    <t>jimena.dachiardi@habitatbogota.gov.co</t>
  </si>
  <si>
    <t>LMQ898</t>
  </si>
  <si>
    <t>DARIO ALFREDO VEGA CASTILLO</t>
  </si>
  <si>
    <t>12-2026</t>
  </si>
  <si>
    <t>dario.vega@habitatbogota.gov.co</t>
  </si>
  <si>
    <t>CHEVROLETE TRACKER</t>
  </si>
  <si>
    <t>NJX700</t>
  </si>
  <si>
    <t>JOHNY CUÉLLAR PELAEZ</t>
  </si>
  <si>
    <t>97-2026</t>
  </si>
  <si>
    <t>johny.cuellar@habitatbogota.gov.co</t>
  </si>
  <si>
    <t>DISCOVER</t>
  </si>
  <si>
    <t>DCL80E</t>
  </si>
  <si>
    <t>ROJO - NEGRO</t>
  </si>
  <si>
    <t>ALDEMAR CASTILLO ARIZA</t>
  </si>
  <si>
    <t>502-2026</t>
  </si>
  <si>
    <t>aldemar.castillo@habitatbogota.gov.co</t>
  </si>
  <si>
    <t>JLQ291</t>
  </si>
  <si>
    <t xml:space="preserve">CAROL ANDREA GARCÍA GARZÓN </t>
  </si>
  <si>
    <t>291-2026</t>
  </si>
  <si>
    <t>carol.garcia@habitatbogota.gov.co</t>
  </si>
  <si>
    <t>KYMCO</t>
  </si>
  <si>
    <t>RPK84E</t>
  </si>
  <si>
    <t xml:space="preserve">CLAUDIA PATRICIA RUEDA PLATA </t>
  </si>
  <si>
    <t>335-2026</t>
  </si>
  <si>
    <t>claudia.rueda@habitatbogota.gov.co</t>
  </si>
  <si>
    <t>AUDI Q5</t>
  </si>
  <si>
    <t>NJZ832</t>
  </si>
  <si>
    <t>MARIA JOSE JARAMILLO CAMACHO</t>
  </si>
  <si>
    <t>805-2026</t>
  </si>
  <si>
    <t>maria.jaramillo@habitatbogota.gov.co</t>
  </si>
  <si>
    <t>HWM</t>
  </si>
  <si>
    <t>JUAN JOSÉ CORREDOR CABUYA</t>
  </si>
  <si>
    <t>juan.corredorc@habitatbogota.gov.co</t>
  </si>
  <si>
    <t>INK096</t>
  </si>
  <si>
    <t>MARIAN ALEJANDRA RODRÍGUEZ DURAN</t>
  </si>
  <si>
    <t>401-2026</t>
  </si>
  <si>
    <t>maria.rodriguezd@habitatbogota.gov.co</t>
  </si>
  <si>
    <t>NBW294</t>
  </si>
  <si>
    <t xml:space="preserve">DIANA CAROLINA GONZALEZ </t>
  </si>
  <si>
    <t>247-2026</t>
  </si>
  <si>
    <t>diana.gonzalez@habitatbogota.gov.co</t>
  </si>
  <si>
    <t>PZV518</t>
  </si>
  <si>
    <t xml:space="preserve">JEIMMY LILIANA GÓMEZ OYOLA </t>
  </si>
  <si>
    <t>879-2026</t>
  </si>
  <si>
    <t>jeimmy.gomez@habitatbogota.gov.co</t>
  </si>
  <si>
    <t>JEEP</t>
  </si>
  <si>
    <t>DQO942</t>
  </si>
  <si>
    <t>LUIS FELIPE TAMARA RENZA</t>
  </si>
  <si>
    <t>475-2026</t>
  </si>
  <si>
    <t>luis.tamara@habitatbogota.gov.co</t>
  </si>
  <si>
    <t>QTN58C</t>
  </si>
  <si>
    <t>JUAN CARLOS TORRES BAUTISTA</t>
  </si>
  <si>
    <t>342-2026</t>
  </si>
  <si>
    <t>juan.torresb@habitatbogota.gov.co</t>
  </si>
  <si>
    <t>BZL830</t>
  </si>
  <si>
    <t>ERIKA MARIA BLANCO VARGAS</t>
  </si>
  <si>
    <t>357-2026</t>
  </si>
  <si>
    <t>erika.blancov@habitatbogota.gov.co</t>
  </si>
  <si>
    <t xml:space="preserve">PEUGEOT </t>
  </si>
  <si>
    <t>CXU008</t>
  </si>
  <si>
    <t>METALIZADO GRIS CENDRE</t>
  </si>
  <si>
    <t>SUSAN FERNANDA HOYOS OCAMPO</t>
  </si>
  <si>
    <t>601-2026</t>
  </si>
  <si>
    <t>susan.hoyos@habitatbogota.gov.co</t>
  </si>
  <si>
    <t>VICTORY-AUTECO</t>
  </si>
  <si>
    <t>JWN05G</t>
  </si>
  <si>
    <t>GRIS PIEDRA NEGRO MATE</t>
  </si>
  <si>
    <t>LUIS ANTONIO SARMIENTO MELO</t>
  </si>
  <si>
    <t>luis.sarmiento@habitatbogota.gov.co</t>
  </si>
  <si>
    <t>ZYX282</t>
  </si>
  <si>
    <t xml:space="preserve">MARTHA PATRICIA TOVAR GONZALEZ </t>
  </si>
  <si>
    <t>405-2026</t>
  </si>
  <si>
    <t>martha.tovar@habitatbogota.gov.co</t>
  </si>
  <si>
    <t>GPP291</t>
  </si>
  <si>
    <t xml:space="preserve">PLATASIRIUS METALICO </t>
  </si>
  <si>
    <t>OSIRIS VINAS MANRIQUE</t>
  </si>
  <si>
    <t>175-2026</t>
  </si>
  <si>
    <t>osiris.vina@habitatbogota.gov.co</t>
  </si>
  <si>
    <t>JLW677</t>
  </si>
  <si>
    <t xml:space="preserve">CARLOS FABIÁN HAMON ALARCÓN </t>
  </si>
  <si>
    <t>717-2026</t>
  </si>
  <si>
    <t>carlos.hamon@habitatbogota.goc.co</t>
  </si>
  <si>
    <t>EJL040</t>
  </si>
  <si>
    <t>JOSE ALEXANDER MORENO PAEZ</t>
  </si>
  <si>
    <t>jose.moreno@habitatbogota.gov.co</t>
  </si>
  <si>
    <t>NKX356</t>
  </si>
  <si>
    <t xml:space="preserve">SANDRA JOHANA PINZON RODRÍGUEZ </t>
  </si>
  <si>
    <t>57-2026</t>
  </si>
  <si>
    <t>sandra.pinzonr@habitatbogota.gov.co</t>
  </si>
  <si>
    <t>XCP05C</t>
  </si>
  <si>
    <t>KENNY CATALINA GUEVARA BAQUERO</t>
  </si>
  <si>
    <t>697-2026</t>
  </si>
  <si>
    <t>kenny.guevara@habitatbogota.gov.co</t>
  </si>
  <si>
    <t>SYM</t>
  </si>
  <si>
    <t>UDD71H</t>
  </si>
  <si>
    <t>MULTICOLOR</t>
  </si>
  <si>
    <t>DANIEL ALFREDO ROMERO JAIMES</t>
  </si>
  <si>
    <t>2-2026</t>
  </si>
  <si>
    <t>daniel.romeroj@habitatbogota.gov.co</t>
  </si>
  <si>
    <t>LNL046</t>
  </si>
  <si>
    <t>MAURICIO BETANCUR VIVAS</t>
  </si>
  <si>
    <t>328-2026</t>
  </si>
  <si>
    <t>mauricio.betancur@habitatbogota.gov.co</t>
  </si>
  <si>
    <t>DXT697</t>
  </si>
  <si>
    <t>EDNA MARGARITA GOMEZ ARBELAEZ</t>
  </si>
  <si>
    <t>421-2026</t>
  </si>
  <si>
    <t>edna.gomez@habitatbogota.gov.co</t>
  </si>
  <si>
    <t>FORD EDGE</t>
  </si>
  <si>
    <t>GSQ121</t>
  </si>
  <si>
    <t>CONSUELO ARIZA MAHECHA</t>
  </si>
  <si>
    <t>493-2026</t>
  </si>
  <si>
    <t>consuelo.ariza@habitatbogota.gov.co</t>
  </si>
  <si>
    <t>JCU242</t>
  </si>
  <si>
    <t>GLADYS LUNA GAONA</t>
  </si>
  <si>
    <t>535-2026</t>
  </si>
  <si>
    <t>gladys.luna@habitatbogota.gov.co</t>
  </si>
  <si>
    <t>UDY304</t>
  </si>
  <si>
    <t>DONALDO DONALDO VANEGAS PALACIO</t>
  </si>
  <si>
    <t>791-2026</t>
  </si>
  <si>
    <t>donaldo.vanegas@habitatbogota.gov.co</t>
  </si>
  <si>
    <t>KIA CERATO FORTE</t>
  </si>
  <si>
    <t>MKU320</t>
  </si>
  <si>
    <t>KAREN TATIANA RINCÓN ROZO</t>
  </si>
  <si>
    <t>714-2026</t>
  </si>
  <si>
    <t>karen.rrozo28@gmail.com</t>
  </si>
  <si>
    <t>UDK33H</t>
  </si>
  <si>
    <t xml:space="preserve">AZUL CON BLANCO </t>
  </si>
  <si>
    <t xml:space="preserve">CARLOS ANDRÉS MÉNDEZ MOJICA </t>
  </si>
  <si>
    <t>9-2026</t>
  </si>
  <si>
    <t>carlos.mendez@habitatbogota.gov.co</t>
  </si>
  <si>
    <t>FNM864</t>
  </si>
  <si>
    <t>MÓNICA ANDREA GARAVITO DIAZ</t>
  </si>
  <si>
    <t>179-2026</t>
  </si>
  <si>
    <t>monica.garavito@habitatbogota.gov.co</t>
  </si>
  <si>
    <t>CHEVROLET WAGON</t>
  </si>
  <si>
    <t>BLD160</t>
  </si>
  <si>
    <t xml:space="preserve">VERDE ESMERALDA </t>
  </si>
  <si>
    <t>DIEGO IVAN NAVARRO JIMENEZ</t>
  </si>
  <si>
    <t>677-2026</t>
  </si>
  <si>
    <t>diego.navarro@habitatbogota.gov.co</t>
  </si>
  <si>
    <t>KAM927</t>
  </si>
  <si>
    <t>LUIS ANDRÉS PEDRAZA GORDO</t>
  </si>
  <si>
    <t>800-2026</t>
  </si>
  <si>
    <t>luis.pedraza@habitatbogota.gov.co</t>
  </si>
  <si>
    <t>CITRÖEN</t>
  </si>
  <si>
    <t>JNU529</t>
  </si>
  <si>
    <t>BLANCO NACAR NEGRO</t>
  </si>
  <si>
    <t>JORGE ANDRÉS GONZÁLEZ CETINA</t>
  </si>
  <si>
    <t>10-2026</t>
  </si>
  <si>
    <t>jorge.gonzalez@habitatbogota.gov.co</t>
  </si>
  <si>
    <t>NJV828</t>
  </si>
  <si>
    <t>MARIO CASTILLO JIMENEZ</t>
  </si>
  <si>
    <t>mario.castillo@habitatbogota.gov.co</t>
  </si>
  <si>
    <t>NGK802</t>
  </si>
  <si>
    <t xml:space="preserve">ANTONIO DAVID MARTINEZ VARGAS </t>
  </si>
  <si>
    <t>397-2026</t>
  </si>
  <si>
    <t>antonio.martinez@habitatbogota.gov.co</t>
  </si>
  <si>
    <t>KHY698</t>
  </si>
  <si>
    <t xml:space="preserve">GRIS ESTRELLA </t>
  </si>
  <si>
    <t>NICOLAS SANCHEZ CASTRO</t>
  </si>
  <si>
    <t>333-2026</t>
  </si>
  <si>
    <t>nicolas.sanchez@habitatbogota.gov.co</t>
  </si>
  <si>
    <t>QPE41H</t>
  </si>
  <si>
    <t>DIANA CAROLINA RICO OROZCO</t>
  </si>
  <si>
    <t>213-2026</t>
  </si>
  <si>
    <t>diana.rico@habitatbogota.gov.co</t>
  </si>
  <si>
    <t>KPM313</t>
  </si>
  <si>
    <t>JOSE PABLO RUEDA SERRANO</t>
  </si>
  <si>
    <t>182-2026</t>
  </si>
  <si>
    <t>jose.rueda@habitatbogota.gov.co</t>
  </si>
  <si>
    <t>ZZQ044</t>
  </si>
  <si>
    <t>AZUL SCUBA CON PLATA HIELO</t>
  </si>
  <si>
    <t>DEISY CATALINA NIÑO MORANTES</t>
  </si>
  <si>
    <t>311-2026</t>
  </si>
  <si>
    <t>deisy.nino@habitatbogota.gov.co</t>
  </si>
  <si>
    <t>EBN363</t>
  </si>
  <si>
    <t>JHOAN STEVE JIMENEZ HERNANDEZ</t>
  </si>
  <si>
    <t>382-2026</t>
  </si>
  <si>
    <t>jhoan.jimenez@habitatbogota.gov.co</t>
  </si>
  <si>
    <t>DLF53C</t>
  </si>
  <si>
    <t>HOLLMAN ANDRÉS SILVA GUZMÁN</t>
  </si>
  <si>
    <t>274-2026</t>
  </si>
  <si>
    <t>hollman.silva@habitatbogota.gov.co</t>
  </si>
  <si>
    <t>FLM749</t>
  </si>
  <si>
    <t>CLAUDIA MARCELA GARCÍA</t>
  </si>
  <si>
    <t>188-2026</t>
  </si>
  <si>
    <t>claudia.garcia@habitatbogota.gov.co</t>
  </si>
  <si>
    <t>HIS237</t>
  </si>
  <si>
    <t>GRIS BEIGE</t>
  </si>
  <si>
    <t>HENRY DUVAN LEÓN REYES</t>
  </si>
  <si>
    <t>586-2026</t>
  </si>
  <si>
    <t>henry.leon@habitatbogota.gov.co</t>
  </si>
  <si>
    <t>NDW570</t>
  </si>
  <si>
    <t>JULIÁN DAVID CASTRILLÓN UMAÑA</t>
  </si>
  <si>
    <t>34-2026</t>
  </si>
  <si>
    <t>julian.castrillon@habitatbogota.gov.co</t>
  </si>
  <si>
    <t>IXR377</t>
  </si>
  <si>
    <t>CARLOS JAVIER CASTILLO ROMERO</t>
  </si>
  <si>
    <t>carlos.castillo@habitatbogota.gov.co</t>
  </si>
  <si>
    <t>RCU484</t>
  </si>
  <si>
    <t>GRIS METROPOLITANO</t>
  </si>
  <si>
    <t xml:space="preserve">KARENT RAMÍREZ BERNAL </t>
  </si>
  <si>
    <t>karent.ramirez@habitatbogota.gov.co</t>
  </si>
  <si>
    <t xml:space="preserve">JEEP WRANGLER </t>
  </si>
  <si>
    <t>MBM740</t>
  </si>
  <si>
    <t>ROJO FLAMA</t>
  </si>
  <si>
    <t>ANDRES FELIPE LEGUIZAMO SANCHEZ</t>
  </si>
  <si>
    <t>483-2026</t>
  </si>
  <si>
    <t>andres.leguizamon@habitatbogota.gov.co</t>
  </si>
  <si>
    <t>LUCIERNAGAS</t>
  </si>
  <si>
    <t xml:space="preserve">LEYDI ROCIO AYALA CAMARGO </t>
  </si>
  <si>
    <t>783-2026</t>
  </si>
  <si>
    <t>leydi.ayala@habitatbogota.gov.co</t>
  </si>
  <si>
    <t>LRX282</t>
  </si>
  <si>
    <t>GABRIEL AUGUSTO CANCINO ZAPATA</t>
  </si>
  <si>
    <t>28-2026</t>
  </si>
  <si>
    <t>gabriel.cancino@habitatbogota.gov.co</t>
  </si>
  <si>
    <t>HKS838</t>
  </si>
  <si>
    <t xml:space="preserve">DAVID LEONARDO MORENO </t>
  </si>
  <si>
    <t>940-2026</t>
  </si>
  <si>
    <t>david.morenos@habitatbogota.gov.co</t>
  </si>
  <si>
    <t>Subsecretaría Jurídica</t>
  </si>
  <si>
    <t>FVK55H</t>
  </si>
  <si>
    <t xml:space="preserve">YINNA ALEJANDRA CALDERÓN RODRÍGUEZ </t>
  </si>
  <si>
    <t>793-2026</t>
  </si>
  <si>
    <t>yinna.calderon@habitatbogota.gov.co</t>
  </si>
  <si>
    <t>LNQ539</t>
  </si>
  <si>
    <t>BRAHAM STUART HERNANDEZ GONZALEZ</t>
  </si>
  <si>
    <t>490-2026</t>
  </si>
  <si>
    <t>bhernandezg3@gmail.com</t>
  </si>
  <si>
    <t>QLT32G</t>
  </si>
  <si>
    <t>DIEGO FELIPE LÓPEZ RODRÍGUEZ</t>
  </si>
  <si>
    <t>275-2026</t>
  </si>
  <si>
    <t>diego.lopez@habitatbogota.gov.co</t>
  </si>
  <si>
    <t>MAZDA 3</t>
  </si>
  <si>
    <t>PCV468</t>
  </si>
  <si>
    <t>BLANCO PERLADO</t>
  </si>
  <si>
    <t>CARLOS FELIPE GARCÍA GIL</t>
  </si>
  <si>
    <t>846-2026</t>
  </si>
  <si>
    <t>carlos.garciag@habitatbogota.gov.co</t>
  </si>
  <si>
    <t>RKN115</t>
  </si>
  <si>
    <t>HARLEY FERNEY FERNÁNDEZ ALVARADO</t>
  </si>
  <si>
    <t>271-2026</t>
  </si>
  <si>
    <t>harley.fernandez@habitatbogota.gov.co</t>
  </si>
  <si>
    <t>NAF95H</t>
  </si>
  <si>
    <t>LAURA ROJAS</t>
  </si>
  <si>
    <t>laura.rojasc@habitatbogota.gov.co</t>
  </si>
  <si>
    <t>KMY552</t>
  </si>
  <si>
    <t>JHON ALVARO PEREZ CRUZ</t>
  </si>
  <si>
    <t>472-2026</t>
  </si>
  <si>
    <t>jhon.perez@habitatbogota.gov.co</t>
  </si>
  <si>
    <t>SUBARU</t>
  </si>
  <si>
    <t>NSU353</t>
  </si>
  <si>
    <t>LAURA VALENTINA ALIPIO PEDREROS</t>
  </si>
  <si>
    <t>848-2026</t>
  </si>
  <si>
    <t>laura.alipio@habitatbogota.gov.co</t>
  </si>
  <si>
    <t>Dirección de Hábitat y Entorno</t>
  </si>
  <si>
    <t>IVU685</t>
  </si>
  <si>
    <t>NEGRO NACARADO</t>
  </si>
  <si>
    <t xml:space="preserve">DIANA CAROLINA LOSADA RAMÍREZ </t>
  </si>
  <si>
    <t>956-2026</t>
  </si>
  <si>
    <t>diana.losada@habitatbogota.gov.co</t>
  </si>
  <si>
    <t>WRI85H</t>
  </si>
  <si>
    <t xml:space="preserve">NEGRO BLANCO ROJO </t>
  </si>
  <si>
    <t>PABLO ALEJANDRO FERRER MOLINA</t>
  </si>
  <si>
    <t>386-2026</t>
  </si>
  <si>
    <t>pablo.ferrer@habitatbogota.gov.co</t>
  </si>
  <si>
    <t>PZT247</t>
  </si>
  <si>
    <t>VICTORIA CUNNINGHAM</t>
  </si>
  <si>
    <t>637-2026</t>
  </si>
  <si>
    <t>victoria.cunningham@habitatbogota.gov.co</t>
  </si>
  <si>
    <t>CZY815</t>
  </si>
  <si>
    <t>SEBASTIAN SAAD GIOVANNETTI</t>
  </si>
  <si>
    <t>246-2026</t>
  </si>
  <si>
    <t>sebastian.saad@habitatbogota.gov.co</t>
  </si>
  <si>
    <t>NCL288</t>
  </si>
  <si>
    <t xml:space="preserve">YANERY OSORIO CORTES </t>
  </si>
  <si>
    <t>403-2026</t>
  </si>
  <si>
    <t>yanery.osorio@habitatbogota.gov.co</t>
  </si>
  <si>
    <t>RENUOL</t>
  </si>
  <si>
    <t>EFL237</t>
  </si>
  <si>
    <t>ANGELICA MARCELA LOPEZ CUBILLOS</t>
  </si>
  <si>
    <t>473-2026</t>
  </si>
  <si>
    <t>angelica.lopez@habitatbogota.gov.co</t>
  </si>
  <si>
    <t>BRONCO</t>
  </si>
  <si>
    <t>JVT888</t>
  </si>
  <si>
    <t xml:space="preserve">JORGE ARMANDO MOJICA RODRÍGUEZ </t>
  </si>
  <si>
    <t>jorge.mojica@habitatbogota.gov.co</t>
  </si>
  <si>
    <t xml:space="preserve">WOLKSVAGEN </t>
  </si>
  <si>
    <t>LLR904</t>
  </si>
  <si>
    <t>CRISTIAN CAMILO PEÑA TABARQUINO</t>
  </si>
  <si>
    <t>300-2026</t>
  </si>
  <si>
    <t>cristian.pena@habitatbogota.gov.co</t>
  </si>
  <si>
    <t>ZXS854</t>
  </si>
  <si>
    <t>ALVARO BARRETO LUGO</t>
  </si>
  <si>
    <t>719-2026</t>
  </si>
  <si>
    <t>alvaro.barreto@habitatbogota.gov.co</t>
  </si>
  <si>
    <t>UCT114</t>
  </si>
  <si>
    <t>GRIS TECHNO</t>
  </si>
  <si>
    <t>JUAN DAVID GUZMAN RIVERA</t>
  </si>
  <si>
    <t>289-2026</t>
  </si>
  <si>
    <t>juan.guzman@habitatbogota.gov.co</t>
  </si>
  <si>
    <t>RENAULT - SANDERO</t>
  </si>
  <si>
    <t>HWM047</t>
  </si>
  <si>
    <t>DIANAN COVALEDA SALAS</t>
  </si>
  <si>
    <t>349-2026</t>
  </si>
  <si>
    <t>diana.covaleda@habitatbogotagov.co</t>
  </si>
  <si>
    <t>GPX812</t>
  </si>
  <si>
    <t>TUGSTENO</t>
  </si>
  <si>
    <t xml:space="preserve">MAIA GARCIA CARDOSO </t>
  </si>
  <si>
    <t>875-2026</t>
  </si>
  <si>
    <t>maia.garcia@habitatbogota.gov.co</t>
  </si>
  <si>
    <t>RGN450</t>
  </si>
  <si>
    <t>NATALIA FRANCO</t>
  </si>
  <si>
    <t>285-2026</t>
  </si>
  <si>
    <t>natalia.franco@habitatbogota.gov.co</t>
  </si>
  <si>
    <t>CHERY TIGO</t>
  </si>
  <si>
    <t>PCN272</t>
  </si>
  <si>
    <t>ANDRES TRUJILLO MAZA</t>
  </si>
  <si>
    <t>149-2026</t>
  </si>
  <si>
    <t>andres.trujillo@habitatbogota.gov.co</t>
  </si>
  <si>
    <t>HVU392</t>
  </si>
  <si>
    <t>DIEGO FERNANDO MATEUS RUEDA</t>
  </si>
  <si>
    <t>73-2026</t>
  </si>
  <si>
    <t>diego.mateus@habitatbogota.gov.co</t>
  </si>
  <si>
    <t>FYO593</t>
  </si>
  <si>
    <t>DANIEL OSWALDO GUERRERO OTERP</t>
  </si>
  <si>
    <t>417-2026</t>
  </si>
  <si>
    <t>daniel.guerrero@habitatbogota.gov.cp</t>
  </si>
  <si>
    <t>NUS236</t>
  </si>
  <si>
    <t>DUBAN ESNEIDER ROBERTO PINEDA</t>
  </si>
  <si>
    <t>76-2026</t>
  </si>
  <si>
    <t>duban.roberto@habitatbogota.gov.co</t>
  </si>
  <si>
    <t>LUM74G</t>
  </si>
  <si>
    <t>ANGELICA PAOLA LUNA TORRES</t>
  </si>
  <si>
    <t>813-2026</t>
  </si>
  <si>
    <t>angelica.luna@habitatbogota.gov.co</t>
  </si>
  <si>
    <t>DODGE</t>
  </si>
  <si>
    <t>ZXY753</t>
  </si>
  <si>
    <t>JULIÁN EDUARDO GUZMÁN LEÓN</t>
  </si>
  <si>
    <t>90-2026</t>
  </si>
  <si>
    <t>julian.guzman@habitatbogota.gov.co</t>
  </si>
  <si>
    <t>AUDI Q3</t>
  </si>
  <si>
    <t>JXV942</t>
  </si>
  <si>
    <t xml:space="preserve">JOHNN FREDDY VARGAS BRICEÑO </t>
  </si>
  <si>
    <t>johnn.vargas@habitatbogota.gov.co</t>
  </si>
  <si>
    <t>RENAULT  LOGAN</t>
  </si>
  <si>
    <t>JUW580</t>
  </si>
  <si>
    <t>GRIS ESTRELLA</t>
  </si>
  <si>
    <t>ERIKA JULIEHT SÁNCHEZ TRIVIÑO</t>
  </si>
  <si>
    <t>781-2026</t>
  </si>
  <si>
    <t>erika.sanchez@habitatbogota.gov.co</t>
  </si>
  <si>
    <t>BTD47G</t>
  </si>
  <si>
    <t>ANDRÉS FELIPE MONROY GUALTERO</t>
  </si>
  <si>
    <t>812-2026</t>
  </si>
  <si>
    <t>andres.monroy@habitatbogota.gov.co</t>
  </si>
  <si>
    <t xml:space="preserve">SUSUKI </t>
  </si>
  <si>
    <t>IBM82G</t>
  </si>
  <si>
    <t xml:space="preserve">ANA JUDITH ABREU MURCIA </t>
  </si>
  <si>
    <t>95-2026</t>
  </si>
  <si>
    <t>ana.abreu@habitatbogota.gov.co</t>
  </si>
  <si>
    <t xml:space="preserve">RENAULT LOGAN </t>
  </si>
  <si>
    <t>LNL250</t>
  </si>
  <si>
    <t>NELSON EDUARDO MUÑOZ SUTA</t>
  </si>
  <si>
    <t>836-2026</t>
  </si>
  <si>
    <t>nelson.munoz@habitatbogota.gov.co</t>
  </si>
  <si>
    <t xml:space="preserve">ROCA NEVADA </t>
  </si>
  <si>
    <t xml:space="preserve">ROJO/NEGRO </t>
  </si>
  <si>
    <t>HAROL SANTIAGO NUÑEZ PEÑA</t>
  </si>
  <si>
    <t>439-2026</t>
  </si>
  <si>
    <t>harol.nunez@habitatbogota.gov.co</t>
  </si>
  <si>
    <t>CHEVROLET SPARK</t>
  </si>
  <si>
    <t>FNY049</t>
  </si>
  <si>
    <t>JAVIER DE JESUS DELGADO CARCAMO</t>
  </si>
  <si>
    <t>665-2026</t>
  </si>
  <si>
    <t>javier.delgado@habitatbogota.gov.co</t>
  </si>
  <si>
    <t>VICTORY</t>
  </si>
  <si>
    <t>KXE25G</t>
  </si>
  <si>
    <t>GENNA PAMELA MARTINEZ GUANA</t>
  </si>
  <si>
    <t>267-2026</t>
  </si>
  <si>
    <t>genna.martinez@habitatbogota.gov.co</t>
  </si>
  <si>
    <t>CHANGAN</t>
  </si>
  <si>
    <t>PAX983</t>
  </si>
  <si>
    <t>CLAUDIA GÓMEZ MORALES</t>
  </si>
  <si>
    <t>claudia.gomez@habitatbogota.gov.co</t>
  </si>
  <si>
    <t>GCQ531</t>
  </si>
  <si>
    <t>GRIS PERLA</t>
  </si>
  <si>
    <t>MONICA MENDEZ SALAZAR</t>
  </si>
  <si>
    <t>266-2026</t>
  </si>
  <si>
    <t>monica.mendez@habitatbogota.gov.co</t>
  </si>
  <si>
    <t>NINEBOT</t>
  </si>
  <si>
    <t xml:space="preserve">WILVER VELASQUEZ RIVERA </t>
  </si>
  <si>
    <t>563-2026</t>
  </si>
  <si>
    <t>wsvelasquez9@gmail.com</t>
  </si>
  <si>
    <t>QVH56C</t>
  </si>
  <si>
    <t>NANCY AMPARO BELTRAN MERA</t>
  </si>
  <si>
    <t>nancy.beltran@habitatbogota.gov.co</t>
  </si>
  <si>
    <t>FPV215</t>
  </si>
  <si>
    <t>MAGNOLIA CAMARGO</t>
  </si>
  <si>
    <t>624-2026</t>
  </si>
  <si>
    <t>magnolia.camargo@habitatbogota.gov.co</t>
  </si>
  <si>
    <t>IJL691</t>
  </si>
  <si>
    <t>LUIS ALBERTO RODRÍGUEZ PUERTO</t>
  </si>
  <si>
    <t>786-2026</t>
  </si>
  <si>
    <t>luis.rodriguez@habitatbogota.gov.co</t>
  </si>
  <si>
    <t>CHEVROLET JOY</t>
  </si>
  <si>
    <t>KOV035</t>
  </si>
  <si>
    <t>GRIS SATIN</t>
  </si>
  <si>
    <t>DIANA VANESSA ACOSTA RAMOS</t>
  </si>
  <si>
    <t>753-2026</t>
  </si>
  <si>
    <t>diana.acostar@habitatbogota.gov.co</t>
  </si>
  <si>
    <t>FQP716</t>
  </si>
  <si>
    <t>ALEJANDRA LONDOÑO REYES</t>
  </si>
  <si>
    <t>747-2026</t>
  </si>
  <si>
    <t>alondono@habitatbogota.gov.co</t>
  </si>
  <si>
    <t>CHEVROLET CAPTIVA</t>
  </si>
  <si>
    <t>RKP236</t>
  </si>
  <si>
    <t>EDWIN HARLEY REYES MORENO</t>
  </si>
  <si>
    <t>878-2026</t>
  </si>
  <si>
    <t>edwin.reyesm@habitatbogota.gov.co</t>
  </si>
  <si>
    <t>JWY962</t>
  </si>
  <si>
    <t>AZUL COBALTO</t>
  </si>
  <si>
    <t>CARLOS NICOLAS BRIJALD MICHAELS</t>
  </si>
  <si>
    <t>776-2026</t>
  </si>
  <si>
    <t>carlos.brijaldo@habitatbogota.gov.co</t>
  </si>
  <si>
    <t>IWP358</t>
  </si>
  <si>
    <t>LUIS FERNANDO HOLGUIN SUAREZ</t>
  </si>
  <si>
    <t>173-2026</t>
  </si>
  <si>
    <t>luis.holguin@habitatbogota.gov.co</t>
  </si>
  <si>
    <t>CUPRA</t>
  </si>
  <si>
    <t>PDX410</t>
  </si>
  <si>
    <t>GRIS NOCHE</t>
  </si>
  <si>
    <t>CHARLES ALFONSO LOPEZ CASTRO</t>
  </si>
  <si>
    <t>900-2026</t>
  </si>
  <si>
    <t>charles.lopez@habitatbogota.gov.co</t>
  </si>
  <si>
    <t>HIUNDAY</t>
  </si>
  <si>
    <t>PZS643</t>
  </si>
  <si>
    <t>JUAN ANDRES GONZALEZ MENDOZA</t>
  </si>
  <si>
    <t>31-2026</t>
  </si>
  <si>
    <t>juan.gonzalezm@habitatbogota.gov.co</t>
  </si>
  <si>
    <t>JLX436</t>
  </si>
  <si>
    <t>ANDRES FERNEY ARROYO HERRERA</t>
  </si>
  <si>
    <t>604-2026</t>
  </si>
  <si>
    <t>andres.arroyo@habitatbogota.gov.co</t>
  </si>
  <si>
    <t>Dirección de Información de Políticas Públicas</t>
  </si>
  <si>
    <t>KTM</t>
  </si>
  <si>
    <t>VEK73F</t>
  </si>
  <si>
    <t>NARANJA Y NEGRO</t>
  </si>
  <si>
    <t>FERNANDO PARRA QUIRÓS</t>
  </si>
  <si>
    <t>354-2026</t>
  </si>
  <si>
    <t>NLZ576</t>
  </si>
  <si>
    <t>JOSE FERNANDO SANCHEZ BORDA</t>
  </si>
  <si>
    <t>959-2026</t>
  </si>
  <si>
    <t>jose.sanchez@habitatbogota.gov.co</t>
  </si>
  <si>
    <t>POT373</t>
  </si>
  <si>
    <t>AZUL IRON</t>
  </si>
  <si>
    <t>GUILLERMO ROJAS</t>
  </si>
  <si>
    <t>guillors@hotmail.com</t>
  </si>
  <si>
    <t xml:space="preserve">CHERY VAN </t>
  </si>
  <si>
    <t>URT559</t>
  </si>
  <si>
    <t>ROJO IMPERIAL</t>
  </si>
  <si>
    <t>INDIRA BELIZA GOENAGA ARIZA</t>
  </si>
  <si>
    <t>67-2026</t>
  </si>
  <si>
    <t>indira.goenaga@habitabogota.gov.co</t>
  </si>
  <si>
    <t>KWO992</t>
  </si>
  <si>
    <t>CAROLINA CASTAÑEDA DE AVILA</t>
  </si>
  <si>
    <t>carolina.castaneda@habitatbogota.gov.co</t>
  </si>
  <si>
    <t>WOLSKWAGEN</t>
  </si>
  <si>
    <t>LOZ836</t>
  </si>
  <si>
    <t>RITA INÉS CALLE JARAMILLO</t>
  </si>
  <si>
    <t>125-2026</t>
  </si>
  <si>
    <t>rita.calle@habitatbogota.gov.co</t>
  </si>
  <si>
    <t>ELS298</t>
  </si>
  <si>
    <t xml:space="preserve">PLATA </t>
  </si>
  <si>
    <t>LUIS FELIPE CARMONA MORENO</t>
  </si>
  <si>
    <t>884-2026</t>
  </si>
  <si>
    <t>luis.carmona@habitatbogota.gov.co</t>
  </si>
  <si>
    <t>RSX87G</t>
  </si>
  <si>
    <t>AZUL MATE</t>
  </si>
  <si>
    <t xml:space="preserve">SANTIAGO LINARES </t>
  </si>
  <si>
    <t>santiago.linares@habitatbogota.gov.co</t>
  </si>
  <si>
    <t>MCZ065</t>
  </si>
  <si>
    <t>LEONARDO GOMEZ ROSAS</t>
  </si>
  <si>
    <t>correspondenciasdht@habitatbogota.gov.co</t>
  </si>
  <si>
    <t>SUZUKI GS125</t>
  </si>
  <si>
    <t>BWG20C</t>
  </si>
  <si>
    <t>BRANDON STEVEN PACHON</t>
  </si>
  <si>
    <t>YAMAHA FZ25 3.0</t>
  </si>
  <si>
    <t>UAQ31H</t>
  </si>
  <si>
    <t>NEGRO GRIS</t>
  </si>
  <si>
    <t>DANIEL SANTIGO GUARNIZO  NEIRA</t>
  </si>
  <si>
    <t>HERO HUNK 160R</t>
  </si>
  <si>
    <t>FXV46H</t>
  </si>
  <si>
    <t>RAUL EDUARDO URIBE GUALDRON</t>
  </si>
  <si>
    <t>CLIFF</t>
  </si>
  <si>
    <t>EXTERNO</t>
  </si>
  <si>
    <t>KARLA IVETTE GÓMEZ HERNÁNDEZ</t>
  </si>
  <si>
    <t>622-2026</t>
  </si>
  <si>
    <t>karla.gomez@habitatbogota.gov.co</t>
  </si>
  <si>
    <t>KWZ493</t>
  </si>
  <si>
    <t>CARLOS MATEO CHAVES LASSO</t>
  </si>
  <si>
    <t xml:space="preserve">AKT NKD 125 </t>
  </si>
  <si>
    <t>ZFD64H</t>
  </si>
  <si>
    <t>CLARA ISABEL ESPINOSA GONZALEZ</t>
  </si>
  <si>
    <t>clara.espinosa@habitatbogota.gov.co</t>
  </si>
  <si>
    <t>JEEP RENEGADE</t>
  </si>
  <si>
    <t>EJU191</t>
  </si>
  <si>
    <t>EFREN EMIGDIO CARDENAS BERMUDEZ</t>
  </si>
  <si>
    <t>efren.cardenas@habitatbogota.gov.co</t>
  </si>
  <si>
    <t>ZYM788</t>
  </si>
  <si>
    <t>CARLOS ANDRES BENAVIDES REYES</t>
  </si>
  <si>
    <t>777-2026</t>
  </si>
  <si>
    <t>carlos.benavidesr@habitatbogota.gov.co</t>
  </si>
  <si>
    <t>MOBULAA</t>
  </si>
  <si>
    <t>NEGRO Y ROJO</t>
  </si>
  <si>
    <t xml:space="preserve">DANIEL ARCILA </t>
  </si>
  <si>
    <t>632-2026</t>
  </si>
  <si>
    <t>daniel.arcila@habitatbogota.gov.co</t>
  </si>
  <si>
    <t>GMZ660</t>
  </si>
  <si>
    <t>VALENTINA GARZON NOGUERA</t>
  </si>
  <si>
    <t>14-2026</t>
  </si>
  <si>
    <t>valentina.garzon@habitatbogota.gov.co</t>
  </si>
  <si>
    <t>JYK889</t>
  </si>
  <si>
    <t>BELLANITH PAULINA VARGAS GARZON</t>
  </si>
  <si>
    <t>767-2026</t>
  </si>
  <si>
    <t>bellanith.vargas@habitatbogota.gov.co</t>
  </si>
  <si>
    <t>NISSAN MARCH</t>
  </si>
  <si>
    <t>IKU268</t>
  </si>
  <si>
    <t>LAURA CAMILA ORDUÑA MONCADA</t>
  </si>
  <si>
    <t>251-2026</t>
  </si>
  <si>
    <t>laura.orduna@habitatbogota.gov.co</t>
  </si>
  <si>
    <t>SUSUKI SCROSS</t>
  </si>
  <si>
    <t>PGR386</t>
  </si>
  <si>
    <t xml:space="preserve">CRISLY CAROLINA RIVAS ORDOÑEZ </t>
  </si>
  <si>
    <t>215-2026</t>
  </si>
  <si>
    <t>crisly.rivas@habitatbogota.gov.co</t>
  </si>
  <si>
    <t>CANNAN</t>
  </si>
  <si>
    <t>MARIA JULIANA CABELLO CERVANTES</t>
  </si>
  <si>
    <t>414-2026</t>
  </si>
  <si>
    <t>maria.cabello@habitatbogota.gov.co</t>
  </si>
  <si>
    <t>UUQ628</t>
  </si>
  <si>
    <t>NESTOR JULIAN RAMIREZ SIERRA</t>
  </si>
  <si>
    <t>168-2026</t>
  </si>
  <si>
    <t>nestor.ramirez@habitatbogota.gov.co</t>
  </si>
  <si>
    <t>KXV319</t>
  </si>
  <si>
    <t>ANGELA JANNETH CASTIBLANCO PIÑEROS</t>
  </si>
  <si>
    <t>295-2026</t>
  </si>
  <si>
    <t>angela.castiblanco@habitatbogota.gov.co</t>
  </si>
  <si>
    <t>PEUGEOT</t>
  </si>
  <si>
    <t>JRL402</t>
  </si>
  <si>
    <t>LAURA VALENTINA CAMPOS MONROY</t>
  </si>
  <si>
    <t>396-2026</t>
  </si>
  <si>
    <t>laura.campos@habitatbogota.gov.co</t>
  </si>
  <si>
    <t>Oficina de Participación y Relacionamiento con la Ciudadanía</t>
  </si>
  <si>
    <t>FORD FIESTA</t>
  </si>
  <si>
    <t>MCV622</t>
  </si>
  <si>
    <t>ANGIE DAYANNA GUILLEN AVILA</t>
  </si>
  <si>
    <t>358-2026</t>
  </si>
  <si>
    <t>angie.guillen@habitatbogota.gov.co</t>
  </si>
  <si>
    <t>GPQ549</t>
  </si>
  <si>
    <t>ANA ZULEIMA BARRERO RODRIGUEZ</t>
  </si>
  <si>
    <t>525-2026</t>
  </si>
  <si>
    <t>ana.barrero@habitatbogota.gov.co</t>
  </si>
  <si>
    <t>CITROEN</t>
  </si>
  <si>
    <t>EBO249</t>
  </si>
  <si>
    <t>XIMENA ANDREA GARZÓN BAHAMÓN</t>
  </si>
  <si>
    <t>925-2026</t>
  </si>
  <si>
    <t>ximena.garzon@habitatbogota.gov.co</t>
  </si>
  <si>
    <t>Oficina Asesora de Comunicaciones</t>
  </si>
  <si>
    <t>FOS164</t>
  </si>
  <si>
    <t>LEIDY MILENA MONTAÑA GUTIERREZ</t>
  </si>
  <si>
    <t>239-2026</t>
  </si>
  <si>
    <t>leidy.montana@habitatbogota.gov.co</t>
  </si>
  <si>
    <t>FNR778</t>
  </si>
  <si>
    <t>ROJO DIAMANTE</t>
  </si>
  <si>
    <t xml:space="preserve">JULIAN ALEXANDER ZAMBRANO DIAZ </t>
  </si>
  <si>
    <t>804-2026</t>
  </si>
  <si>
    <t>julianzambranodiaz@gmail.com</t>
  </si>
  <si>
    <t>DHC86H</t>
  </si>
  <si>
    <t xml:space="preserve">ANGELICA QUIÑONES CARRILLO </t>
  </si>
  <si>
    <t>160-2026</t>
  </si>
  <si>
    <t>angelica.quinones@habitatbogota.gov.co</t>
  </si>
  <si>
    <t>MOTORETTAS</t>
  </si>
  <si>
    <t>JOSE MAURICIO ILLERA REYES</t>
  </si>
  <si>
    <t>jose.illera@habitatbogota.gov.co</t>
  </si>
  <si>
    <t>RHN498</t>
  </si>
  <si>
    <t>JUAN PABLO ESCOBAR ROA</t>
  </si>
  <si>
    <t>982-2026</t>
  </si>
  <si>
    <t>juan.escobar@habitatbogota.gov.co</t>
  </si>
  <si>
    <t>BYD SEAGULL</t>
  </si>
  <si>
    <t>PCM354</t>
  </si>
  <si>
    <t>ROSA CAROLINA CORAL QUIROZ</t>
  </si>
  <si>
    <t>887-2026</t>
  </si>
  <si>
    <t>rosa.coral@habitatbogota.gov.co</t>
  </si>
  <si>
    <t>NDR248</t>
  </si>
  <si>
    <t>JULIO CESAR RAMIREZ LEON</t>
  </si>
  <si>
    <t>julio.ramirez@habitatbogota.gov.co</t>
  </si>
  <si>
    <t>DBN175</t>
  </si>
  <si>
    <t>EVELIN PEÑA TOMANN</t>
  </si>
  <si>
    <t>482-2026</t>
  </si>
  <si>
    <t>evelin.pena@habitatbogota.gov.co</t>
  </si>
  <si>
    <t>CIRCULA VERDE</t>
  </si>
  <si>
    <t>ROSADO CON BLANCO</t>
  </si>
  <si>
    <t>DANIEL DELGADO BRAVO</t>
  </si>
  <si>
    <t>440-2026</t>
  </si>
  <si>
    <t>daniel.delgado@habitatbogota.gov.co</t>
  </si>
  <si>
    <t>GZJ15G</t>
  </si>
  <si>
    <t>SANTIAGO VELANDIA DAZA</t>
  </si>
  <si>
    <t>883-2026</t>
  </si>
  <si>
    <t>santiago.velandia@habitatbogota.gov.co</t>
  </si>
  <si>
    <t>Dirección de Servicios Públicos</t>
  </si>
  <si>
    <t>HVV023</t>
  </si>
  <si>
    <t>WILLIAM AVILA</t>
  </si>
  <si>
    <t>678-2026</t>
  </si>
  <si>
    <t>william.avila@gmail.com</t>
  </si>
  <si>
    <t>PGR369</t>
  </si>
  <si>
    <t xml:space="preserve">LIZETH KATHERINE BERMÚDEZ GÓMEZ </t>
  </si>
  <si>
    <t>764-2026</t>
  </si>
  <si>
    <t>lizeth.bermudez@habitatbogota.gov.co</t>
  </si>
  <si>
    <t>UCW304</t>
  </si>
  <si>
    <t>NATALIA MONTOYA POLANCO</t>
  </si>
  <si>
    <t>568-2026</t>
  </si>
  <si>
    <t>natalia.montoya@habitatbogota.gov.co</t>
  </si>
  <si>
    <t>CITROËN</t>
  </si>
  <si>
    <t>NNU114</t>
  </si>
  <si>
    <t>BLANCO TECHO NEGRO</t>
  </si>
  <si>
    <t xml:space="preserve">NICOLAS JAIRO ALVAREZ GONZALEZ </t>
  </si>
  <si>
    <t>653-2026</t>
  </si>
  <si>
    <t>nicolas.alvarez@habitatbogota.gov.co</t>
  </si>
  <si>
    <t>KOV728</t>
  </si>
  <si>
    <t>JUAN PABLO RUBIO SGUERRA</t>
  </si>
  <si>
    <t>768-2026</t>
  </si>
  <si>
    <t>juan.rubio@habitatbogota.gov.co</t>
  </si>
  <si>
    <t>IXN649</t>
  </si>
  <si>
    <t>SEBASTIAN BERNAL RIAÑO</t>
  </si>
  <si>
    <t>807-2026</t>
  </si>
  <si>
    <t>sebastian.bernal@habitatbogota.gov.co</t>
  </si>
  <si>
    <t>BAJAJ</t>
  </si>
  <si>
    <t>BFW48H</t>
  </si>
  <si>
    <t>AZUL AZALEA</t>
  </si>
  <si>
    <t>DAVID RECIO BARRENECHE</t>
  </si>
  <si>
    <t>283-2026</t>
  </si>
  <si>
    <t>david.recio@habitatbogota.gov.co</t>
  </si>
  <si>
    <t>HJZ984</t>
  </si>
  <si>
    <t>MAGDA YOLIMA PEÑA CARREÑO</t>
  </si>
  <si>
    <t>851-2026</t>
  </si>
  <si>
    <t>magda.pena@habitatbogota.gov.co</t>
  </si>
  <si>
    <t>IRP136</t>
  </si>
  <si>
    <t xml:space="preserve">MARCO FIDEL GÓMEZ CORREDOR </t>
  </si>
  <si>
    <t>918-2026</t>
  </si>
  <si>
    <t>marco.gomez@habitatbogota.gov.co</t>
  </si>
  <si>
    <t xml:space="preserve">MERCEDES </t>
  </si>
  <si>
    <t>EBR912</t>
  </si>
  <si>
    <t>YADY ALEXANDRA GUEVARA BRICEÑO</t>
  </si>
  <si>
    <t>857-2026</t>
  </si>
  <si>
    <t>yady.guevara@habitatbogota.gov.co</t>
  </si>
  <si>
    <t>PEGOUT 2008</t>
  </si>
  <si>
    <t>JUR582</t>
  </si>
  <si>
    <t xml:space="preserve">FREDY DARIO CRUZ GARCÍA </t>
  </si>
  <si>
    <t>fredy.cruz@habitatbogota.gov.co</t>
  </si>
  <si>
    <t xml:space="preserve">HYUNDAI </t>
  </si>
  <si>
    <t>BJN042</t>
  </si>
  <si>
    <t xml:space="preserve">ORO AZÚCAR </t>
  </si>
  <si>
    <t>LUIS EFREN CORTES BELTRAN</t>
  </si>
  <si>
    <t>luis.cortes@habitatbogota.gov.co</t>
  </si>
  <si>
    <t>REO339</t>
  </si>
  <si>
    <t>JESÚS MAURICIO SÁNCHEZ SÁNCHEZ</t>
  </si>
  <si>
    <t>jesus.sanchez@habitatbogota.gov.co</t>
  </si>
  <si>
    <t>ROYAL ENFIELD</t>
  </si>
  <si>
    <t>GCD58H</t>
  </si>
  <si>
    <t>AMARILLO</t>
  </si>
  <si>
    <t>JESUS MAURICIO SANCHEZ SANCHEZ</t>
  </si>
  <si>
    <t>EFN811</t>
  </si>
  <si>
    <t xml:space="preserve">LUIS HORACIO URQUIJO ADÁRRAGA </t>
  </si>
  <si>
    <t>676-2026</t>
  </si>
  <si>
    <t>luis.urquijoa@habitatbogota.gov.co</t>
  </si>
  <si>
    <t>MINCA</t>
  </si>
  <si>
    <t xml:space="preserve">MICHAEL STIVEN BAUTISTA SALAZAR </t>
  </si>
  <si>
    <t>911-2026</t>
  </si>
  <si>
    <t>michael.bautista@habitatbogota.gov.co</t>
  </si>
  <si>
    <t>VOLKSWAGEN JETTA</t>
  </si>
  <si>
    <t>BTX400</t>
  </si>
  <si>
    <t xml:space="preserve">JOSE ALEJANDRO CUERVO RODRÍGUEZ </t>
  </si>
  <si>
    <t>578-2026</t>
  </si>
  <si>
    <t>jose.cuervo@habitatbogota.gov.co</t>
  </si>
  <si>
    <t>PXT458</t>
  </si>
  <si>
    <t xml:space="preserve">CIAN OSCURO MALAQUITA </t>
  </si>
  <si>
    <t>GW K2</t>
  </si>
  <si>
    <t>NEGRO AZUL</t>
  </si>
  <si>
    <t>NICOLÁS DAVID CASTILLO GONZÁLEZ</t>
  </si>
  <si>
    <t>nicolas.castillo@habitatbogota.gov.co</t>
  </si>
  <si>
    <t>OPEL</t>
  </si>
  <si>
    <t>JYL341</t>
  </si>
  <si>
    <t>ELIZABETH MOZO CRUZ</t>
  </si>
  <si>
    <t>elizabeth.mozo@aspsols.com</t>
  </si>
  <si>
    <t>UWK57D</t>
  </si>
  <si>
    <t>XIAOMI</t>
  </si>
  <si>
    <t xml:space="preserve">ANA AMELIA AVILA PALACIOS </t>
  </si>
  <si>
    <t>569-2026</t>
  </si>
  <si>
    <t>ana.avila@habitatbogota.gov.co</t>
  </si>
  <si>
    <t>HKM570</t>
  </si>
  <si>
    <t>ANDRES FELIPE VILLAMIL CASTRO</t>
  </si>
  <si>
    <t>1311-2026</t>
  </si>
  <si>
    <t>andres.villamilc@habotatbogota.gov.co</t>
  </si>
  <si>
    <t>NIW853</t>
  </si>
  <si>
    <t>JEISSON FABIÁN PÉREZ RODRIGUEZ</t>
  </si>
  <si>
    <t>787-2026</t>
  </si>
  <si>
    <t>jeisson.perez@habitatbogota.gov.co</t>
  </si>
  <si>
    <t>JWT919</t>
  </si>
  <si>
    <t>CIA56F</t>
  </si>
  <si>
    <t>andres.villamilc@habitatbogota.gov.co</t>
  </si>
  <si>
    <t>MIGO</t>
  </si>
  <si>
    <t>MANUEL ORLANDO PEÑA USCATEGUI</t>
  </si>
  <si>
    <t>584-2026</t>
  </si>
  <si>
    <t>manuel.pena@habitatbogota.gov.co</t>
  </si>
  <si>
    <t>GLX335</t>
  </si>
  <si>
    <t>XCG92G</t>
  </si>
  <si>
    <t>SERGIO ANDRES RODRIGUEZ ACHURY</t>
  </si>
  <si>
    <t>529-2026</t>
  </si>
  <si>
    <t>sergio.rodriguez@habitatbogota.gov.co</t>
  </si>
  <si>
    <t>VSETT</t>
  </si>
  <si>
    <t>MAURICIO HERRERA BERMÚDEZ</t>
  </si>
  <si>
    <t>540-2026</t>
  </si>
  <si>
    <t>mauricio.herrera@habitatbogota.gov.co</t>
  </si>
  <si>
    <t>STEPWAY</t>
  </si>
  <si>
    <t>REP460</t>
  </si>
  <si>
    <t>EGOU</t>
  </si>
  <si>
    <t>NO</t>
  </si>
  <si>
    <t xml:space="preserve">WILSON ENRIQUE TOVAR SARMIENTO </t>
  </si>
  <si>
    <t>692-2026</t>
  </si>
  <si>
    <t>wilson.tovar@habitatbogota.gov.co</t>
  </si>
  <si>
    <t>LNQ833</t>
  </si>
  <si>
    <t>RAFAEL LEIBER MALAGON AGUDELO</t>
  </si>
  <si>
    <t>802-2026</t>
  </si>
  <si>
    <t>rafael.malagon@habitatbogota.gov</t>
  </si>
  <si>
    <t>GJW626</t>
  </si>
  <si>
    <t>JAZMÍN OROZCO RODRÍGUEZ</t>
  </si>
  <si>
    <t>jazmin.orozco@habitatbogota.gov.co</t>
  </si>
  <si>
    <t>MINI COOPER</t>
  </si>
  <si>
    <t>EFL417</t>
  </si>
  <si>
    <t>GRIS RATÓN</t>
  </si>
  <si>
    <t>PEDRO PABLO PEÑA CASTIBLANCO</t>
  </si>
  <si>
    <t>pedro.pena@habitatbogota.gov.co</t>
  </si>
  <si>
    <t>FPP374</t>
  </si>
  <si>
    <t>LAURA MARINA GALEANO CASTILLO</t>
  </si>
  <si>
    <t>laura.galeano@habitatbogota.gov.co</t>
  </si>
  <si>
    <t>MVR40E</t>
  </si>
  <si>
    <t>LLS761</t>
  </si>
  <si>
    <t>ALONSO MARIN CARDONA</t>
  </si>
  <si>
    <t>alonso.marin@habitatbogota.gov.co</t>
  </si>
  <si>
    <t>DCC898</t>
  </si>
  <si>
    <t>VINO TINTO</t>
  </si>
  <si>
    <t>LQD87C</t>
  </si>
  <si>
    <t>MANUEL DAVID AREVALO HIGARRERO</t>
  </si>
  <si>
    <t>806-2026</t>
  </si>
  <si>
    <t>manuel.arevalo@habitatbogota.gov.co</t>
  </si>
  <si>
    <t>LCK17F</t>
  </si>
  <si>
    <t>AZUL METALIZADO</t>
  </si>
  <si>
    <t>RENAULT LOGAN</t>
  </si>
  <si>
    <t>HFO454</t>
  </si>
  <si>
    <t>WILLIAM HERNANDO ROMERO CASTRO</t>
  </si>
  <si>
    <t>7-2026</t>
  </si>
  <si>
    <t>william.romero@habitatbogota.gov.co</t>
  </si>
  <si>
    <t>PET56F</t>
  </si>
  <si>
    <t>EDWIN ROBERTO AMADO NIÑO</t>
  </si>
  <si>
    <t>625-2026</t>
  </si>
  <si>
    <t>edwin.amado@habitatbogota.gov.co</t>
  </si>
  <si>
    <t>BTI086</t>
  </si>
  <si>
    <t>GRIS BRETAÑA</t>
  </si>
  <si>
    <t>LAURA YADIRA ACEVEDO LOPEZ</t>
  </si>
  <si>
    <t>68-2026</t>
  </si>
  <si>
    <t>laura.acevedo@habitatbogota.gov.co</t>
  </si>
  <si>
    <t>DUSTER</t>
  </si>
  <si>
    <t>JOU639</t>
  </si>
  <si>
    <t>CAMILO IBARRA CUBILLOS</t>
  </si>
  <si>
    <t>190-2026</t>
  </si>
  <si>
    <t>camilo.cubillos@habitatbogota.gov.co</t>
  </si>
  <si>
    <t>Dirección Financiera</t>
  </si>
  <si>
    <t>NISSAN QASHQAI</t>
  </si>
  <si>
    <t>EMM895</t>
  </si>
  <si>
    <t>ROJO PERLADO</t>
  </si>
  <si>
    <t xml:space="preserve">CAMILO IBARRA CUBILLOS </t>
  </si>
  <si>
    <t>BENELLI TNT 150I</t>
  </si>
  <si>
    <t>YGT93F</t>
  </si>
  <si>
    <t xml:space="preserve">JORGE IVÁN GARZÓN PINZÓN </t>
  </si>
  <si>
    <t>709-2026</t>
  </si>
  <si>
    <t>jorge.garzon@habitatbogota.gov.co</t>
  </si>
  <si>
    <t>LTW027</t>
  </si>
  <si>
    <t xml:space="preserve">VICTOR RAÚL NEIRA MORRIS </t>
  </si>
  <si>
    <t>victor.neira@habitatbogota.gov.co</t>
  </si>
  <si>
    <t xml:space="preserve">DISCOVERY </t>
  </si>
  <si>
    <t>UZY09D</t>
  </si>
  <si>
    <t>SUBARU FORESTER</t>
  </si>
  <si>
    <t>LWM604</t>
  </si>
  <si>
    <t xml:space="preserve">JOHN ALEXANDER CARDENAS MANCIPE </t>
  </si>
  <si>
    <t>379-2026</t>
  </si>
  <si>
    <t>john.cardenas@habitatbogota.gov.co</t>
  </si>
  <si>
    <t>HKH77E</t>
  </si>
  <si>
    <t>BUE779</t>
  </si>
  <si>
    <t>HVE88C</t>
  </si>
  <si>
    <t>HERNAN DAVID SANCHEZ ARIAS</t>
  </si>
  <si>
    <t>hernan.sanchez@habitatbogota.gov.co</t>
  </si>
  <si>
    <t>PGQ89H</t>
  </si>
  <si>
    <t>ROJO/NEGRO</t>
  </si>
  <si>
    <t>LOU019</t>
  </si>
  <si>
    <t>daniel.gomezp@habitatbogota.gov.co</t>
  </si>
  <si>
    <t>BAJAJ DOMINAR</t>
  </si>
  <si>
    <t>HIE19G</t>
  </si>
  <si>
    <t>CLAUDIA ELIZABETH BOHORQUEZ HERNANDEZ</t>
  </si>
  <si>
    <t>claudia.bohorquez@habitatbogota.gov.co</t>
  </si>
  <si>
    <t xml:space="preserve">KIA </t>
  </si>
  <si>
    <t>DBH553</t>
  </si>
  <si>
    <t>JOSE DAVID GOMEZ REYES</t>
  </si>
  <si>
    <t>432-2026</t>
  </si>
  <si>
    <t>jose.gomezr@habitatbogota.gov.co</t>
  </si>
  <si>
    <t>KTM DUKE 390</t>
  </si>
  <si>
    <t>IWW58H</t>
  </si>
  <si>
    <t>AZUL/GRIS</t>
  </si>
  <si>
    <t>KIA K3</t>
  </si>
  <si>
    <t>PUL897</t>
  </si>
  <si>
    <t>GRIS/PLATA</t>
  </si>
  <si>
    <t>PHILLIPS ANTONIO SAMPER MELGAREJO</t>
  </si>
  <si>
    <t>338-2026</t>
  </si>
  <si>
    <t>phillips.samper@habitatbogota.gov.co</t>
  </si>
  <si>
    <t>TVS APACHE</t>
  </si>
  <si>
    <t>GMG67E</t>
  </si>
  <si>
    <t>RHZ663</t>
  </si>
  <si>
    <t>JULIAN LIEVANO BERNAL</t>
  </si>
  <si>
    <t>609-2026</t>
  </si>
  <si>
    <t>julianlievano@habitatbogota.gov.co</t>
  </si>
  <si>
    <t>DQN051</t>
  </si>
  <si>
    <t>VX350</t>
  </si>
  <si>
    <t xml:space="preserve">JORGE ANDRES MORALES ROMERO </t>
  </si>
  <si>
    <t>135-2026</t>
  </si>
  <si>
    <t>jorge.morales@habitatbogota.gov.co</t>
  </si>
  <si>
    <t>BCG853</t>
  </si>
  <si>
    <t>JORGE ANDRES MORALES ROMERO</t>
  </si>
  <si>
    <t>XIAOMI PATINETE</t>
  </si>
  <si>
    <t>DANIEL GOMEZ</t>
  </si>
  <si>
    <t xml:space="preserve">CHEVROLET SAIL </t>
  </si>
  <si>
    <t>DNT647</t>
  </si>
  <si>
    <t>OMAR JULIAN SANCHEZ CAICEDO</t>
  </si>
  <si>
    <t>350-2026</t>
  </si>
  <si>
    <t>omar.sanchezc@habitatbogota.gov.co</t>
  </si>
  <si>
    <t>SUZUKI SWIFT HIBRIDO</t>
  </si>
  <si>
    <t>NFX124</t>
  </si>
  <si>
    <t>GOGREEN</t>
  </si>
  <si>
    <t>JENNY MARCELA INFANTE RINCÓN</t>
  </si>
  <si>
    <t>866-2026</t>
  </si>
  <si>
    <t>jenny.infante@habitatbogota.gov.co</t>
  </si>
  <si>
    <t>PZX788</t>
  </si>
  <si>
    <t>JOSE MIGUEL BARRERA GRANADOS</t>
  </si>
  <si>
    <t>127-2026</t>
  </si>
  <si>
    <t>jose.barrera@habitatbogota.gov.co</t>
  </si>
  <si>
    <t>HONDA CRV</t>
  </si>
  <si>
    <t>EJT705</t>
  </si>
  <si>
    <t>JEAN ANGARITA VASQUEZ</t>
  </si>
  <si>
    <t>392-2026</t>
  </si>
  <si>
    <t>jean.angarita@habitatbogota.gov.co</t>
  </si>
  <si>
    <t>MCP475</t>
  </si>
  <si>
    <t>RBH01C</t>
  </si>
  <si>
    <t>NARANJA</t>
  </si>
  <si>
    <t>TREK</t>
  </si>
  <si>
    <t>LOW27C</t>
  </si>
  <si>
    <t xml:space="preserve">EDWIN ROBERTO AMADO NIÑO </t>
  </si>
  <si>
    <t xml:space="preserve">BIANCHI </t>
  </si>
  <si>
    <t>ANA SOFÍA RODRÍGUEZ GONZÁLEZ</t>
  </si>
  <si>
    <t>674-2026</t>
  </si>
  <si>
    <t>sofiarodriguez258@gmail.com</t>
  </si>
  <si>
    <t>BYC674</t>
  </si>
  <si>
    <t>YUDY NATHALIA SÁNCHEZ SALAMANCA</t>
  </si>
  <si>
    <t>929-2026</t>
  </si>
  <si>
    <t>yudy.sanchez@habitatbogota.gov.co</t>
  </si>
  <si>
    <t>ABR967</t>
  </si>
  <si>
    <t>NXQ369</t>
  </si>
  <si>
    <t>MANUEL JAVIER MONCADA GALLÓN</t>
  </si>
  <si>
    <t>moncada.manuel@habitatbogota.gov.co</t>
  </si>
  <si>
    <t>BMW 525i</t>
  </si>
  <si>
    <t>CUP251</t>
  </si>
  <si>
    <t>NEGRA-VERDE</t>
  </si>
  <si>
    <t>CARLOS GABRIEL GUTIERREZ PACHECO</t>
  </si>
  <si>
    <t>carlos.gutierrezp@habitatbogota.gov.co</t>
  </si>
  <si>
    <t>Oficina de Tecnología y Transformación Digital</t>
  </si>
  <si>
    <t>JAC E30X</t>
  </si>
  <si>
    <t>PZP227</t>
  </si>
  <si>
    <t>PBM692</t>
  </si>
  <si>
    <t>RDU359</t>
  </si>
  <si>
    <t xml:space="preserve">OSCAR GIOVANNY ROJAS ROJAS </t>
  </si>
  <si>
    <t>oscar.rojas@habitatbogota.gov.co</t>
  </si>
  <si>
    <t>MHW775</t>
  </si>
  <si>
    <t>CAMILO MORALES MOSQUERA</t>
  </si>
  <si>
    <t>279-2026</t>
  </si>
  <si>
    <t>camilo.morales@habitatbogota.gov.co</t>
  </si>
  <si>
    <t>BMW IX1</t>
  </si>
  <si>
    <t>PHQ308</t>
  </si>
  <si>
    <t>GRIS METALIZADO</t>
  </si>
  <si>
    <t>FREDI YECID MUNAR VERANO</t>
  </si>
  <si>
    <t>610-2026</t>
  </si>
  <si>
    <t>fredi.munar@habitatbogota.gov.co</t>
  </si>
  <si>
    <t>FNS114</t>
  </si>
  <si>
    <t>CAMILO SARMIENTO GARZÓN</t>
  </si>
  <si>
    <t>camilo.sarmiento@habitatbogota.gov.co</t>
  </si>
  <si>
    <t>PYN474</t>
  </si>
  <si>
    <t>IVÁN NARVÁEZ FORERO</t>
  </si>
  <si>
    <t>823-2026</t>
  </si>
  <si>
    <t>infconsultorlegal@gmail.com</t>
  </si>
  <si>
    <t>IMT897</t>
  </si>
  <si>
    <t>DIANA CAROLINA MERCHAN BAQUERO</t>
  </si>
  <si>
    <t>89-2026</t>
  </si>
  <si>
    <t>diana.merchan@habitatbogota.gov.co</t>
  </si>
  <si>
    <t>PDV885</t>
  </si>
  <si>
    <t>JOSÉ BENITO INFANTE QUEVEDO</t>
  </si>
  <si>
    <t>jinfante@contraloriabogota.gov.co</t>
  </si>
  <si>
    <t>Contraloría de Bogotá</t>
  </si>
  <si>
    <t>WOX644</t>
  </si>
  <si>
    <t>RUTH ALBA CIFUENTES PENAGOS</t>
  </si>
  <si>
    <t>ruth290175@gmail.com</t>
  </si>
  <si>
    <t>UT Clean Colombia</t>
  </si>
  <si>
    <t>TVS RAIDER</t>
  </si>
  <si>
    <t>XHI05H</t>
  </si>
  <si>
    <t>ERIKA ALEJANDRA BARRIGA MUÑOZ</t>
  </si>
  <si>
    <t>erikaalejandra1614@gmail.com</t>
  </si>
  <si>
    <t>SUSUKI GIXXER</t>
  </si>
  <si>
    <t>PEM28F</t>
  </si>
  <si>
    <t>OSCAR REYES</t>
  </si>
  <si>
    <t>oreyesn@contraloriabogota.gov.co</t>
  </si>
  <si>
    <t>KMY141</t>
  </si>
  <si>
    <t>NJU676</t>
  </si>
  <si>
    <t>ALEJANDRA NEISSA LANCHEROS</t>
  </si>
  <si>
    <t>128-2026</t>
  </si>
  <si>
    <t>noraya.neissa@habitatbogota.gov.co</t>
  </si>
  <si>
    <t>Subsecretaría Corporativa</t>
  </si>
  <si>
    <t>NISSAN XTRAIL</t>
  </si>
  <si>
    <t>DOY442</t>
  </si>
  <si>
    <t>JUAN ALBERTO RAMÍREZ RAMÍREZ</t>
  </si>
  <si>
    <t>234-2026</t>
  </si>
  <si>
    <t>juan.ramirezra@habitatbogota.gov.co</t>
  </si>
  <si>
    <t>GLM667</t>
  </si>
  <si>
    <t>CARLOS ARTURO VILLALOBOS IZQUIERDO</t>
  </si>
  <si>
    <t>505-2026</t>
  </si>
  <si>
    <t>carlos.villalobos@habitatbogota.gov.co</t>
  </si>
  <si>
    <t>GMO67E</t>
  </si>
  <si>
    <t>VERDE GRIS</t>
  </si>
  <si>
    <t>MARÍA ANTONIA COVALEDA ALZATE</t>
  </si>
  <si>
    <t>39-2026</t>
  </si>
  <si>
    <t>maria.covaleda@habitatbogota.gov.co</t>
  </si>
  <si>
    <t>HFR301</t>
  </si>
  <si>
    <t>ANDREA JULIETH PAVA GOMEZ</t>
  </si>
  <si>
    <t>596-2026</t>
  </si>
  <si>
    <t>andrea.pava@habitatbogota.gov.co</t>
  </si>
  <si>
    <t>GLT039</t>
  </si>
  <si>
    <t>JOSÉ MOISES CETINA TALADICHE</t>
  </si>
  <si>
    <t>194-2026</t>
  </si>
  <si>
    <t>jose.cetina@habitatbogota.gov.co</t>
  </si>
  <si>
    <t>HAS358</t>
  </si>
  <si>
    <t>BUG80C</t>
  </si>
  <si>
    <t>ROJA</t>
  </si>
  <si>
    <t>JUAN PABLO VÁSQUES LINARES</t>
  </si>
  <si>
    <t>960-2026</t>
  </si>
  <si>
    <t>juanpablo.vasques@gmail.com</t>
  </si>
  <si>
    <t>VOG DS300</t>
  </si>
  <si>
    <t>YQN70G</t>
  </si>
  <si>
    <t>ROJO-NEGRO</t>
  </si>
  <si>
    <t>SEBASTIÁN TORRES RODRÍGUEZ</t>
  </si>
  <si>
    <t>920-2026</t>
  </si>
  <si>
    <t>sebastian.torres@habitatbogota.gov.co</t>
  </si>
  <si>
    <t>ULR42H</t>
  </si>
  <si>
    <t>AZUL-BLANCO-NEGRO</t>
  </si>
  <si>
    <t>JESSIKA NICOLE NIÑO GÓMEZ</t>
  </si>
  <si>
    <t>954-2026</t>
  </si>
  <si>
    <t>nicole.nino@habitatbogota.gov.co</t>
  </si>
  <si>
    <t>GIANT</t>
  </si>
  <si>
    <t>AZUL - AMARILLO</t>
  </si>
  <si>
    <t>JUAN MANUEL CAICEDO CARDONA</t>
  </si>
  <si>
    <t>946-2026</t>
  </si>
  <si>
    <t>juan.caicedo@habitatbogota.gov.co</t>
  </si>
  <si>
    <t>APRILIA SR GT 200</t>
  </si>
  <si>
    <t>LCO60F</t>
  </si>
  <si>
    <t>LAURA CATALINA GÓMEZ LINARES </t>
  </si>
  <si>
    <t>591-2026</t>
  </si>
  <si>
    <t>gomezlaura.c98@gmail.com</t>
  </si>
  <si>
    <t>RBL47G</t>
  </si>
  <si>
    <t>VERDE - NEGRO</t>
  </si>
  <si>
    <t>JHON ALEXANDER MELGAREJO CELEITA</t>
  </si>
  <si>
    <t>746-2026</t>
  </si>
  <si>
    <t>jhonmelgarejoc@gmail.com</t>
  </si>
  <si>
    <t>TOYOTA HILUX</t>
  </si>
  <si>
    <t>SRO755</t>
  </si>
  <si>
    <t>FRANCISCO JAVIER RODRÍGUEZ CONTRERAS</t>
  </si>
  <si>
    <t>856-2026</t>
  </si>
  <si>
    <t>francisco.rodriguez@habitatbogota.gov.co</t>
  </si>
  <si>
    <t>RENAULT STEPWAY</t>
  </si>
  <si>
    <t>GLX737</t>
  </si>
  <si>
    <t>JULIET PAOLA MUÑÓZ GÓMEZ</t>
  </si>
  <si>
    <t>pm6979884@gmail.com</t>
  </si>
  <si>
    <t>SIN MARCA</t>
  </si>
  <si>
    <t>VERDE - ROJO</t>
  </si>
  <si>
    <t>DANIEL FABIÁN CASTRO MORA</t>
  </si>
  <si>
    <t>555-2026</t>
  </si>
  <si>
    <t>daniel.castro@habitatbogota.gov.co</t>
  </si>
  <si>
    <t>CREVROLET CRUZE TURBO</t>
  </si>
  <si>
    <t>FYX046</t>
  </si>
  <si>
    <t>JUAN DAVID PULIDO REYES</t>
  </si>
  <si>
    <t>892-2026</t>
  </si>
  <si>
    <t>juan.pulido@habitatbogota.gov.co</t>
  </si>
  <si>
    <t>HERO</t>
  </si>
  <si>
    <t>DJI56G</t>
  </si>
  <si>
    <t>DORADA</t>
  </si>
  <si>
    <t>JENNY PAOLA PALOMA ORTÍZ</t>
  </si>
  <si>
    <t>949-2026</t>
  </si>
  <si>
    <t>jenny.paloma@habitatbogota.gov.co</t>
  </si>
  <si>
    <t>EDK255</t>
  </si>
  <si>
    <t>HONDA CB 125F</t>
  </si>
  <si>
    <t>APS34G</t>
  </si>
  <si>
    <t>DANIEL ROJAS ARAQUE</t>
  </si>
  <si>
    <t>830-2026</t>
  </si>
  <si>
    <t>daniel.rojas@habitatbogota.gov.co</t>
  </si>
  <si>
    <t>AUTECO NKD</t>
  </si>
  <si>
    <t>DFO36I</t>
  </si>
  <si>
    <t>LIZA PAOLA GRUESSO CELY</t>
  </si>
  <si>
    <t>189-2026</t>
  </si>
  <si>
    <t>liza.gruesso@habitatbogota.gov.co</t>
  </si>
  <si>
    <t>MAZDA CX30</t>
  </si>
  <si>
    <t>PBP346</t>
  </si>
  <si>
    <t>MÓNICA ANDREA VELOZA FLAUTERO</t>
  </si>
  <si>
    <t>915-2026</t>
  </si>
  <si>
    <t>monica.veloza@habitatbogota.gov.co</t>
  </si>
  <si>
    <t>MAZDA MATZURI</t>
  </si>
  <si>
    <t>BEF748</t>
  </si>
  <si>
    <t>ROJO CEREZA</t>
  </si>
  <si>
    <t>PULSAR</t>
  </si>
  <si>
    <t>UQR65F</t>
  </si>
  <si>
    <t>LUÍS GONZALO LÓPEZ CAMARGO</t>
  </si>
  <si>
    <t>679-2026</t>
  </si>
  <si>
    <t>luis.lopez@habitatbogota.gov.co</t>
  </si>
  <si>
    <t>DUSTER 4x4</t>
  </si>
  <si>
    <t>WGO530</t>
  </si>
  <si>
    <t>ANDRÉS FELIPE PARRA AVENDAÑO</t>
  </si>
  <si>
    <t>760-2026</t>
  </si>
  <si>
    <t>andres.parra@habitatbogota.gov.co</t>
  </si>
  <si>
    <t>Oficina de Control Interno</t>
  </si>
  <si>
    <t>BAJAJ PULSAR 180 UG GT</t>
  </si>
  <si>
    <t>OMG23A</t>
  </si>
  <si>
    <t>SATUL LUCERO VERA PATIÑO</t>
  </si>
  <si>
    <t>939-2026</t>
  </si>
  <si>
    <t>lucero.vera@habitatbogota.gov.co</t>
  </si>
  <si>
    <t>HYUNDAI i10</t>
  </si>
  <si>
    <t>JWV618</t>
  </si>
  <si>
    <t>JOSÉ DARWIN SALGUINO VÉLEZ</t>
  </si>
  <si>
    <t>471-2026</t>
  </si>
  <si>
    <t>jose.sanguino@habitatbogota.gov.co</t>
  </si>
  <si>
    <t>CHERY ICAR 03</t>
  </si>
  <si>
    <t>PHL713</t>
  </si>
  <si>
    <t>NISSAN FRONTIER</t>
  </si>
  <si>
    <t>MPX503</t>
  </si>
  <si>
    <t>YULLI CATHERÍN CÁRDENAS MALAVER</t>
  </si>
  <si>
    <t>235-2026</t>
  </si>
  <si>
    <t>yulli.cardenas@habitatbogota.gov.co</t>
  </si>
  <si>
    <t>Subsecretaría de Inspección, Vigilancia y 
Control de Vivienda</t>
  </si>
  <si>
    <t>MAZDA CX50</t>
  </si>
  <si>
    <t>PBS642</t>
  </si>
  <si>
    <t>ZIRCÓN ARENA</t>
  </si>
  <si>
    <t>ADRIANA BELLO LEÓN</t>
  </si>
  <si>
    <t>820-2026</t>
  </si>
  <si>
    <t>adriana.bello@habitatbogota.gov.co</t>
  </si>
  <si>
    <t>TOYOTA COROLA</t>
  </si>
  <si>
    <t>LQT109</t>
  </si>
  <si>
    <t>JEISON MAURICIO SANTOS TELLEZ</t>
  </si>
  <si>
    <t>574-2026</t>
  </si>
  <si>
    <t>jeison.santos@habitatbogota.gov.co</t>
  </si>
  <si>
    <t>DFQ65I</t>
  </si>
  <si>
    <t>NEGRO - GRIS</t>
  </si>
  <si>
    <t>CINDY JOHANA VALDERRAMA AMÉZQUITA</t>
  </si>
  <si>
    <t>821-2026</t>
  </si>
  <si>
    <t>cindy.valderrama@habitatbogota.gov.co</t>
  </si>
  <si>
    <t>CTV652</t>
  </si>
  <si>
    <t>YURI ANDREA RODRÍGUEZ HERNÁNDEZ</t>
  </si>
  <si>
    <t>fotocopias.habitat@habitatbogota.gov.co</t>
  </si>
  <si>
    <t>DIEGO ARLEY LIZARAZO LÓPEZ</t>
  </si>
  <si>
    <t>976-2026</t>
  </si>
  <si>
    <t>diego.lizarazo@habitatbogota.gov.co</t>
  </si>
  <si>
    <t>DZW847</t>
  </si>
  <si>
    <t>ANGIE TATIANA SUTA PARDO</t>
  </si>
  <si>
    <t>832-2026</t>
  </si>
  <si>
    <t>angie.suta@habitatbogota.gov.co</t>
  </si>
  <si>
    <t>SEAT ATECA</t>
  </si>
  <si>
    <t>GLY670</t>
  </si>
  <si>
    <t>SYM ADX 150</t>
  </si>
  <si>
    <t>BWQ90I</t>
  </si>
  <si>
    <t>FLAVIO ENRIQUE DAZA ROJAS</t>
  </si>
  <si>
    <t>flavio.daza@habitatbogota.gov.co</t>
  </si>
  <si>
    <t>BPC285</t>
  </si>
  <si>
    <t>JOHN FREDY VÁSQUEZ MORENO</t>
  </si>
  <si>
    <t>297-2026</t>
  </si>
  <si>
    <t>john.vasquez@habitatbogota.gov.co</t>
  </si>
  <si>
    <t>HJL465</t>
  </si>
  <si>
    <t>PAULA VIVIANA MEDINA ALEJO</t>
  </si>
  <si>
    <t>907-2026</t>
  </si>
  <si>
    <t>paula.medina@habitatbogota.gov.co</t>
  </si>
  <si>
    <t>KWY194</t>
  </si>
  <si>
    <t>SONIA ESMERALDA ALFONSO PINEDA</t>
  </si>
  <si>
    <t>307-2026</t>
  </si>
  <si>
    <t>sonia.alfonso@habitatbogota.gov.co</t>
  </si>
  <si>
    <t>NEGRO - BEIGE</t>
  </si>
  <si>
    <t>MARISOL BALLESTEROS MARÍN</t>
  </si>
  <si>
    <t>660-2026</t>
  </si>
  <si>
    <t>marisol.ballesteros@habitatbogota.gov.co</t>
  </si>
  <si>
    <t>CSC07F</t>
  </si>
  <si>
    <t>NEGRO - VERDE</t>
  </si>
  <si>
    <t>XIMENA BIBIANA QUIMBAYO GODOY</t>
  </si>
  <si>
    <t>527-2026</t>
  </si>
  <si>
    <t>ximena.quimbayo@habitatbogota.gov.co</t>
  </si>
  <si>
    <t>ULTRA MAX HUYSER</t>
  </si>
  <si>
    <t>YEIMY PAOLA LADINO PARDO</t>
  </si>
  <si>
    <t>978-2026</t>
  </si>
  <si>
    <t>yeimy.ladino@habitatbogota.gov.co</t>
  </si>
  <si>
    <t>JMN893</t>
  </si>
  <si>
    <t>JUAN PABLO LOBO LÓPEZ</t>
  </si>
  <si>
    <t>115-2026</t>
  </si>
  <si>
    <t>juan.lobo@habitatbogota.gov.co</t>
  </si>
  <si>
    <t>Dirección de Contratación</t>
  </si>
  <si>
    <t>IVZ727</t>
  </si>
  <si>
    <t>DZX196</t>
  </si>
  <si>
    <t>JENNY PAOLA BUENO LADINO</t>
  </si>
  <si>
    <t>19-2026</t>
  </si>
  <si>
    <t>jenny.bueno@habitatbogota.gov.co</t>
  </si>
  <si>
    <t>KWK887</t>
  </si>
  <si>
    <t>DIANA CAROLINA NIÑO CLAVIJO</t>
  </si>
  <si>
    <t>80-2026</t>
  </si>
  <si>
    <t>diana.nino@habitatbogota.gov.co</t>
  </si>
  <si>
    <t>LWP569</t>
  </si>
  <si>
    <t>JOHNNY DERANXEL ARANZAZU QUIROGA</t>
  </si>
  <si>
    <t>deranxel2@gmail.com</t>
  </si>
  <si>
    <t>EQK16G</t>
  </si>
  <si>
    <t>AZUL - GRIS</t>
  </si>
  <si>
    <t>RAFAEL LEIBER MALAGÓN AGUDELO</t>
  </si>
  <si>
    <t>FORD TERRITORY</t>
  </si>
  <si>
    <t>GPZ639</t>
  </si>
  <si>
    <t>BLANCO PLATINO</t>
  </si>
  <si>
    <t>GM</t>
  </si>
  <si>
    <t>QPZ208</t>
  </si>
  <si>
    <t>JESSICA VALENCIA GUERRERO</t>
  </si>
  <si>
    <t>487-2026</t>
  </si>
  <si>
    <t>jessica.valencia@habitatbogota.gov.co</t>
  </si>
  <si>
    <t>NYX244</t>
  </si>
  <si>
    <t>VERÓNICA ANDREA CHAPARRO PULIDO</t>
  </si>
  <si>
    <t>659-2026</t>
  </si>
  <si>
    <t>veronica.chaparro@habitatbogota.gov.co</t>
  </si>
  <si>
    <t>IIX306</t>
  </si>
  <si>
    <t>LUZ AMANDA HERNÁNDEZ PÉREZ</t>
  </si>
  <si>
    <t>669-2026</t>
  </si>
  <si>
    <t>luz.hernandez@habitatbogota.gov.co</t>
  </si>
  <si>
    <t>JWP87C</t>
  </si>
  <si>
    <t>NEGRO - ROJO</t>
  </si>
  <si>
    <t>YUNSUKI URUS</t>
  </si>
  <si>
    <t>BLANCO - NARANJA</t>
  </si>
  <si>
    <t>CARLOS ALBERTO HERRERA CELY</t>
  </si>
  <si>
    <t>605-2026</t>
  </si>
  <si>
    <t>carlos.herrera@habitatbogota.gov.co</t>
  </si>
  <si>
    <t>JOSÉ LUÍS DAZA PÉREZ</t>
  </si>
  <si>
    <t>QQL095</t>
  </si>
  <si>
    <t>LUZ GARCÍA SIERRA</t>
  </si>
  <si>
    <t>contraloriadis@habitatbogota.gov.co</t>
  </si>
  <si>
    <t>TESLA</t>
  </si>
  <si>
    <t>QPU078</t>
  </si>
  <si>
    <t>PAULA SOFÍA ENCINALES URQUIZA</t>
  </si>
  <si>
    <t>718-2026</t>
  </si>
  <si>
    <t>paula.encinales@habitatbogota.gov.co</t>
  </si>
  <si>
    <t>EVOBIKE</t>
  </si>
  <si>
    <t>JAMES FERNANDO NÚÑEZ RODRÍGUEZ</t>
  </si>
  <si>
    <t>567-2026</t>
  </si>
  <si>
    <t>james.nunez@habitatbogota.gov.co</t>
  </si>
  <si>
    <t>MIGUEL ÁNGEL ROMERO SUÁREZ</t>
  </si>
  <si>
    <t>223-2026</t>
  </si>
  <si>
    <t>miguel.romero@habitatbogota.gov.co</t>
  </si>
  <si>
    <t>Subsecretaría de Planeación y Políticas</t>
  </si>
  <si>
    <t>RIGÓN</t>
  </si>
  <si>
    <t>FRANK DAVID BARRERA SANTOS</t>
  </si>
  <si>
    <t>479-2026</t>
  </si>
  <si>
    <t>frank.barrera@habitatbogota.gov.co</t>
  </si>
  <si>
    <t>EDWIN YAMID ORTÍZ SALAS</t>
  </si>
  <si>
    <t>44-2026</t>
  </si>
  <si>
    <t>edwin.ortiz@habitatbogota.gov.co</t>
  </si>
  <si>
    <t>EDX620</t>
  </si>
  <si>
    <t>TALIANA GÓMEZ OLIVEROS</t>
  </si>
  <si>
    <t>455-2026</t>
  </si>
  <si>
    <t>taliana.gomez@habitatbogota.gov.co</t>
  </si>
  <si>
    <t>CLIC</t>
  </si>
  <si>
    <t>KZY449</t>
  </si>
  <si>
    <t>ANDREA CAROLINA TORRES LEÓN</t>
  </si>
  <si>
    <t>952-2026</t>
  </si>
  <si>
    <t>andrea.torres@habitatbogota.gov.co</t>
  </si>
  <si>
    <t>SUSUKI FRONX</t>
  </si>
  <si>
    <t>PFW145</t>
  </si>
  <si>
    <t>RAÚL EDUARDO URIBE GUALDRÓN</t>
  </si>
  <si>
    <t>SCOTT SCALE</t>
  </si>
  <si>
    <t>QQK504</t>
  </si>
  <si>
    <t>JOSÉ ALEJANDRO SUÁREZ ÁLVAREZ</t>
  </si>
  <si>
    <t>593-2026</t>
  </si>
  <si>
    <t>jose.suarez@habitatbogota.gov.co</t>
  </si>
  <si>
    <t>RHO770</t>
  </si>
  <si>
    <t>LEN12F</t>
  </si>
  <si>
    <t>VSETT 10+</t>
  </si>
  <si>
    <t>NEGRA - AMARILLA</t>
  </si>
  <si>
    <t>FZM862</t>
  </si>
  <si>
    <t>ENEYDER JAVIER LÓPEZ POLOCHE</t>
  </si>
  <si>
    <t>799-2026</t>
  </si>
  <si>
    <t>javier.lopez@habitatbogota.gov.co</t>
  </si>
  <si>
    <t>ELU837</t>
  </si>
  <si>
    <t>RAYNIER ANTONIO CAMARGO LORA</t>
  </si>
  <si>
    <t>raynier.camargo@habitatbogota.gov.co</t>
  </si>
  <si>
    <t>MTY448</t>
  </si>
  <si>
    <t>NQL91G</t>
  </si>
  <si>
    <t>MARIO ORLANDO CUECA GONZÁLEZ</t>
  </si>
  <si>
    <t>647-2026</t>
  </si>
  <si>
    <t>mario.cueca@habitatbogota.gov.co</t>
  </si>
  <si>
    <t>CIMA</t>
  </si>
  <si>
    <t>JOSÉ FERNANDO SÁNCHEZ BORDA</t>
  </si>
  <si>
    <t>HIM091</t>
  </si>
  <si>
    <t>VINOTINTO - BLANCO</t>
  </si>
  <si>
    <t>MAURICIO CEPEDA ARENAS</t>
  </si>
  <si>
    <t>m21cepedaarenas@gmail.com</t>
  </si>
  <si>
    <t>DWK452</t>
  </si>
  <si>
    <t>RAFAEL BERNARDO SANTOS RUEDA</t>
  </si>
  <si>
    <t>151-2026</t>
  </si>
  <si>
    <t>rafael.santos@habitatbogota.gov.co</t>
  </si>
  <si>
    <t>Oficina de Control Disciplinario Interno</t>
  </si>
  <si>
    <t>BOR380</t>
  </si>
  <si>
    <t>BLANCO - NEGRO</t>
  </si>
  <si>
    <t>CRISTIAN GÓMEZ</t>
  </si>
  <si>
    <t>MAZDA 3 TOURING</t>
  </si>
  <si>
    <t>JVZ118</t>
  </si>
  <si>
    <t>GEELY</t>
  </si>
  <si>
    <t>QQU671</t>
  </si>
  <si>
    <t>ALEXANDER PRIETO MUÑOZ</t>
  </si>
  <si>
    <t>alexander.prieto@habitatbogota.gov.co</t>
  </si>
  <si>
    <t>REK534</t>
  </si>
  <si>
    <t>MG S5</t>
  </si>
  <si>
    <t>QQS652</t>
  </si>
  <si>
    <t>CARLOS ENRIQUE TAMAYO GÓMEZ</t>
  </si>
  <si>
    <t>carlos.tamayo@habitatbogota.gov.co</t>
  </si>
  <si>
    <t>SEGWAY NINEBOT</t>
  </si>
  <si>
    <t>QQW391</t>
  </si>
  <si>
    <t>CESAR AUGUSTO CASTEBLANCO PEÑA</t>
  </si>
  <si>
    <t>HONDA XBLADE 160</t>
  </si>
  <si>
    <t>RSQ67H</t>
  </si>
  <si>
    <t>NEGRO - NARANJA</t>
  </si>
  <si>
    <t>JERSSON LÓPEZ BARRIOS</t>
  </si>
  <si>
    <t>GXY89I</t>
  </si>
  <si>
    <t>PRP903</t>
  </si>
  <si>
    <t>QQX340</t>
  </si>
  <si>
    <t>OSCAR ALEXANDER CRUZ FORERO</t>
  </si>
  <si>
    <t>507-2026</t>
  </si>
  <si>
    <t>oscar.cruzf@habitatbogota.gov.co</t>
  </si>
  <si>
    <t>PXW080</t>
  </si>
  <si>
    <t>JOSHUA MURILLO CUBEROS</t>
  </si>
  <si>
    <t>773-2026</t>
  </si>
  <si>
    <t>joshua.murillo@habitatbogota.gov.co</t>
  </si>
  <si>
    <t>HUSQVARNA SVARTPILEN</t>
  </si>
  <si>
    <t>GFY38I</t>
  </si>
  <si>
    <t>FREDDY ANDRÉS ALTAMAR BULA</t>
  </si>
  <si>
    <t>896-2026</t>
  </si>
  <si>
    <t>freddy.altamar@habitatbogota.gov.co</t>
  </si>
  <si>
    <t>CHERY</t>
  </si>
  <si>
    <t>QQX355</t>
  </si>
  <si>
    <t>LIZETH XIMENA RINCÓN PRIETO</t>
  </si>
  <si>
    <t>963-2026</t>
  </si>
  <si>
    <t>lizeth.rincon@habitatbogota.gov.co</t>
  </si>
  <si>
    <t>AVI453</t>
  </si>
  <si>
    <t>RONNY ESTIVEN ROMERO VELANDIA</t>
  </si>
  <si>
    <t>922-2026</t>
  </si>
  <si>
    <t>ronny.romero@habitatbogota.gov.co</t>
  </si>
  <si>
    <t>JEK683</t>
  </si>
  <si>
    <t>JOSÉ ALFONSO GRANADOS SANTOS</t>
  </si>
  <si>
    <t>jose.granados@habitatbogota.gov.co</t>
  </si>
  <si>
    <t>POR856</t>
  </si>
  <si>
    <t>JORGE ANDRÉS RIVEROS TONCÓN</t>
  </si>
  <si>
    <t>jorge.riveros@habitatbogota.gov.co</t>
  </si>
  <si>
    <t>FYK571</t>
  </si>
  <si>
    <t>LUIS EMIRO MAESTRE DE LA ESPRIELLA</t>
  </si>
  <si>
    <t>1342-2025</t>
  </si>
  <si>
    <t>luis.maestre@habitatbogota.gov.co</t>
  </si>
  <si>
    <t>SJP89G</t>
  </si>
  <si>
    <t>SEGWAY</t>
  </si>
  <si>
    <t>ANDRÉS FERNEY ARROYO HERRERA</t>
  </si>
  <si>
    <t>KCE11I</t>
  </si>
  <si>
    <t>RICARDO ERNESTO SÁNCHEZ MENESES</t>
  </si>
  <si>
    <t>sanchezricardo4@hotmail.com</t>
  </si>
  <si>
    <t>EVO BIKE</t>
  </si>
  <si>
    <t>WILSON SALAZAR PINZÓN</t>
  </si>
  <si>
    <t>YAMAHA FZ 250-A</t>
  </si>
  <si>
    <t>ICM27G</t>
  </si>
  <si>
    <t>JOSÉ REINELIO MARÍN BETANCUR</t>
  </si>
  <si>
    <t>BAJAJ PULSAR 180 UG</t>
  </si>
  <si>
    <t>RAK41C</t>
  </si>
  <si>
    <t>NEGRO - AZUL</t>
  </si>
  <si>
    <t>HTQ061</t>
  </si>
  <si>
    <t>JUAN FRANCISCO FORERO</t>
  </si>
  <si>
    <t>121-2026</t>
  </si>
  <si>
    <t>juan.forerog@habitatbogota.gov.co</t>
  </si>
  <si>
    <t>VOLKSWAGEN AMAROK</t>
  </si>
  <si>
    <t>TEP001</t>
  </si>
  <si>
    <t>QQU531</t>
  </si>
  <si>
    <t>ALEJANDRA FORERO GONZÁLEZ</t>
  </si>
  <si>
    <t>alejandra.forero@habitatbogota.gov.co</t>
  </si>
  <si>
    <t>BRD379</t>
  </si>
  <si>
    <t>PEUGEOT 3008</t>
  </si>
  <si>
    <t>FNY762</t>
  </si>
  <si>
    <t>ANA MARIA PATIÑO DURÁN</t>
  </si>
  <si>
    <t>991-2026</t>
  </si>
  <si>
    <t>ana.patino@habitatbogota.gov.co</t>
  </si>
  <si>
    <t>NJR865</t>
  </si>
  <si>
    <t>LNL878</t>
  </si>
  <si>
    <t>RETIRADO</t>
  </si>
  <si>
    <t>25-2026</t>
  </si>
  <si>
    <t>427-2026</t>
  </si>
  <si>
    <t>CHRISTIAN ALEJANDRO TORRES PATIÑO</t>
  </si>
  <si>
    <t>675-2026</t>
  </si>
  <si>
    <t>874-2026</t>
  </si>
  <si>
    <t>514-2026</t>
  </si>
  <si>
    <t>827-2026</t>
  </si>
  <si>
    <t>SERGIO ANDRÉS BOHORQUEZ CAÑAS</t>
  </si>
  <si>
    <t>jaime.arboleda@habitatbogota.gov.co</t>
  </si>
  <si>
    <t>manuel.valencia@habitatbogota.gov.co</t>
  </si>
  <si>
    <t>Dirección de Estructuracion de Proyectos</t>
  </si>
  <si>
    <t>Subsecretaría de Vivienda</t>
  </si>
  <si>
    <t>Subsecretaría de Intervenciones Integrales</t>
  </si>
  <si>
    <t>ACTIVO</t>
  </si>
  <si>
    <t>VINCULACIÓN</t>
  </si>
  <si>
    <t>ESTADO</t>
  </si>
  <si>
    <t>INSCRIPCIÓN DE MEDIOS DE TRANSPORTE PARA USO DEL PARQUEADERO DE LA SDHT - 2026</t>
  </si>
  <si>
    <t>Oid</t>
  </si>
  <si>
    <t>Serial</t>
  </si>
  <si>
    <t>Codigo_Interno</t>
  </si>
  <si>
    <t>Marca</t>
  </si>
  <si>
    <t>Color</t>
  </si>
  <si>
    <t>IdConductor</t>
  </si>
  <si>
    <t>TABLA PATINETA</t>
  </si>
  <si>
    <t>PAT-001</t>
  </si>
  <si>
    <t>PAT-002</t>
  </si>
  <si>
    <t>PAT-003</t>
  </si>
  <si>
    <t>PAT-004</t>
  </si>
  <si>
    <t>PAT-005</t>
  </si>
  <si>
    <t>PAT-006</t>
  </si>
  <si>
    <t>PAT-007</t>
  </si>
  <si>
    <t>PAT-008</t>
  </si>
  <si>
    <t>PAT-009</t>
  </si>
  <si>
    <t>PAT-010</t>
  </si>
  <si>
    <t>PAT-011</t>
  </si>
  <si>
    <t>PAT-012</t>
  </si>
  <si>
    <t>PAT-013</t>
  </si>
  <si>
    <t>PAT-014</t>
  </si>
  <si>
    <t>PAT-015</t>
  </si>
  <si>
    <t>PAT-016</t>
  </si>
  <si>
    <t>PAT-017</t>
  </si>
  <si>
    <t>PAT-018</t>
  </si>
  <si>
    <t>PAT-019</t>
  </si>
  <si>
    <t>ccConductor</t>
  </si>
  <si>
    <t>Nombre</t>
  </si>
  <si>
    <t>Area</t>
  </si>
  <si>
    <t>Celular</t>
  </si>
  <si>
    <t>correo</t>
  </si>
  <si>
    <t>TABLA CONDUCTOR</t>
  </si>
  <si>
    <t>MYSQL</t>
  </si>
  <si>
    <t>Subsecretaría de Inspección Vigilancia y Control de Vivienda</t>
  </si>
  <si>
    <t>Dirección de Prevención Arrendamiento y Control de Enajenación</t>
  </si>
  <si>
    <t>Mysql</t>
  </si>
  <si>
    <t>TABLA BICICLETA</t>
  </si>
  <si>
    <t>Tipo</t>
  </si>
  <si>
    <t>BCC-001</t>
  </si>
  <si>
    <t>BCC-002</t>
  </si>
  <si>
    <t>BCC-003</t>
  </si>
  <si>
    <t>BCC-004</t>
  </si>
  <si>
    <t>BCC-005</t>
  </si>
  <si>
    <t>BCC-006</t>
  </si>
  <si>
    <t>BCC-007</t>
  </si>
  <si>
    <t>BCC-008</t>
  </si>
  <si>
    <t>BCC-009</t>
  </si>
  <si>
    <t>BCC-010</t>
  </si>
  <si>
    <t>BCC-011</t>
  </si>
  <si>
    <t>BCC-012</t>
  </si>
  <si>
    <t>BCC-013</t>
  </si>
  <si>
    <t>BCC-014</t>
  </si>
  <si>
    <t>BCC-015</t>
  </si>
  <si>
    <t>BCC-016</t>
  </si>
  <si>
    <t>BCC-017</t>
  </si>
  <si>
    <t>BCC-018</t>
  </si>
  <si>
    <t>BCC-019</t>
  </si>
  <si>
    <t>BCC-020</t>
  </si>
  <si>
    <t>BCC-021</t>
  </si>
  <si>
    <t>BCC-022</t>
  </si>
  <si>
    <t>BCC-023</t>
  </si>
  <si>
    <t>BCC-024</t>
  </si>
  <si>
    <t>BCC-025</t>
  </si>
  <si>
    <t>BCC-026</t>
  </si>
  <si>
    <t>BCC-027</t>
  </si>
  <si>
    <t>BCC-028</t>
  </si>
  <si>
    <t>BCC-029</t>
  </si>
  <si>
    <t>BCC-030</t>
  </si>
  <si>
    <t>BCC-031</t>
  </si>
  <si>
    <t>MANUAL</t>
  </si>
  <si>
    <t>Placa</t>
  </si>
  <si>
    <t>Medio</t>
  </si>
  <si>
    <t>MOT-001</t>
  </si>
  <si>
    <t>MOT-002</t>
  </si>
  <si>
    <t>MOT-003</t>
  </si>
  <si>
    <t>MOT-004</t>
  </si>
  <si>
    <t>MOT-005</t>
  </si>
  <si>
    <t>TABLA VEHICULO</t>
  </si>
  <si>
    <t>contar</t>
  </si>
  <si>
    <t>MOTOCICLETA</t>
  </si>
  <si>
    <t>Piso</t>
  </si>
  <si>
    <t>Vinculacion</t>
  </si>
  <si>
    <t>Piso 12</t>
  </si>
  <si>
    <t>TABLA MOTOCICLETA ELECTRICA</t>
  </si>
  <si>
    <t>Piso 11</t>
  </si>
  <si>
    <t>UBICACIÓN</t>
  </si>
  <si>
    <t>SOTANO 1</t>
  </si>
  <si>
    <t>PUESTOS</t>
  </si>
  <si>
    <t>TIPO</t>
  </si>
  <si>
    <t>OFICIAL</t>
  </si>
  <si>
    <t>PLACA BLANCA</t>
  </si>
  <si>
    <t>SOTANO 2</t>
  </si>
  <si>
    <t>SOTANO 3</t>
  </si>
  <si>
    <t>CONTRATISTA</t>
  </si>
  <si>
    <t>AMMY JULIETH MORA PARRALES</t>
  </si>
  <si>
    <t>ANA AMELIA AVILA PALACIOS</t>
  </si>
  <si>
    <t>ANA CAROLINA ARAÚJO CHÁVEZ</t>
  </si>
  <si>
    <t>ANA JUDITH ABREU MURCIA</t>
  </si>
  <si>
    <t>ANGELA MILENA LATORRE RODRÍGUEZ</t>
  </si>
  <si>
    <t>ANGELICA QUIÑONES CARRILLO</t>
  </si>
  <si>
    <t>ANTONIO DAVID MARTINEZ VARGAS</t>
  </si>
  <si>
    <t>BRIAN FELIPE PINILLA GARZÓN</t>
  </si>
  <si>
    <t>CARLOS ANDRÉS MÉNDEZ MOJICA</t>
  </si>
  <si>
    <t>CARLOS ANDRÉS RIVERA TRIVIÑO</t>
  </si>
  <si>
    <t>CARLOS FABIÁN HAMON ALARCÓN</t>
  </si>
  <si>
    <t>CAROL ANDREA GARCÍA GARZÓN</t>
  </si>
  <si>
    <t>CESAR MIGUEL CASERES DIAZ</t>
  </si>
  <si>
    <t>CLAUDIA ALEJANDRA REYES GARCÍA</t>
  </si>
  <si>
    <t>CLAUDIA MARCELA LONDOÑO LOPEZ</t>
  </si>
  <si>
    <t>CLAUDIA PATRICIA RUEDA PLATA</t>
  </si>
  <si>
    <t>CRISLY CAROLINA RIVAS ORDOÑEZ</t>
  </si>
  <si>
    <t>DANIEL ARCILA</t>
  </si>
  <si>
    <t>DAVID LEONARDO MORENO</t>
  </si>
  <si>
    <t>DIANA CAROLINA GONZALEZ</t>
  </si>
  <si>
    <t>DIANA CAROLINA LOSADA RAMÍREZ</t>
  </si>
  <si>
    <t>DORA INOCENCIA CASTILLO VALDERRAMA</t>
  </si>
  <si>
    <t>EDISON RESTREPO CEBALLOS</t>
  </si>
  <si>
    <t>EDUARDO CONTA MARTINEZ</t>
  </si>
  <si>
    <t>FELIX ALEXANDER LOPEZ ANZOLA</t>
  </si>
  <si>
    <t>FERNANDO BARBOSA OSORIO</t>
  </si>
  <si>
    <t>FRANCISCO PÉREZ MARTÍNEZ</t>
  </si>
  <si>
    <t>FREDY DARIO CRUZ GARCÍA</t>
  </si>
  <si>
    <t>JAIRO ENRIQUE MOSQUERA PÁEZ</t>
  </si>
  <si>
    <t>JAVIER FERNANDO CAICEDO MONTOYA</t>
  </si>
  <si>
    <t>JEIMMY LILIANA GÓMEZ OYOLA</t>
  </si>
  <si>
    <t>JENNY FERNANDA VELANDIA CASTRO</t>
  </si>
  <si>
    <t>JENNY MARITZA BARRERA SUÁREZ</t>
  </si>
  <si>
    <t>JOHN ALEXANDER CARDENAS MANCIPE</t>
  </si>
  <si>
    <t>JOHNN FREDDY VARGAS BRICEÑO</t>
  </si>
  <si>
    <t>JORGE ARMANDO MOJICA RODRÍGUEZ</t>
  </si>
  <si>
    <t>JORGE IVÁN GARZÓN PINZÓN</t>
  </si>
  <si>
    <t>JOSE ALEJANDRO CUERVO RODRÍGUEZ</t>
  </si>
  <si>
    <t>JOSÉ FRANCK MACHADO MORENO</t>
  </si>
  <si>
    <t>JUAN CARLOS CASTILLO QUINTANA</t>
  </si>
  <si>
    <t>JUAN CARLOS LOZANO MAHECHA</t>
  </si>
  <si>
    <t>JULIAN ALEXANDER ZAMBRANO DIAZ</t>
  </si>
  <si>
    <t>KARENT RAMÍREZ BERNAL</t>
  </si>
  <si>
    <t>LAURA CAMILA DE LA HOZ</t>
  </si>
  <si>
    <t>LAURA CATALINA MARTÍNEZ LÓPEZ</t>
  </si>
  <si>
    <t>LEIDY MARCELA TRUJILLO MATIZ</t>
  </si>
  <si>
    <t>LEYDI ROCIO AYALA CAMARGO</t>
  </si>
  <si>
    <t>LIZETH KATHERINE BERMÚDEZ GÓMEZ</t>
  </si>
  <si>
    <t>LUIS HORACIO URQUIJO ADÁRRAGA</t>
  </si>
  <si>
    <t>MAIA GARCIA CARDOSO</t>
  </si>
  <si>
    <t>MARCO FIDEL GÓMEZ CORREDOR</t>
  </si>
  <si>
    <t>MARIA CAMILA CACERES MENDOZA</t>
  </si>
  <si>
    <t>MARIA CONSUELO RODRIGUEZ MORENO</t>
  </si>
  <si>
    <t>MARIA EUGENIA TAMAYO GUERRERO</t>
  </si>
  <si>
    <t>MARTHA PATRICIA TOVAR GONZALEZ</t>
  </si>
  <si>
    <t>MARY SOL BATERO CALVO</t>
  </si>
  <si>
    <t>MICHAEL STIVEN BAUTISTA SALAZAR</t>
  </si>
  <si>
    <t>MISAEL ESTEBAN LINARES GARZON</t>
  </si>
  <si>
    <t>NATALIA ANDREA OTERO TRUJILLO</t>
  </si>
  <si>
    <t>NICOLAS JAIRO ALVAREZ GONZALEZ</t>
  </si>
  <si>
    <t>OSCAR GIOVANNY ROJAS ROJAS</t>
  </si>
  <si>
    <t>PAOLA BASTO ROMERO</t>
  </si>
  <si>
    <t>REMY JOSEFA RAMÍREZ NEGRETE</t>
  </si>
  <si>
    <t>ROBERTO VELÁSQUEZ VELÁSQUEZ</t>
  </si>
  <si>
    <t>RODRIGO HIDALGO</t>
  </si>
  <si>
    <t>SANDRA JOHANA PINZON RODRÍGUEZ</t>
  </si>
  <si>
    <t>SANTIAGO GARCIA</t>
  </si>
  <si>
    <t>SANTIAGO LINARES</t>
  </si>
  <si>
    <t>SARA MILENA AGUIRRE BARRERA</t>
  </si>
  <si>
    <t>VICTOR RAÚL NEIRA MORRIS</t>
  </si>
  <si>
    <t>WILSON ENRIQUE TOVAR SARMIENTO</t>
  </si>
  <si>
    <t>WILVER VELASQUEZ RIVERA</t>
  </si>
  <si>
    <t>YANERY OSORIO CORTES</t>
  </si>
  <si>
    <t>YINNA ALEJANDRA CALDERÓN RODRÍGUEZ</t>
  </si>
  <si>
    <t>MERCEDES</t>
  </si>
  <si>
    <t>SUZUKI GIXXER 250</t>
  </si>
  <si>
    <t>SUZUKI GIXER SF</t>
  </si>
  <si>
    <t>SUZUKI SCROSS</t>
  </si>
  <si>
    <t>SUZUKI GIXXER</t>
  </si>
  <si>
    <t>SUZUKI FRONX</t>
  </si>
  <si>
    <t>JEEP RENAGADE</t>
  </si>
  <si>
    <t>TOYOTA CROSS</t>
  </si>
  <si>
    <t>MITSUBISHI</t>
  </si>
  <si>
    <t>SWIFT</t>
  </si>
  <si>
    <t>FORD SCAPE</t>
  </si>
  <si>
    <t>JEEP WRANGLER</t>
  </si>
  <si>
    <t>CHERY VAN</t>
  </si>
  <si>
    <t>AKT NKD 125</t>
  </si>
  <si>
    <t>DISCOVERY</t>
  </si>
  <si>
    <t>CHEVROLET SAIL</t>
  </si>
  <si>
    <t>GRIS NARANJA</t>
  </si>
  <si>
    <t>PLATASIRIUS METALICO</t>
  </si>
  <si>
    <t>AZUL CON BLANCO</t>
  </si>
  <si>
    <t>VERDE ESMERALDA</t>
  </si>
  <si>
    <t>NEGRO BLANCO ROJO</t>
  </si>
  <si>
    <t>ORO AZÚCAR</t>
  </si>
  <si>
    <t>CIAN OSCURO MALAQUITA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</si>
</sst>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u/>
      <sz val="11"/>
      <color theme="1"/>
      <name val="Calibri"/>
      <family val="2"/>
      <scheme val="minor"/>
    </font>
    <font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5" fontId="5" fillId="0" borderId="1" xfId="0" applyNumberFormat="1" applyFont="1" applyBorder="1" applyAlignment="1">
      <alignment horizontal="right"/>
    </xf>
    <xf numFmtId="0" fontId="2" fillId="0" borderId="1" xfId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/>
    <xf numFmtId="15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15" fontId="5" fillId="0" borderId="1" xfId="0" applyNumberFormat="1" applyFont="1" applyFill="1" applyBorder="1" applyAlignment="1">
      <alignment horizontal="right"/>
    </xf>
    <xf numFmtId="0" fontId="0" fillId="0" borderId="0" xfId="0" applyFill="1"/>
    <xf numFmtId="0" fontId="5" fillId="0" borderId="0" xfId="0" applyFont="1" applyFill="1"/>
    <xf numFmtId="0" fontId="1" fillId="0" borderId="0" xfId="0" applyFont="1" applyFill="1"/>
    <xf numFmtId="0" fontId="6" fillId="0" borderId="0" xfId="0" applyFont="1" applyFill="1"/>
    <xf numFmtId="15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8" fillId="0" borderId="0" xfId="0" applyFont="1"/>
    <xf numFmtId="0" fontId="5" fillId="0" borderId="0" xfId="0" applyFont="1" applyBorder="1" applyAlignment="1">
      <alignment horizontal="left"/>
    </xf>
    <xf numFmtId="0" fontId="0" fillId="0" borderId="2" xfId="0" applyFill="1" applyBorder="1"/>
    <xf numFmtId="0" fontId="0" fillId="0" borderId="0" xfId="0" applyBorder="1"/>
    <xf numFmtId="0" fontId="0" fillId="0" borderId="0" xfId="0" applyFill="1" applyBorder="1"/>
    <xf numFmtId="0" fontId="4" fillId="0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0" fillId="0" borderId="0" xfId="0" applyFont="1"/>
    <xf numFmtId="0" fontId="11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tha.duran@habitatbogota.gov.co" TargetMode="External"/><Relationship Id="rId18" Type="http://schemas.openxmlformats.org/officeDocument/2006/relationships/hyperlink" Target="mailto:sofiarodriguez258@gmail.com" TargetMode="External"/><Relationship Id="rId26" Type="http://schemas.openxmlformats.org/officeDocument/2006/relationships/hyperlink" Target="mailto:oreyesn@contraloriabogota.gov.co" TargetMode="External"/><Relationship Id="rId39" Type="http://schemas.openxmlformats.org/officeDocument/2006/relationships/hyperlink" Target="mailto:jenny.paloma@habitatbogota.gov.co" TargetMode="External"/><Relationship Id="rId21" Type="http://schemas.openxmlformats.org/officeDocument/2006/relationships/hyperlink" Target="mailto:fredi.munar@habitatbogota.gov.co" TargetMode="External"/><Relationship Id="rId34" Type="http://schemas.openxmlformats.org/officeDocument/2006/relationships/hyperlink" Target="mailto:juan.caicedo@habitatbogota.gov.co" TargetMode="External"/><Relationship Id="rId42" Type="http://schemas.openxmlformats.org/officeDocument/2006/relationships/hyperlink" Target="mailto:monica.veloza@habitatbogota.gov.co" TargetMode="External"/><Relationship Id="rId47" Type="http://schemas.openxmlformats.org/officeDocument/2006/relationships/hyperlink" Target="mailto:jeison.santos@contraloriabogota.gov.co" TargetMode="External"/><Relationship Id="rId50" Type="http://schemas.openxmlformats.org/officeDocument/2006/relationships/hyperlink" Target="mailto:diego.lizarazo@habitatbogota.gov.co" TargetMode="External"/><Relationship Id="rId55" Type="http://schemas.openxmlformats.org/officeDocument/2006/relationships/hyperlink" Target="mailto:ximena.quimbayo@habitatbogota.gov.co" TargetMode="External"/><Relationship Id="rId63" Type="http://schemas.openxmlformats.org/officeDocument/2006/relationships/hyperlink" Target="mailto:luz.hernandez@habitatbogota.gov.co" TargetMode="External"/><Relationship Id="rId68" Type="http://schemas.openxmlformats.org/officeDocument/2006/relationships/hyperlink" Target="mailto:miguel.romero@habitatbogota.gov.co" TargetMode="External"/><Relationship Id="rId7" Type="http://schemas.openxmlformats.org/officeDocument/2006/relationships/hyperlink" Target="mailto:daniela.bueno@habitatbogota.gov.co" TargetMode="External"/><Relationship Id="rId71" Type="http://schemas.openxmlformats.org/officeDocument/2006/relationships/hyperlink" Target="mailto:joshua.murillo@habitatbogota.gov.co" TargetMode="External"/><Relationship Id="rId2" Type="http://schemas.openxmlformats.org/officeDocument/2006/relationships/hyperlink" Target="mailto:guillermo.palacios@habitatbogota.gov.co" TargetMode="External"/><Relationship Id="rId16" Type="http://schemas.openxmlformats.org/officeDocument/2006/relationships/hyperlink" Target="mailto:adria.mendez@habitatbogota.gov.co" TargetMode="External"/><Relationship Id="rId29" Type="http://schemas.openxmlformats.org/officeDocument/2006/relationships/hyperlink" Target="mailto:juanpablo.vasques@gmail.com" TargetMode="External"/><Relationship Id="rId11" Type="http://schemas.openxmlformats.org/officeDocument/2006/relationships/hyperlink" Target="mailto:helizander.vera@habitatbogota.gov.co" TargetMode="External"/><Relationship Id="rId24" Type="http://schemas.openxmlformats.org/officeDocument/2006/relationships/hyperlink" Target="mailto:ruth290175@gmail.com" TargetMode="External"/><Relationship Id="rId32" Type="http://schemas.openxmlformats.org/officeDocument/2006/relationships/hyperlink" Target="mailto:jhonmelgarejoc@gmail.com" TargetMode="External"/><Relationship Id="rId37" Type="http://schemas.openxmlformats.org/officeDocument/2006/relationships/hyperlink" Target="mailto:daniel.castro@habitatbogota.gov.co" TargetMode="External"/><Relationship Id="rId40" Type="http://schemas.openxmlformats.org/officeDocument/2006/relationships/hyperlink" Target="mailto:daniel.rojas@habitatbogota.gov.co" TargetMode="External"/><Relationship Id="rId45" Type="http://schemas.openxmlformats.org/officeDocument/2006/relationships/hyperlink" Target="mailto:yulli.cardenas@contraloriabogota.gov.co" TargetMode="External"/><Relationship Id="rId53" Type="http://schemas.openxmlformats.org/officeDocument/2006/relationships/hyperlink" Target="mailto:sonia.alfonso@habitatbogota.gov.co" TargetMode="External"/><Relationship Id="rId58" Type="http://schemas.openxmlformats.org/officeDocument/2006/relationships/hyperlink" Target="mailto:jenny.bueno@habitatbogota.gov.co" TargetMode="External"/><Relationship Id="rId66" Type="http://schemas.openxmlformats.org/officeDocument/2006/relationships/hyperlink" Target="mailto:paula.encinales@habitatbogota.gov.co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mailto:adriana.villaneda@habitatbogota.gov.co" TargetMode="External"/><Relationship Id="rId15" Type="http://schemas.openxmlformats.org/officeDocument/2006/relationships/hyperlink" Target="mailto:andres.cardozo45@gmail.com" TargetMode="External"/><Relationship Id="rId23" Type="http://schemas.openxmlformats.org/officeDocument/2006/relationships/hyperlink" Target="mailto:jinfante@contraloriabogota.gov.co" TargetMode="External"/><Relationship Id="rId28" Type="http://schemas.openxmlformats.org/officeDocument/2006/relationships/hyperlink" Target="mailto:juan.ramirezra@habitatbogota.gov.co" TargetMode="External"/><Relationship Id="rId36" Type="http://schemas.openxmlformats.org/officeDocument/2006/relationships/hyperlink" Target="mailto:pm6979884@gmail.com" TargetMode="External"/><Relationship Id="rId49" Type="http://schemas.openxmlformats.org/officeDocument/2006/relationships/hyperlink" Target="mailto:fotocopias.habitat@habitatbogota.gov.co" TargetMode="External"/><Relationship Id="rId57" Type="http://schemas.openxmlformats.org/officeDocument/2006/relationships/hyperlink" Target="mailto:juan.lobo@habitatbogota.gov.co" TargetMode="External"/><Relationship Id="rId61" Type="http://schemas.openxmlformats.org/officeDocument/2006/relationships/hyperlink" Target="mailto:jessica.valencia@habitatbogota.gov.co" TargetMode="External"/><Relationship Id="rId10" Type="http://schemas.openxmlformats.org/officeDocument/2006/relationships/hyperlink" Target="mailto:nelson.bohorquez@habitatbogota.gov.co" TargetMode="External"/><Relationship Id="rId19" Type="http://schemas.openxmlformats.org/officeDocument/2006/relationships/hyperlink" Target="mailto:yudy.sanchez@habitatbogota.gov.co" TargetMode="External"/><Relationship Id="rId31" Type="http://schemas.openxmlformats.org/officeDocument/2006/relationships/hyperlink" Target="mailto:francisco.rodriguez@habitatbogota.gov.co" TargetMode="External"/><Relationship Id="rId44" Type="http://schemas.openxmlformats.org/officeDocument/2006/relationships/hyperlink" Target="mailto:jose.sanguino@habitatbogota.gov.co" TargetMode="External"/><Relationship Id="rId52" Type="http://schemas.openxmlformats.org/officeDocument/2006/relationships/hyperlink" Target="mailto:flavio.daza@habitatbogota.gov.co" TargetMode="External"/><Relationship Id="rId60" Type="http://schemas.openxmlformats.org/officeDocument/2006/relationships/hyperlink" Target="mailto:deranxel2@gmail.com" TargetMode="External"/><Relationship Id="rId65" Type="http://schemas.openxmlformats.org/officeDocument/2006/relationships/hyperlink" Target="mailto:contraloriadis@habitatbogota.gov.co" TargetMode="External"/><Relationship Id="rId73" Type="http://schemas.openxmlformats.org/officeDocument/2006/relationships/hyperlink" Target="mailto:manuel.valencia@habitatbogota.gov.co" TargetMode="External"/><Relationship Id="rId4" Type="http://schemas.openxmlformats.org/officeDocument/2006/relationships/hyperlink" Target="mailto:lady.suarez@habitatbogota.gov.co" TargetMode="External"/><Relationship Id="rId9" Type="http://schemas.openxmlformats.org/officeDocument/2006/relationships/hyperlink" Target="mailto:daniel.barrera@habitatbogota.gov.co" TargetMode="External"/><Relationship Id="rId14" Type="http://schemas.openxmlformats.org/officeDocument/2006/relationships/hyperlink" Target="mailto:laura.cruz@habitatbogota.gov.co" TargetMode="External"/><Relationship Id="rId22" Type="http://schemas.openxmlformats.org/officeDocument/2006/relationships/hyperlink" Target="mailto:camilo.sarmiento@habitatbogota.gov.co" TargetMode="External"/><Relationship Id="rId27" Type="http://schemas.openxmlformats.org/officeDocument/2006/relationships/hyperlink" Target="mailto:noraya.neissa@habitatbogota.gov.co" TargetMode="External"/><Relationship Id="rId30" Type="http://schemas.openxmlformats.org/officeDocument/2006/relationships/hyperlink" Target="mailto:sebastian.torres@habitatbogota.gov.co" TargetMode="External"/><Relationship Id="rId35" Type="http://schemas.openxmlformats.org/officeDocument/2006/relationships/hyperlink" Target="mailto:nicole.nino@habitatbogota.gov.co" TargetMode="External"/><Relationship Id="rId43" Type="http://schemas.openxmlformats.org/officeDocument/2006/relationships/hyperlink" Target="mailto:lucero.vera@habitatbogota.gov.co" TargetMode="External"/><Relationship Id="rId48" Type="http://schemas.openxmlformats.org/officeDocument/2006/relationships/hyperlink" Target="mailto:cindy.valderrama@contraloriabogota.gov.co" TargetMode="External"/><Relationship Id="rId56" Type="http://schemas.openxmlformats.org/officeDocument/2006/relationships/hyperlink" Target="mailto:yeimy.ladino@habitatbogota.gov.co" TargetMode="External"/><Relationship Id="rId64" Type="http://schemas.openxmlformats.org/officeDocument/2006/relationships/hyperlink" Target="mailto:carlos.herrera@habitatbogota.gov.co" TargetMode="External"/><Relationship Id="rId69" Type="http://schemas.openxmlformats.org/officeDocument/2006/relationships/hyperlink" Target="mailto:frank.barrera@habitatbogota.gov.co" TargetMode="External"/><Relationship Id="rId8" Type="http://schemas.openxmlformats.org/officeDocument/2006/relationships/hyperlink" Target="mailto:dnaiel.gomezf@habitatbogota.gov.co" TargetMode="External"/><Relationship Id="rId51" Type="http://schemas.openxmlformats.org/officeDocument/2006/relationships/hyperlink" Target="mailto:angie.suta@habitatbogota.gov.co" TargetMode="External"/><Relationship Id="rId72" Type="http://schemas.openxmlformats.org/officeDocument/2006/relationships/hyperlink" Target="mailto:ana.patino@habitatbogota.gov.co" TargetMode="External"/><Relationship Id="rId3" Type="http://schemas.openxmlformats.org/officeDocument/2006/relationships/hyperlink" Target="mailto:ctorresalejandro@gmail.com" TargetMode="External"/><Relationship Id="rId12" Type="http://schemas.openxmlformats.org/officeDocument/2006/relationships/hyperlink" Target="mailto:luisa.tovar@habitatbogota.gov.co" TargetMode="External"/><Relationship Id="rId17" Type="http://schemas.openxmlformats.org/officeDocument/2006/relationships/hyperlink" Target="mailto:oscar.rojas@habitatbogota.gov.co" TargetMode="External"/><Relationship Id="rId25" Type="http://schemas.openxmlformats.org/officeDocument/2006/relationships/hyperlink" Target="mailto:erikaalejandra1614@gmail.com" TargetMode="External"/><Relationship Id="rId33" Type="http://schemas.openxmlformats.org/officeDocument/2006/relationships/hyperlink" Target="mailto:gomezlaura.c98@gmail.com" TargetMode="External"/><Relationship Id="rId38" Type="http://schemas.openxmlformats.org/officeDocument/2006/relationships/hyperlink" Target="mailto:juan.pulido@habitatbogota.gov.co" TargetMode="External"/><Relationship Id="rId46" Type="http://schemas.openxmlformats.org/officeDocument/2006/relationships/hyperlink" Target="mailto:adriana.bello@contraloriabogota.gov.co" TargetMode="External"/><Relationship Id="rId59" Type="http://schemas.openxmlformats.org/officeDocument/2006/relationships/hyperlink" Target="mailto:diana.nino@habitatbogota.gov.co" TargetMode="External"/><Relationship Id="rId67" Type="http://schemas.openxmlformats.org/officeDocument/2006/relationships/hyperlink" Target="mailto:james.nunez@habitatbogota.gov.co" TargetMode="External"/><Relationship Id="rId20" Type="http://schemas.openxmlformats.org/officeDocument/2006/relationships/hyperlink" Target="mailto:moncada.manuel@habitatbogota.gov.co" TargetMode="External"/><Relationship Id="rId41" Type="http://schemas.openxmlformats.org/officeDocument/2006/relationships/hyperlink" Target="mailto:liza.gruesso@habitatbogota.gov.co" TargetMode="External"/><Relationship Id="rId54" Type="http://schemas.openxmlformats.org/officeDocument/2006/relationships/hyperlink" Target="mailto:marisol.ballesteros@habitatbogota.gov.co" TargetMode="External"/><Relationship Id="rId62" Type="http://schemas.openxmlformats.org/officeDocument/2006/relationships/hyperlink" Target="mailto:veronica.chaparro@habitatbogota.gov.co" TargetMode="External"/><Relationship Id="rId70" Type="http://schemas.openxmlformats.org/officeDocument/2006/relationships/hyperlink" Target="mailto:edwin.ortiz@habitatbogota.gov.co" TargetMode="External"/><Relationship Id="rId1" Type="http://schemas.openxmlformats.org/officeDocument/2006/relationships/hyperlink" Target="mailto:mauricio.lievano@habitatbogota.gov.co" TargetMode="External"/><Relationship Id="rId6" Type="http://schemas.openxmlformats.org/officeDocument/2006/relationships/hyperlink" Target="mailto:miguelducuara@habitatbogota.gov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luisa.tovar@habitatbogota.gov.co" TargetMode="External"/><Relationship Id="rId18" Type="http://schemas.openxmlformats.org/officeDocument/2006/relationships/hyperlink" Target="mailto:oscar.rojas@habitatbogota.gov.co" TargetMode="External"/><Relationship Id="rId26" Type="http://schemas.openxmlformats.org/officeDocument/2006/relationships/hyperlink" Target="mailto:jinfante@contraloriabogota.gov.co" TargetMode="External"/><Relationship Id="rId39" Type="http://schemas.openxmlformats.org/officeDocument/2006/relationships/hyperlink" Target="mailto:nicole.nino@habitatbogota.gov.co" TargetMode="External"/><Relationship Id="rId21" Type="http://schemas.openxmlformats.org/officeDocument/2006/relationships/hyperlink" Target="mailto:mauricio.lievano@habitatbogota.gov.co" TargetMode="External"/><Relationship Id="rId34" Type="http://schemas.openxmlformats.org/officeDocument/2006/relationships/hyperlink" Target="mailto:francisco.rodriguez@habitatbogota.gov.co" TargetMode="External"/><Relationship Id="rId42" Type="http://schemas.openxmlformats.org/officeDocument/2006/relationships/hyperlink" Target="mailto:juan.pulido@habitatbogota.gov.co" TargetMode="External"/><Relationship Id="rId47" Type="http://schemas.openxmlformats.org/officeDocument/2006/relationships/hyperlink" Target="mailto:monica.veloza@habitatbogota.gov.co" TargetMode="External"/><Relationship Id="rId50" Type="http://schemas.openxmlformats.org/officeDocument/2006/relationships/hyperlink" Target="mailto:jose.sanguino@habitatbogota.gov.co" TargetMode="External"/><Relationship Id="rId55" Type="http://schemas.openxmlformats.org/officeDocument/2006/relationships/hyperlink" Target="mailto:fotocopias.habitat@habitatbogota.gov.co" TargetMode="External"/><Relationship Id="rId63" Type="http://schemas.openxmlformats.org/officeDocument/2006/relationships/hyperlink" Target="mailto:juan.lobo@habitatbogota.gov.co" TargetMode="External"/><Relationship Id="rId68" Type="http://schemas.openxmlformats.org/officeDocument/2006/relationships/hyperlink" Target="mailto:jessica.valencia@habitatbogota.gov.co" TargetMode="External"/><Relationship Id="rId76" Type="http://schemas.openxmlformats.org/officeDocument/2006/relationships/hyperlink" Target="mailto:frank.barrera@habitatbogota.gov.co" TargetMode="External"/><Relationship Id="rId7" Type="http://schemas.openxmlformats.org/officeDocument/2006/relationships/hyperlink" Target="mailto:miguelducuara@habitatbogota.gov.co" TargetMode="External"/><Relationship Id="rId71" Type="http://schemas.openxmlformats.org/officeDocument/2006/relationships/hyperlink" Target="mailto:carlos.herrera@habitatbogota.gov.co" TargetMode="External"/><Relationship Id="rId2" Type="http://schemas.openxmlformats.org/officeDocument/2006/relationships/hyperlink" Target="mailto:guillermo.palacios@habitatbogota.gov.co" TargetMode="External"/><Relationship Id="rId16" Type="http://schemas.openxmlformats.org/officeDocument/2006/relationships/hyperlink" Target="mailto:andres.cardozo45@gmail.com" TargetMode="External"/><Relationship Id="rId29" Type="http://schemas.openxmlformats.org/officeDocument/2006/relationships/hyperlink" Target="mailto:oreyesn@contraloriabogota.gov.co" TargetMode="External"/><Relationship Id="rId11" Type="http://schemas.openxmlformats.org/officeDocument/2006/relationships/hyperlink" Target="mailto:nelson.bohorquez@habitatbogota.gov.co" TargetMode="External"/><Relationship Id="rId24" Type="http://schemas.openxmlformats.org/officeDocument/2006/relationships/hyperlink" Target="mailto:camilo.sarmiento@habitatbogota.gov.co" TargetMode="External"/><Relationship Id="rId32" Type="http://schemas.openxmlformats.org/officeDocument/2006/relationships/hyperlink" Target="mailto:juanpablo.vasques@gmail.com" TargetMode="External"/><Relationship Id="rId37" Type="http://schemas.openxmlformats.org/officeDocument/2006/relationships/hyperlink" Target="mailto:gomezlaura.c98@gmail.com" TargetMode="External"/><Relationship Id="rId40" Type="http://schemas.openxmlformats.org/officeDocument/2006/relationships/hyperlink" Target="mailto:pm6979884@gmail.com" TargetMode="External"/><Relationship Id="rId45" Type="http://schemas.openxmlformats.org/officeDocument/2006/relationships/hyperlink" Target="mailto:daniel.rojas@habitatbogota.gov.co" TargetMode="External"/><Relationship Id="rId53" Type="http://schemas.openxmlformats.org/officeDocument/2006/relationships/hyperlink" Target="mailto:jeison.santos@contraloriabogota.gov.co" TargetMode="External"/><Relationship Id="rId58" Type="http://schemas.openxmlformats.org/officeDocument/2006/relationships/hyperlink" Target="mailto:flavio.daza@habitatbogota.gov.co" TargetMode="External"/><Relationship Id="rId66" Type="http://schemas.openxmlformats.org/officeDocument/2006/relationships/hyperlink" Target="mailto:deranxel2@gmail.com" TargetMode="External"/><Relationship Id="rId74" Type="http://schemas.openxmlformats.org/officeDocument/2006/relationships/hyperlink" Target="mailto:james.nunez@habitatbogota.gov.co" TargetMode="External"/><Relationship Id="rId79" Type="http://schemas.openxmlformats.org/officeDocument/2006/relationships/hyperlink" Target="mailto:joshua.murillo@habitatbogota.gov.co" TargetMode="External"/><Relationship Id="rId5" Type="http://schemas.openxmlformats.org/officeDocument/2006/relationships/hyperlink" Target="mailto:adriana.villaneda@habitatbogota.gov.co" TargetMode="External"/><Relationship Id="rId61" Type="http://schemas.openxmlformats.org/officeDocument/2006/relationships/hyperlink" Target="mailto:ximena.quimbayo@habitatbogota.gov.co" TargetMode="External"/><Relationship Id="rId82" Type="http://schemas.openxmlformats.org/officeDocument/2006/relationships/printerSettings" Target="../printerSettings/printerSettings6.bin"/><Relationship Id="rId10" Type="http://schemas.openxmlformats.org/officeDocument/2006/relationships/hyperlink" Target="mailto:daniel.barrera@habitatbogota.gov.co" TargetMode="External"/><Relationship Id="rId19" Type="http://schemas.openxmlformats.org/officeDocument/2006/relationships/hyperlink" Target="mailto:sofiarodriguez258@gmail.com" TargetMode="External"/><Relationship Id="rId31" Type="http://schemas.openxmlformats.org/officeDocument/2006/relationships/hyperlink" Target="mailto:juan.ramirezra@habitatbogota.gov.co" TargetMode="External"/><Relationship Id="rId44" Type="http://schemas.openxmlformats.org/officeDocument/2006/relationships/hyperlink" Target="mailto:jenny.paloma@habitatbogota.gov.co" TargetMode="External"/><Relationship Id="rId52" Type="http://schemas.openxmlformats.org/officeDocument/2006/relationships/hyperlink" Target="mailto:adriana.bello@contraloriabogota.gov.co" TargetMode="External"/><Relationship Id="rId60" Type="http://schemas.openxmlformats.org/officeDocument/2006/relationships/hyperlink" Target="mailto:marisol.ballesteros@habitatbogota.gov.co" TargetMode="External"/><Relationship Id="rId65" Type="http://schemas.openxmlformats.org/officeDocument/2006/relationships/hyperlink" Target="mailto:diana.nino@habitatbogota.gov.co" TargetMode="External"/><Relationship Id="rId73" Type="http://schemas.openxmlformats.org/officeDocument/2006/relationships/hyperlink" Target="mailto:paula.encinales@habitatbogota.gov.co" TargetMode="External"/><Relationship Id="rId78" Type="http://schemas.openxmlformats.org/officeDocument/2006/relationships/hyperlink" Target="mailto:adriana.bello@contraloriabogota.gov.co" TargetMode="External"/><Relationship Id="rId81" Type="http://schemas.openxmlformats.org/officeDocument/2006/relationships/hyperlink" Target="mailto:manuel.valencia@habitatbogota.gov.co" TargetMode="External"/><Relationship Id="rId4" Type="http://schemas.openxmlformats.org/officeDocument/2006/relationships/hyperlink" Target="mailto:lady.suarez@habitatbogota.gov.co" TargetMode="External"/><Relationship Id="rId9" Type="http://schemas.openxmlformats.org/officeDocument/2006/relationships/hyperlink" Target="mailto:dnaiel.gomezf@habitatbogota.gov.co" TargetMode="External"/><Relationship Id="rId14" Type="http://schemas.openxmlformats.org/officeDocument/2006/relationships/hyperlink" Target="mailto:martha.duran@habitatbogota.gov.co" TargetMode="External"/><Relationship Id="rId22" Type="http://schemas.openxmlformats.org/officeDocument/2006/relationships/hyperlink" Target="mailto:moncada.manuel@habitatbogota.gov.co" TargetMode="External"/><Relationship Id="rId27" Type="http://schemas.openxmlformats.org/officeDocument/2006/relationships/hyperlink" Target="mailto:ruth290175@gmail.com" TargetMode="External"/><Relationship Id="rId30" Type="http://schemas.openxmlformats.org/officeDocument/2006/relationships/hyperlink" Target="mailto:noraya.neissa@habitatbogota.gov.co" TargetMode="External"/><Relationship Id="rId35" Type="http://schemas.openxmlformats.org/officeDocument/2006/relationships/hyperlink" Target="mailto:francisco.rodriguez@habitatbogota.gov.co" TargetMode="External"/><Relationship Id="rId43" Type="http://schemas.openxmlformats.org/officeDocument/2006/relationships/hyperlink" Target="mailto:jenny.paloma@habitatbogota.gov.co" TargetMode="External"/><Relationship Id="rId48" Type="http://schemas.openxmlformats.org/officeDocument/2006/relationships/hyperlink" Target="mailto:monica.veloza@habitatbogota.gov.co" TargetMode="External"/><Relationship Id="rId56" Type="http://schemas.openxmlformats.org/officeDocument/2006/relationships/hyperlink" Target="mailto:diego.lizarazo@habitatbogota.gov.co" TargetMode="External"/><Relationship Id="rId64" Type="http://schemas.openxmlformats.org/officeDocument/2006/relationships/hyperlink" Target="mailto:jenny.bueno@habitatbogota.gov.co" TargetMode="External"/><Relationship Id="rId69" Type="http://schemas.openxmlformats.org/officeDocument/2006/relationships/hyperlink" Target="mailto:veronica.chaparro@habitatbogota.gov.co" TargetMode="External"/><Relationship Id="rId77" Type="http://schemas.openxmlformats.org/officeDocument/2006/relationships/hyperlink" Target="mailto:edwin.ortiz@habitatbogota.gov.co" TargetMode="External"/><Relationship Id="rId8" Type="http://schemas.openxmlformats.org/officeDocument/2006/relationships/hyperlink" Target="mailto:daniela.bueno@habitatbogota.gov.co" TargetMode="External"/><Relationship Id="rId51" Type="http://schemas.openxmlformats.org/officeDocument/2006/relationships/hyperlink" Target="mailto:yulli.cardenas@contraloriabogota.gov.co" TargetMode="External"/><Relationship Id="rId72" Type="http://schemas.openxmlformats.org/officeDocument/2006/relationships/hyperlink" Target="mailto:contraloriadis@habitatbogota.gov.co" TargetMode="External"/><Relationship Id="rId80" Type="http://schemas.openxmlformats.org/officeDocument/2006/relationships/hyperlink" Target="mailto:ana.patino@habitatbogota.gov.co" TargetMode="External"/><Relationship Id="rId3" Type="http://schemas.openxmlformats.org/officeDocument/2006/relationships/hyperlink" Target="mailto:ctorresalejandro@gmail.com" TargetMode="External"/><Relationship Id="rId12" Type="http://schemas.openxmlformats.org/officeDocument/2006/relationships/hyperlink" Target="mailto:helizander.vera@habitatbogota.gov.co" TargetMode="External"/><Relationship Id="rId17" Type="http://schemas.openxmlformats.org/officeDocument/2006/relationships/hyperlink" Target="mailto:adria.mendez@habitatbogota.gov.co" TargetMode="External"/><Relationship Id="rId25" Type="http://schemas.openxmlformats.org/officeDocument/2006/relationships/hyperlink" Target="mailto:jinfante@contraloriabogota.gov.co" TargetMode="External"/><Relationship Id="rId33" Type="http://schemas.openxmlformats.org/officeDocument/2006/relationships/hyperlink" Target="mailto:sebastian.torres@habitatbogota.gov.co" TargetMode="External"/><Relationship Id="rId38" Type="http://schemas.openxmlformats.org/officeDocument/2006/relationships/hyperlink" Target="mailto:juan.caicedo@habitatbogota.gov.co" TargetMode="External"/><Relationship Id="rId46" Type="http://schemas.openxmlformats.org/officeDocument/2006/relationships/hyperlink" Target="mailto:liza.gruesso@habitatbogota.gov.co" TargetMode="External"/><Relationship Id="rId59" Type="http://schemas.openxmlformats.org/officeDocument/2006/relationships/hyperlink" Target="mailto:sonia.alfonso@habitatbogota.gov.co" TargetMode="External"/><Relationship Id="rId67" Type="http://schemas.openxmlformats.org/officeDocument/2006/relationships/hyperlink" Target="mailto:sebastian.torres@habitatbogota.gov.co" TargetMode="External"/><Relationship Id="rId20" Type="http://schemas.openxmlformats.org/officeDocument/2006/relationships/hyperlink" Target="mailto:yudy.sanchez@habitatbogota.gov.co" TargetMode="External"/><Relationship Id="rId41" Type="http://schemas.openxmlformats.org/officeDocument/2006/relationships/hyperlink" Target="mailto:daniel.castro@habitatbogota.gov.co" TargetMode="External"/><Relationship Id="rId54" Type="http://schemas.openxmlformats.org/officeDocument/2006/relationships/hyperlink" Target="mailto:cindy.valderrama@contraloriabogota.gov.co" TargetMode="External"/><Relationship Id="rId62" Type="http://schemas.openxmlformats.org/officeDocument/2006/relationships/hyperlink" Target="mailto:yeimy.ladino@habitatbogota.gov.co" TargetMode="External"/><Relationship Id="rId70" Type="http://schemas.openxmlformats.org/officeDocument/2006/relationships/hyperlink" Target="mailto:luz.hernandez@habitatbogota.gov.co" TargetMode="External"/><Relationship Id="rId75" Type="http://schemas.openxmlformats.org/officeDocument/2006/relationships/hyperlink" Target="mailto:miguel.romero@habitatbogota.gov.co" TargetMode="External"/><Relationship Id="rId1" Type="http://schemas.openxmlformats.org/officeDocument/2006/relationships/hyperlink" Target="mailto:mauricio.lievano@habitatbogota.gov.co" TargetMode="External"/><Relationship Id="rId6" Type="http://schemas.openxmlformats.org/officeDocument/2006/relationships/hyperlink" Target="mailto:miguelducuara@habitatbogota.gov.co" TargetMode="External"/><Relationship Id="rId15" Type="http://schemas.openxmlformats.org/officeDocument/2006/relationships/hyperlink" Target="mailto:laura.cruz@habitatbogota.gov.co" TargetMode="External"/><Relationship Id="rId23" Type="http://schemas.openxmlformats.org/officeDocument/2006/relationships/hyperlink" Target="mailto:fredi.munar@habitatbogota.gov.co" TargetMode="External"/><Relationship Id="rId28" Type="http://schemas.openxmlformats.org/officeDocument/2006/relationships/hyperlink" Target="mailto:erikaalejandra1614@gmail.com" TargetMode="External"/><Relationship Id="rId36" Type="http://schemas.openxmlformats.org/officeDocument/2006/relationships/hyperlink" Target="mailto:jhonmelgarejoc@gmail.com" TargetMode="External"/><Relationship Id="rId49" Type="http://schemas.openxmlformats.org/officeDocument/2006/relationships/hyperlink" Target="mailto:lucero.vera@habitatbogota.gov.co" TargetMode="External"/><Relationship Id="rId57" Type="http://schemas.openxmlformats.org/officeDocument/2006/relationships/hyperlink" Target="mailto:angie.suta@habitatbogota.gov.co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jessica.valencia@habitatbogota.gov.co" TargetMode="External"/><Relationship Id="rId18" Type="http://schemas.openxmlformats.org/officeDocument/2006/relationships/hyperlink" Target="mailto:yeimy.ladino@habitatbogota.gov.co" TargetMode="External"/><Relationship Id="rId26" Type="http://schemas.openxmlformats.org/officeDocument/2006/relationships/hyperlink" Target="mailto:cindy.valderrama@contraloriabogota.gov.co" TargetMode="External"/><Relationship Id="rId39" Type="http://schemas.openxmlformats.org/officeDocument/2006/relationships/hyperlink" Target="mailto:nicole.nino@habitatbogota.gov.co" TargetMode="External"/><Relationship Id="rId21" Type="http://schemas.openxmlformats.org/officeDocument/2006/relationships/hyperlink" Target="mailto:sonia.alfonso@habitatbogota.gov.co" TargetMode="External"/><Relationship Id="rId34" Type="http://schemas.openxmlformats.org/officeDocument/2006/relationships/hyperlink" Target="mailto:daniel.rojas@habitatbogota.gov.co" TargetMode="External"/><Relationship Id="rId42" Type="http://schemas.openxmlformats.org/officeDocument/2006/relationships/hyperlink" Target="mailto:jhonmelgarejoc@gmail.com" TargetMode="External"/><Relationship Id="rId47" Type="http://schemas.openxmlformats.org/officeDocument/2006/relationships/hyperlink" Target="mailto:noraya.neissa@habitatbogota.gov.co" TargetMode="External"/><Relationship Id="rId50" Type="http://schemas.openxmlformats.org/officeDocument/2006/relationships/hyperlink" Target="mailto:ruth290175@gmail.com" TargetMode="External"/><Relationship Id="rId55" Type="http://schemas.openxmlformats.org/officeDocument/2006/relationships/hyperlink" Target="mailto:yudy.sanchez@habitatbogota.gov.co" TargetMode="External"/><Relationship Id="rId63" Type="http://schemas.openxmlformats.org/officeDocument/2006/relationships/hyperlink" Target="mailto:helizander.vera@habitatbogota.gov.co" TargetMode="External"/><Relationship Id="rId68" Type="http://schemas.openxmlformats.org/officeDocument/2006/relationships/hyperlink" Target="mailto:miguelducuara@habitatbogota.gov.co" TargetMode="External"/><Relationship Id="rId7" Type="http://schemas.openxmlformats.org/officeDocument/2006/relationships/hyperlink" Target="mailto:james.nunez@habitatbogota.gov.co" TargetMode="External"/><Relationship Id="rId71" Type="http://schemas.openxmlformats.org/officeDocument/2006/relationships/hyperlink" Target="mailto:ctorresalejandro@gmail.com" TargetMode="External"/><Relationship Id="rId2" Type="http://schemas.openxmlformats.org/officeDocument/2006/relationships/hyperlink" Target="mailto:ana.patino@habitatbogota.gov.co" TargetMode="External"/><Relationship Id="rId16" Type="http://schemas.openxmlformats.org/officeDocument/2006/relationships/hyperlink" Target="mailto:jenny.bueno@habitatbogota.gov.co" TargetMode="External"/><Relationship Id="rId29" Type="http://schemas.openxmlformats.org/officeDocument/2006/relationships/hyperlink" Target="mailto:yulli.cardenas@contraloriabogota.gov.co" TargetMode="External"/><Relationship Id="rId11" Type="http://schemas.openxmlformats.org/officeDocument/2006/relationships/hyperlink" Target="mailto:luz.hernandez@habitatbogota.gov.co" TargetMode="External"/><Relationship Id="rId24" Type="http://schemas.openxmlformats.org/officeDocument/2006/relationships/hyperlink" Target="mailto:diego.lizarazo@habitatbogota.gov.co" TargetMode="External"/><Relationship Id="rId32" Type="http://schemas.openxmlformats.org/officeDocument/2006/relationships/hyperlink" Target="mailto:monica.veloza@habitatbogota.gov.co" TargetMode="External"/><Relationship Id="rId37" Type="http://schemas.openxmlformats.org/officeDocument/2006/relationships/hyperlink" Target="mailto:daniel.castro@habitatbogota.gov.co" TargetMode="External"/><Relationship Id="rId40" Type="http://schemas.openxmlformats.org/officeDocument/2006/relationships/hyperlink" Target="mailto:juan.caicedo@habitatbogota.gov.co" TargetMode="External"/><Relationship Id="rId45" Type="http://schemas.openxmlformats.org/officeDocument/2006/relationships/hyperlink" Target="mailto:juanpablo.vasques@gmail.com" TargetMode="External"/><Relationship Id="rId53" Type="http://schemas.openxmlformats.org/officeDocument/2006/relationships/hyperlink" Target="mailto:fredi.munar@habitatbogota.gov.co" TargetMode="External"/><Relationship Id="rId58" Type="http://schemas.openxmlformats.org/officeDocument/2006/relationships/hyperlink" Target="mailto:adria.mendez@habitatbogota.gov.co" TargetMode="External"/><Relationship Id="rId66" Type="http://schemas.openxmlformats.org/officeDocument/2006/relationships/hyperlink" Target="mailto:dnaiel.gomezf@habitatbogota.gov.co" TargetMode="External"/><Relationship Id="rId74" Type="http://schemas.openxmlformats.org/officeDocument/2006/relationships/printerSettings" Target="../printerSettings/printerSettings7.bin"/><Relationship Id="rId5" Type="http://schemas.openxmlformats.org/officeDocument/2006/relationships/hyperlink" Target="mailto:frank.barrera@habitatbogota.gov.co" TargetMode="External"/><Relationship Id="rId15" Type="http://schemas.openxmlformats.org/officeDocument/2006/relationships/hyperlink" Target="mailto:diana.nino@habitatbogota.gov.co" TargetMode="External"/><Relationship Id="rId23" Type="http://schemas.openxmlformats.org/officeDocument/2006/relationships/hyperlink" Target="mailto:angie.suta@habitatbogota.gov.co" TargetMode="External"/><Relationship Id="rId28" Type="http://schemas.openxmlformats.org/officeDocument/2006/relationships/hyperlink" Target="mailto:adriana.bello@contraloriabogota.gov.co" TargetMode="External"/><Relationship Id="rId36" Type="http://schemas.openxmlformats.org/officeDocument/2006/relationships/hyperlink" Target="mailto:juan.pulido@habitatbogota.gov.co" TargetMode="External"/><Relationship Id="rId49" Type="http://schemas.openxmlformats.org/officeDocument/2006/relationships/hyperlink" Target="mailto:erikaalejandra1614@gmail.com" TargetMode="External"/><Relationship Id="rId57" Type="http://schemas.openxmlformats.org/officeDocument/2006/relationships/hyperlink" Target="mailto:oscar.rojas@habitatbogota.gov.co" TargetMode="External"/><Relationship Id="rId61" Type="http://schemas.openxmlformats.org/officeDocument/2006/relationships/hyperlink" Target="mailto:martha.duran@habitatbogota.gov.co" TargetMode="External"/><Relationship Id="rId10" Type="http://schemas.openxmlformats.org/officeDocument/2006/relationships/hyperlink" Target="mailto:carlos.herrera@habitatbogota.gov.co" TargetMode="External"/><Relationship Id="rId19" Type="http://schemas.openxmlformats.org/officeDocument/2006/relationships/hyperlink" Target="mailto:ximena.quimbayo@habitatbogota.gov.co" TargetMode="External"/><Relationship Id="rId31" Type="http://schemas.openxmlformats.org/officeDocument/2006/relationships/hyperlink" Target="mailto:lucero.vera@habitatbogota.gov.co" TargetMode="External"/><Relationship Id="rId44" Type="http://schemas.openxmlformats.org/officeDocument/2006/relationships/hyperlink" Target="mailto:sebastian.torres@habitatbogota.gov.co" TargetMode="External"/><Relationship Id="rId52" Type="http://schemas.openxmlformats.org/officeDocument/2006/relationships/hyperlink" Target="mailto:camilo.sarmiento@habitatbogota.gov.co" TargetMode="External"/><Relationship Id="rId60" Type="http://schemas.openxmlformats.org/officeDocument/2006/relationships/hyperlink" Target="mailto:laura.cruz@habitatbogota.gov.co" TargetMode="External"/><Relationship Id="rId65" Type="http://schemas.openxmlformats.org/officeDocument/2006/relationships/hyperlink" Target="mailto:daniel.barrera@habitatbogota.gov.co" TargetMode="External"/><Relationship Id="rId73" Type="http://schemas.openxmlformats.org/officeDocument/2006/relationships/hyperlink" Target="mailto:mauricio.lievano@habitatbogota.gov.co" TargetMode="External"/><Relationship Id="rId4" Type="http://schemas.openxmlformats.org/officeDocument/2006/relationships/hyperlink" Target="mailto:edwin.ortiz@habitatbogota.gov.co" TargetMode="External"/><Relationship Id="rId9" Type="http://schemas.openxmlformats.org/officeDocument/2006/relationships/hyperlink" Target="mailto:contraloriadis@habitatbogota.gov.co" TargetMode="External"/><Relationship Id="rId14" Type="http://schemas.openxmlformats.org/officeDocument/2006/relationships/hyperlink" Target="mailto:deranxel2@gmail.com" TargetMode="External"/><Relationship Id="rId22" Type="http://schemas.openxmlformats.org/officeDocument/2006/relationships/hyperlink" Target="mailto:flavio.daza@habitatbogota.gov.co" TargetMode="External"/><Relationship Id="rId27" Type="http://schemas.openxmlformats.org/officeDocument/2006/relationships/hyperlink" Target="mailto:jeison.santos@contraloriabogota.gov.co" TargetMode="External"/><Relationship Id="rId30" Type="http://schemas.openxmlformats.org/officeDocument/2006/relationships/hyperlink" Target="mailto:jose.sanguino@habitatbogota.gov.co" TargetMode="External"/><Relationship Id="rId35" Type="http://schemas.openxmlformats.org/officeDocument/2006/relationships/hyperlink" Target="mailto:jenny.paloma@habitatbogota.gov.co" TargetMode="External"/><Relationship Id="rId43" Type="http://schemas.openxmlformats.org/officeDocument/2006/relationships/hyperlink" Target="mailto:francisco.rodriguez@habitatbogota.gov.co" TargetMode="External"/><Relationship Id="rId48" Type="http://schemas.openxmlformats.org/officeDocument/2006/relationships/hyperlink" Target="mailto:oreyesn@contraloriabogota.gov.co" TargetMode="External"/><Relationship Id="rId56" Type="http://schemas.openxmlformats.org/officeDocument/2006/relationships/hyperlink" Target="mailto:sofiarodriguez258@gmail.com" TargetMode="External"/><Relationship Id="rId64" Type="http://schemas.openxmlformats.org/officeDocument/2006/relationships/hyperlink" Target="mailto:nelson.bohorquez@habitatbogota.gov.co" TargetMode="External"/><Relationship Id="rId69" Type="http://schemas.openxmlformats.org/officeDocument/2006/relationships/hyperlink" Target="mailto:adriana.villaneda@habitatbogota.gov.co" TargetMode="External"/><Relationship Id="rId8" Type="http://schemas.openxmlformats.org/officeDocument/2006/relationships/hyperlink" Target="mailto:paula.encinales@habitatbogota.gov.co" TargetMode="External"/><Relationship Id="rId51" Type="http://schemas.openxmlformats.org/officeDocument/2006/relationships/hyperlink" Target="mailto:jinfante@contraloriabogota.gov.co" TargetMode="External"/><Relationship Id="rId72" Type="http://schemas.openxmlformats.org/officeDocument/2006/relationships/hyperlink" Target="mailto:guillermo.palacios@habitatbogota.gov.co" TargetMode="External"/><Relationship Id="rId3" Type="http://schemas.openxmlformats.org/officeDocument/2006/relationships/hyperlink" Target="mailto:joshua.murillo@habitatbogota.gov.co" TargetMode="External"/><Relationship Id="rId12" Type="http://schemas.openxmlformats.org/officeDocument/2006/relationships/hyperlink" Target="mailto:veronica.chaparro@habitatbogota.gov.co" TargetMode="External"/><Relationship Id="rId17" Type="http://schemas.openxmlformats.org/officeDocument/2006/relationships/hyperlink" Target="mailto:juan.lobo@habitatbogota.gov.co" TargetMode="External"/><Relationship Id="rId25" Type="http://schemas.openxmlformats.org/officeDocument/2006/relationships/hyperlink" Target="mailto:fotocopias.habitat@habitatbogota.gov.co" TargetMode="External"/><Relationship Id="rId33" Type="http://schemas.openxmlformats.org/officeDocument/2006/relationships/hyperlink" Target="mailto:liza.gruesso@habitatbogota.gov.co" TargetMode="External"/><Relationship Id="rId38" Type="http://schemas.openxmlformats.org/officeDocument/2006/relationships/hyperlink" Target="mailto:pm6979884@gmail.com" TargetMode="External"/><Relationship Id="rId46" Type="http://schemas.openxmlformats.org/officeDocument/2006/relationships/hyperlink" Target="mailto:juan.ramirezra@habitatbogota.gov.co" TargetMode="External"/><Relationship Id="rId59" Type="http://schemas.openxmlformats.org/officeDocument/2006/relationships/hyperlink" Target="mailto:andres.cardozo45@gmail.com" TargetMode="External"/><Relationship Id="rId67" Type="http://schemas.openxmlformats.org/officeDocument/2006/relationships/hyperlink" Target="mailto:daniela.bueno@habitatbogota.gov.co" TargetMode="External"/><Relationship Id="rId20" Type="http://schemas.openxmlformats.org/officeDocument/2006/relationships/hyperlink" Target="mailto:marisol.ballesteros@habitatbogota.gov.co" TargetMode="External"/><Relationship Id="rId41" Type="http://schemas.openxmlformats.org/officeDocument/2006/relationships/hyperlink" Target="mailto:gomezlaura.c98@gmail.com" TargetMode="External"/><Relationship Id="rId54" Type="http://schemas.openxmlformats.org/officeDocument/2006/relationships/hyperlink" Target="mailto:moncada.manuel@habitatbogota.gov.co" TargetMode="External"/><Relationship Id="rId62" Type="http://schemas.openxmlformats.org/officeDocument/2006/relationships/hyperlink" Target="mailto:luisa.tovar@habitatbogota.gov.co" TargetMode="External"/><Relationship Id="rId70" Type="http://schemas.openxmlformats.org/officeDocument/2006/relationships/hyperlink" Target="mailto:lady.suarez@habitatbogota.gov.co" TargetMode="External"/><Relationship Id="rId1" Type="http://schemas.openxmlformats.org/officeDocument/2006/relationships/hyperlink" Target="mailto:manuel.valencia@habitatbogota.gov.co" TargetMode="External"/><Relationship Id="rId6" Type="http://schemas.openxmlformats.org/officeDocument/2006/relationships/hyperlink" Target="mailto:miguel.romero@habitatbogota.gov.co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luisa.tovar@habitatbogota.gov.co" TargetMode="External"/><Relationship Id="rId18" Type="http://schemas.openxmlformats.org/officeDocument/2006/relationships/hyperlink" Target="mailto:oscar.rojas@habitatbogota.gov.co" TargetMode="External"/><Relationship Id="rId26" Type="http://schemas.openxmlformats.org/officeDocument/2006/relationships/hyperlink" Target="mailto:jinfante@contraloriabogota.gov.co" TargetMode="External"/><Relationship Id="rId39" Type="http://schemas.openxmlformats.org/officeDocument/2006/relationships/hyperlink" Target="mailto:nicole.nino@habitatbogota.gov.co" TargetMode="External"/><Relationship Id="rId21" Type="http://schemas.openxmlformats.org/officeDocument/2006/relationships/hyperlink" Target="mailto:mauricio.lievano@habitatbogota.gov.co" TargetMode="External"/><Relationship Id="rId34" Type="http://schemas.openxmlformats.org/officeDocument/2006/relationships/hyperlink" Target="mailto:francisco.rodriguez@habitatbogota.gov.co" TargetMode="External"/><Relationship Id="rId42" Type="http://schemas.openxmlformats.org/officeDocument/2006/relationships/hyperlink" Target="mailto:juan.pulido@habitatbogota.gov.co" TargetMode="External"/><Relationship Id="rId47" Type="http://schemas.openxmlformats.org/officeDocument/2006/relationships/hyperlink" Target="mailto:monica.veloza@habitatbogota.gov.co" TargetMode="External"/><Relationship Id="rId50" Type="http://schemas.openxmlformats.org/officeDocument/2006/relationships/hyperlink" Target="mailto:jose.sanguino@habitatbogota.gov.co" TargetMode="External"/><Relationship Id="rId55" Type="http://schemas.openxmlformats.org/officeDocument/2006/relationships/hyperlink" Target="mailto:fotocopias.habitat@habitatbogota.gov.co" TargetMode="External"/><Relationship Id="rId63" Type="http://schemas.openxmlformats.org/officeDocument/2006/relationships/hyperlink" Target="mailto:juan.lobo@habitatbogota.gov.co" TargetMode="External"/><Relationship Id="rId68" Type="http://schemas.openxmlformats.org/officeDocument/2006/relationships/hyperlink" Target="mailto:jessica.valencia@habitatbogota.gov.co" TargetMode="External"/><Relationship Id="rId76" Type="http://schemas.openxmlformats.org/officeDocument/2006/relationships/hyperlink" Target="mailto:frank.barrera@habitatbogota.gov.co" TargetMode="External"/><Relationship Id="rId7" Type="http://schemas.openxmlformats.org/officeDocument/2006/relationships/hyperlink" Target="mailto:miguelducuara@habitatbogota.gov.co" TargetMode="External"/><Relationship Id="rId71" Type="http://schemas.openxmlformats.org/officeDocument/2006/relationships/hyperlink" Target="mailto:carlos.herrera@habitatbogota.gov.co" TargetMode="External"/><Relationship Id="rId2" Type="http://schemas.openxmlformats.org/officeDocument/2006/relationships/hyperlink" Target="mailto:guillermo.palacios@habitatbogota.gov.co" TargetMode="External"/><Relationship Id="rId16" Type="http://schemas.openxmlformats.org/officeDocument/2006/relationships/hyperlink" Target="mailto:andres.cardozo45@gmail.com" TargetMode="External"/><Relationship Id="rId29" Type="http://schemas.openxmlformats.org/officeDocument/2006/relationships/hyperlink" Target="mailto:oreyesn@contraloriabogota.gov.co" TargetMode="External"/><Relationship Id="rId11" Type="http://schemas.openxmlformats.org/officeDocument/2006/relationships/hyperlink" Target="mailto:nelson.bohorquez@habitatbogota.gov.co" TargetMode="External"/><Relationship Id="rId24" Type="http://schemas.openxmlformats.org/officeDocument/2006/relationships/hyperlink" Target="mailto:camilo.sarmiento@habitatbogota.gov.co" TargetMode="External"/><Relationship Id="rId32" Type="http://schemas.openxmlformats.org/officeDocument/2006/relationships/hyperlink" Target="mailto:juanpablo.vasques@gmail.com" TargetMode="External"/><Relationship Id="rId37" Type="http://schemas.openxmlformats.org/officeDocument/2006/relationships/hyperlink" Target="mailto:gomezlaura.c98@gmail.com" TargetMode="External"/><Relationship Id="rId40" Type="http://schemas.openxmlformats.org/officeDocument/2006/relationships/hyperlink" Target="mailto:pm6979884@gmail.com" TargetMode="External"/><Relationship Id="rId45" Type="http://schemas.openxmlformats.org/officeDocument/2006/relationships/hyperlink" Target="mailto:daniel.rojas@habitatbogota.gov.co" TargetMode="External"/><Relationship Id="rId53" Type="http://schemas.openxmlformats.org/officeDocument/2006/relationships/hyperlink" Target="mailto:jeison.santos@contraloriabogota.gov.co" TargetMode="External"/><Relationship Id="rId58" Type="http://schemas.openxmlformats.org/officeDocument/2006/relationships/hyperlink" Target="mailto:flavio.daza@habitatbogota.gov.co" TargetMode="External"/><Relationship Id="rId66" Type="http://schemas.openxmlformats.org/officeDocument/2006/relationships/hyperlink" Target="mailto:deranxel2@gmail.com" TargetMode="External"/><Relationship Id="rId74" Type="http://schemas.openxmlformats.org/officeDocument/2006/relationships/hyperlink" Target="mailto:james.nunez@habitatbogota.gov.co" TargetMode="External"/><Relationship Id="rId79" Type="http://schemas.openxmlformats.org/officeDocument/2006/relationships/hyperlink" Target="mailto:joshua.murillo@habitatbogota.gov.co" TargetMode="External"/><Relationship Id="rId5" Type="http://schemas.openxmlformats.org/officeDocument/2006/relationships/hyperlink" Target="mailto:adriana.villaneda@habitatbogota.gov.co" TargetMode="External"/><Relationship Id="rId61" Type="http://schemas.openxmlformats.org/officeDocument/2006/relationships/hyperlink" Target="mailto:ximena.quimbayo@habitatbogota.gov.co" TargetMode="External"/><Relationship Id="rId82" Type="http://schemas.openxmlformats.org/officeDocument/2006/relationships/printerSettings" Target="../printerSettings/printerSettings8.bin"/><Relationship Id="rId10" Type="http://schemas.openxmlformats.org/officeDocument/2006/relationships/hyperlink" Target="mailto:daniel.barrera@habitatbogota.gov.co" TargetMode="External"/><Relationship Id="rId19" Type="http://schemas.openxmlformats.org/officeDocument/2006/relationships/hyperlink" Target="mailto:sofiarodriguez258@gmail.com" TargetMode="External"/><Relationship Id="rId31" Type="http://schemas.openxmlformats.org/officeDocument/2006/relationships/hyperlink" Target="mailto:juan.ramirezra@habitatbogota.gov.co" TargetMode="External"/><Relationship Id="rId44" Type="http://schemas.openxmlformats.org/officeDocument/2006/relationships/hyperlink" Target="mailto:jenny.paloma@habitatbogota.gov.co" TargetMode="External"/><Relationship Id="rId52" Type="http://schemas.openxmlformats.org/officeDocument/2006/relationships/hyperlink" Target="mailto:adriana.bello@contraloriabogota.gov.co" TargetMode="External"/><Relationship Id="rId60" Type="http://schemas.openxmlformats.org/officeDocument/2006/relationships/hyperlink" Target="mailto:marisol.ballesteros@habitatbogota.gov.co" TargetMode="External"/><Relationship Id="rId65" Type="http://schemas.openxmlformats.org/officeDocument/2006/relationships/hyperlink" Target="mailto:diana.nino@habitatbogota.gov.co" TargetMode="External"/><Relationship Id="rId73" Type="http://schemas.openxmlformats.org/officeDocument/2006/relationships/hyperlink" Target="mailto:paula.encinales@habitatbogota.gov.co" TargetMode="External"/><Relationship Id="rId78" Type="http://schemas.openxmlformats.org/officeDocument/2006/relationships/hyperlink" Target="mailto:adriana.bello@contraloriabogota.gov.co" TargetMode="External"/><Relationship Id="rId81" Type="http://schemas.openxmlformats.org/officeDocument/2006/relationships/hyperlink" Target="mailto:manuel.valencia@habitatbogota.gov.co" TargetMode="External"/><Relationship Id="rId4" Type="http://schemas.openxmlformats.org/officeDocument/2006/relationships/hyperlink" Target="mailto:lady.suarez@habitatbogota.gov.co" TargetMode="External"/><Relationship Id="rId9" Type="http://schemas.openxmlformats.org/officeDocument/2006/relationships/hyperlink" Target="mailto:dnaiel.gomezf@habitatbogota.gov.co" TargetMode="External"/><Relationship Id="rId14" Type="http://schemas.openxmlformats.org/officeDocument/2006/relationships/hyperlink" Target="mailto:martha.duran@habitatbogota.gov.co" TargetMode="External"/><Relationship Id="rId22" Type="http://schemas.openxmlformats.org/officeDocument/2006/relationships/hyperlink" Target="mailto:moncada.manuel@habitatbogota.gov.co" TargetMode="External"/><Relationship Id="rId27" Type="http://schemas.openxmlformats.org/officeDocument/2006/relationships/hyperlink" Target="mailto:ruth290175@gmail.com" TargetMode="External"/><Relationship Id="rId30" Type="http://schemas.openxmlformats.org/officeDocument/2006/relationships/hyperlink" Target="mailto:noraya.neissa@habitatbogota.gov.co" TargetMode="External"/><Relationship Id="rId35" Type="http://schemas.openxmlformats.org/officeDocument/2006/relationships/hyperlink" Target="mailto:francisco.rodriguez@habitatbogota.gov.co" TargetMode="External"/><Relationship Id="rId43" Type="http://schemas.openxmlformats.org/officeDocument/2006/relationships/hyperlink" Target="mailto:jenny.paloma@habitatbogota.gov.co" TargetMode="External"/><Relationship Id="rId48" Type="http://schemas.openxmlformats.org/officeDocument/2006/relationships/hyperlink" Target="mailto:monica.veloza@habitatbogota.gov.co" TargetMode="External"/><Relationship Id="rId56" Type="http://schemas.openxmlformats.org/officeDocument/2006/relationships/hyperlink" Target="mailto:diego.lizarazo@habitatbogota.gov.co" TargetMode="External"/><Relationship Id="rId64" Type="http://schemas.openxmlformats.org/officeDocument/2006/relationships/hyperlink" Target="mailto:jenny.bueno@habitatbogota.gov.co" TargetMode="External"/><Relationship Id="rId69" Type="http://schemas.openxmlformats.org/officeDocument/2006/relationships/hyperlink" Target="mailto:veronica.chaparro@habitatbogota.gov.co" TargetMode="External"/><Relationship Id="rId77" Type="http://schemas.openxmlformats.org/officeDocument/2006/relationships/hyperlink" Target="mailto:edwin.ortiz@habitatbogota.gov.co" TargetMode="External"/><Relationship Id="rId8" Type="http://schemas.openxmlformats.org/officeDocument/2006/relationships/hyperlink" Target="mailto:daniela.bueno@habitatbogota.gov.co" TargetMode="External"/><Relationship Id="rId51" Type="http://schemas.openxmlformats.org/officeDocument/2006/relationships/hyperlink" Target="mailto:yulli.cardenas@contraloriabogota.gov.co" TargetMode="External"/><Relationship Id="rId72" Type="http://schemas.openxmlformats.org/officeDocument/2006/relationships/hyperlink" Target="mailto:contraloriadis@habitatbogota.gov.co" TargetMode="External"/><Relationship Id="rId80" Type="http://schemas.openxmlformats.org/officeDocument/2006/relationships/hyperlink" Target="mailto:ana.patino@habitatbogota.gov.co" TargetMode="External"/><Relationship Id="rId3" Type="http://schemas.openxmlformats.org/officeDocument/2006/relationships/hyperlink" Target="mailto:ctorresalejandro@gmail.com" TargetMode="External"/><Relationship Id="rId12" Type="http://schemas.openxmlformats.org/officeDocument/2006/relationships/hyperlink" Target="mailto:helizander.vera@habitatbogota.gov.co" TargetMode="External"/><Relationship Id="rId17" Type="http://schemas.openxmlformats.org/officeDocument/2006/relationships/hyperlink" Target="mailto:adria.mendez@habitatbogota.gov.co" TargetMode="External"/><Relationship Id="rId25" Type="http://schemas.openxmlformats.org/officeDocument/2006/relationships/hyperlink" Target="mailto:jinfante@contraloriabogota.gov.co" TargetMode="External"/><Relationship Id="rId33" Type="http://schemas.openxmlformats.org/officeDocument/2006/relationships/hyperlink" Target="mailto:sebastian.torres@habitatbogota.gov.co" TargetMode="External"/><Relationship Id="rId38" Type="http://schemas.openxmlformats.org/officeDocument/2006/relationships/hyperlink" Target="mailto:juan.caicedo@habitatbogota.gov.co" TargetMode="External"/><Relationship Id="rId46" Type="http://schemas.openxmlformats.org/officeDocument/2006/relationships/hyperlink" Target="mailto:liza.gruesso@habitatbogota.gov.co" TargetMode="External"/><Relationship Id="rId59" Type="http://schemas.openxmlformats.org/officeDocument/2006/relationships/hyperlink" Target="mailto:sonia.alfonso@habitatbogota.gov.co" TargetMode="External"/><Relationship Id="rId67" Type="http://schemas.openxmlformats.org/officeDocument/2006/relationships/hyperlink" Target="mailto:sebastian.torres@habitatbogota.gov.co" TargetMode="External"/><Relationship Id="rId20" Type="http://schemas.openxmlformats.org/officeDocument/2006/relationships/hyperlink" Target="mailto:yudy.sanchez@habitatbogota.gov.co" TargetMode="External"/><Relationship Id="rId41" Type="http://schemas.openxmlformats.org/officeDocument/2006/relationships/hyperlink" Target="mailto:daniel.castro@habitatbogota.gov.co" TargetMode="External"/><Relationship Id="rId54" Type="http://schemas.openxmlformats.org/officeDocument/2006/relationships/hyperlink" Target="mailto:cindy.valderrama@contraloriabogota.gov.co" TargetMode="External"/><Relationship Id="rId62" Type="http://schemas.openxmlformats.org/officeDocument/2006/relationships/hyperlink" Target="mailto:yeimy.ladino@habitatbogota.gov.co" TargetMode="External"/><Relationship Id="rId70" Type="http://schemas.openxmlformats.org/officeDocument/2006/relationships/hyperlink" Target="mailto:luz.hernandez@habitatbogota.gov.co" TargetMode="External"/><Relationship Id="rId75" Type="http://schemas.openxmlformats.org/officeDocument/2006/relationships/hyperlink" Target="mailto:miguel.romero@habitatbogota.gov.co" TargetMode="External"/><Relationship Id="rId1" Type="http://schemas.openxmlformats.org/officeDocument/2006/relationships/hyperlink" Target="mailto:mauricio.lievano@habitatbogota.gov.co" TargetMode="External"/><Relationship Id="rId6" Type="http://schemas.openxmlformats.org/officeDocument/2006/relationships/hyperlink" Target="mailto:miguelducuara@habitatbogota.gov.co" TargetMode="External"/><Relationship Id="rId15" Type="http://schemas.openxmlformats.org/officeDocument/2006/relationships/hyperlink" Target="mailto:laura.cruz@habitatbogota.gov.co" TargetMode="External"/><Relationship Id="rId23" Type="http://schemas.openxmlformats.org/officeDocument/2006/relationships/hyperlink" Target="mailto:fredi.munar@habitatbogota.gov.co" TargetMode="External"/><Relationship Id="rId28" Type="http://schemas.openxmlformats.org/officeDocument/2006/relationships/hyperlink" Target="mailto:erikaalejandra1614@gmail.com" TargetMode="External"/><Relationship Id="rId36" Type="http://schemas.openxmlformats.org/officeDocument/2006/relationships/hyperlink" Target="mailto:jhonmelgarejoc@gmail.com" TargetMode="External"/><Relationship Id="rId49" Type="http://schemas.openxmlformats.org/officeDocument/2006/relationships/hyperlink" Target="mailto:lucero.vera@habitatbogota.gov.co" TargetMode="External"/><Relationship Id="rId57" Type="http://schemas.openxmlformats.org/officeDocument/2006/relationships/hyperlink" Target="mailto:angie.suta@habitatbogota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89"/>
  <sheetViews>
    <sheetView zoomScale="90" zoomScaleNormal="90" workbookViewId="0">
      <pane ySplit="7" topLeftCell="A8" activePane="bottomLeft" state="frozen"/>
      <selection pane="bottomLeft" activeCell="B24" sqref="B24"/>
    </sheetView>
  </sheetViews>
  <sheetFormatPr baseColWidth="10" defaultColWidth="9.109375" defaultRowHeight="13.8" x14ac:dyDescent="0.25"/>
  <cols>
    <col min="1" max="1" width="8.44140625" style="14" customWidth="1"/>
    <col min="2" max="2" width="15.21875" style="14" bestFit="1" customWidth="1"/>
    <col min="3" max="3" width="51.5546875" style="11" bestFit="1" customWidth="1"/>
    <col min="4" max="4" width="51.5546875" style="11" customWidth="1"/>
    <col min="5" max="7" width="20" style="9" customWidth="1"/>
    <col min="8" max="9" width="20" style="15" customWidth="1"/>
    <col min="10" max="10" width="23.109375" style="11" bestFit="1" customWidth="1"/>
    <col min="11" max="11" width="17.44140625" style="11" bestFit="1" customWidth="1"/>
    <col min="12" max="16384" width="9.109375" style="11"/>
  </cols>
  <sheetData>
    <row r="3" spans="1:11" customFormat="1" ht="14.4" x14ac:dyDescent="0.3">
      <c r="A3" s="42" t="s">
        <v>2115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</row>
    <row r="7" spans="1:11" customFormat="1" ht="14.4" x14ac:dyDescent="0.3">
      <c r="A7" s="1" t="s">
        <v>2116</v>
      </c>
      <c r="B7" s="1" t="s">
        <v>2142</v>
      </c>
      <c r="C7" s="1" t="s">
        <v>2143</v>
      </c>
      <c r="D7" s="1" t="s">
        <v>2144</v>
      </c>
      <c r="E7" s="3" t="s">
        <v>2145</v>
      </c>
      <c r="F7" s="3" t="s">
        <v>2146</v>
      </c>
      <c r="G7" s="3" t="s">
        <v>3</v>
      </c>
      <c r="H7" s="4" t="s">
        <v>4</v>
      </c>
      <c r="I7" s="4" t="s">
        <v>5</v>
      </c>
      <c r="J7" s="2" t="s">
        <v>2113</v>
      </c>
      <c r="K7" s="2" t="s">
        <v>2114</v>
      </c>
    </row>
    <row r="8" spans="1:11" customFormat="1" ht="17.25" customHeight="1" x14ac:dyDescent="0.3">
      <c r="A8" s="16">
        <v>1</v>
      </c>
      <c r="B8" s="17">
        <v>52883834</v>
      </c>
      <c r="C8" s="17" t="s">
        <v>1482</v>
      </c>
      <c r="D8" s="6" t="s">
        <v>1338</v>
      </c>
      <c r="E8" s="17">
        <v>3204174797</v>
      </c>
      <c r="F8" s="8" t="s">
        <v>1484</v>
      </c>
      <c r="G8" s="23" t="s">
        <v>1483</v>
      </c>
      <c r="H8" s="18">
        <v>46036</v>
      </c>
      <c r="I8" s="18">
        <v>46247</v>
      </c>
      <c r="J8" s="19" t="s">
        <v>125</v>
      </c>
      <c r="K8" s="21" t="s">
        <v>2098</v>
      </c>
    </row>
    <row r="9" spans="1:11" customFormat="1" ht="14.4" x14ac:dyDescent="0.3">
      <c r="A9" s="16">
        <v>1</v>
      </c>
      <c r="B9" s="6">
        <v>80206130</v>
      </c>
      <c r="C9" s="17" t="s">
        <v>1486</v>
      </c>
      <c r="D9" s="6" t="s">
        <v>1562</v>
      </c>
      <c r="E9" s="6">
        <v>3208732659</v>
      </c>
      <c r="F9" s="8" t="s">
        <v>1488</v>
      </c>
      <c r="G9" s="12" t="s">
        <v>1487</v>
      </c>
      <c r="H9" s="7">
        <v>46027</v>
      </c>
      <c r="I9" s="7">
        <v>46238</v>
      </c>
      <c r="J9" t="s">
        <v>125</v>
      </c>
      <c r="K9" s="25" t="s">
        <v>2112</v>
      </c>
    </row>
    <row r="10" spans="1:11" customFormat="1" ht="15" customHeight="1" x14ac:dyDescent="0.3">
      <c r="A10" s="16">
        <v>1</v>
      </c>
      <c r="B10" s="17">
        <v>1026578164</v>
      </c>
      <c r="C10" s="17" t="s">
        <v>1226</v>
      </c>
      <c r="D10" s="6" t="s">
        <v>1229</v>
      </c>
      <c r="E10" s="17">
        <v>3192601606</v>
      </c>
      <c r="F10" s="8" t="s">
        <v>1228</v>
      </c>
      <c r="G10" s="23" t="s">
        <v>1227</v>
      </c>
      <c r="H10" s="18">
        <v>46042</v>
      </c>
      <c r="I10" s="18">
        <v>46314</v>
      </c>
      <c r="J10" s="19" t="s">
        <v>125</v>
      </c>
      <c r="K10" s="21" t="s">
        <v>2098</v>
      </c>
    </row>
    <row r="11" spans="1:11" customFormat="1" ht="14.4" x14ac:dyDescent="0.3">
      <c r="A11" s="16">
        <v>1</v>
      </c>
      <c r="B11" s="17">
        <v>1018466744</v>
      </c>
      <c r="C11" s="17" t="s">
        <v>1559</v>
      </c>
      <c r="D11" s="6" t="s">
        <v>1562</v>
      </c>
      <c r="E11" s="17">
        <v>3045210163</v>
      </c>
      <c r="F11" s="8" t="s">
        <v>1561</v>
      </c>
      <c r="G11" s="23" t="s">
        <v>1560</v>
      </c>
      <c r="H11" s="18">
        <v>46029</v>
      </c>
      <c r="I11" s="18">
        <v>46387</v>
      </c>
      <c r="J11" s="19" t="s">
        <v>125</v>
      </c>
      <c r="K11" s="22" t="s">
        <v>2098</v>
      </c>
    </row>
    <row r="12" spans="1:11" customFormat="1" ht="14.4" x14ac:dyDescent="0.3">
      <c r="A12" s="16">
        <v>1</v>
      </c>
      <c r="B12" s="6">
        <v>1015466109</v>
      </c>
      <c r="C12" s="17" t="s">
        <v>67</v>
      </c>
      <c r="D12" s="6" t="s">
        <v>256</v>
      </c>
      <c r="E12" s="6">
        <v>3057833039</v>
      </c>
      <c r="F12" s="8" t="s">
        <v>1590</v>
      </c>
      <c r="G12" s="12" t="s">
        <v>68</v>
      </c>
      <c r="H12" s="7">
        <v>46041</v>
      </c>
      <c r="I12" s="7">
        <v>46344</v>
      </c>
      <c r="J12" t="s">
        <v>125</v>
      </c>
      <c r="K12" s="25" t="s">
        <v>2112</v>
      </c>
    </row>
    <row r="13" spans="1:11" ht="14.4" x14ac:dyDescent="0.3">
      <c r="A13" s="16">
        <v>1</v>
      </c>
      <c r="B13" s="6">
        <v>79652526</v>
      </c>
      <c r="C13" s="17" t="s">
        <v>1549</v>
      </c>
      <c r="D13" s="6" t="s">
        <v>270</v>
      </c>
      <c r="E13" s="6">
        <v>3108160084</v>
      </c>
      <c r="F13" s="8" t="s">
        <v>1551</v>
      </c>
      <c r="G13" s="6" t="s">
        <v>1550</v>
      </c>
      <c r="H13" s="7">
        <v>46049</v>
      </c>
      <c r="I13" s="7">
        <v>46343</v>
      </c>
      <c r="J13" t="s">
        <v>125</v>
      </c>
      <c r="K13" s="25" t="s">
        <v>2112</v>
      </c>
    </row>
    <row r="14" spans="1:11" ht="14.4" x14ac:dyDescent="0.3">
      <c r="A14" s="16">
        <v>1</v>
      </c>
      <c r="B14" s="6">
        <v>1010162896</v>
      </c>
      <c r="C14" s="17" t="s">
        <v>1456</v>
      </c>
      <c r="D14" s="6" t="s">
        <v>500</v>
      </c>
      <c r="E14" s="6">
        <v>3195918577</v>
      </c>
      <c r="F14" s="8" t="s">
        <v>1452</v>
      </c>
      <c r="G14" s="6" t="s">
        <v>20</v>
      </c>
      <c r="H14" s="7" t="s">
        <v>20</v>
      </c>
      <c r="I14" s="7" t="s">
        <v>20</v>
      </c>
      <c r="J14" t="s">
        <v>119</v>
      </c>
      <c r="K14" s="25" t="s">
        <v>2112</v>
      </c>
    </row>
    <row r="15" spans="1:11" ht="14.4" x14ac:dyDescent="0.3">
      <c r="A15" s="16">
        <v>1</v>
      </c>
      <c r="B15" s="6">
        <v>80047722</v>
      </c>
      <c r="C15" s="17" t="s">
        <v>1579</v>
      </c>
      <c r="D15" s="17" t="s">
        <v>299</v>
      </c>
      <c r="E15" s="6">
        <v>3902662039</v>
      </c>
      <c r="F15" s="8" t="s">
        <v>1581</v>
      </c>
      <c r="G15" s="12" t="s">
        <v>1580</v>
      </c>
      <c r="H15" s="7">
        <v>46035</v>
      </c>
      <c r="I15" s="7">
        <v>46387</v>
      </c>
      <c r="J15" t="s">
        <v>125</v>
      </c>
      <c r="K15" s="25" t="s">
        <v>2112</v>
      </c>
    </row>
    <row r="16" spans="1:11" ht="14.4" x14ac:dyDescent="0.3">
      <c r="A16" s="16">
        <v>1</v>
      </c>
      <c r="B16" s="6">
        <v>1010196411</v>
      </c>
      <c r="C16" s="17" t="s">
        <v>1621</v>
      </c>
      <c r="D16" s="6" t="s">
        <v>1843</v>
      </c>
      <c r="E16" s="6">
        <v>3125945407</v>
      </c>
      <c r="F16" s="8" t="s">
        <v>1619</v>
      </c>
      <c r="G16" s="12" t="s">
        <v>1618</v>
      </c>
      <c r="H16" s="7">
        <v>46027</v>
      </c>
      <c r="I16" s="7">
        <v>46242</v>
      </c>
      <c r="J16" t="s">
        <v>125</v>
      </c>
      <c r="K16" s="25" t="s">
        <v>2112</v>
      </c>
    </row>
    <row r="17" spans="1:11" ht="14.4" x14ac:dyDescent="0.3">
      <c r="A17" s="16">
        <v>1</v>
      </c>
      <c r="B17" s="6">
        <v>80755333</v>
      </c>
      <c r="C17" s="17" t="s">
        <v>1236</v>
      </c>
      <c r="D17" s="6" t="s">
        <v>256</v>
      </c>
      <c r="E17" s="6">
        <v>3115901496</v>
      </c>
      <c r="F17" s="8" t="s">
        <v>1238</v>
      </c>
      <c r="G17" s="12" t="s">
        <v>1237</v>
      </c>
      <c r="H17" s="7">
        <v>46049</v>
      </c>
      <c r="I17" s="7">
        <v>46230</v>
      </c>
      <c r="J17" t="s">
        <v>125</v>
      </c>
      <c r="K17" s="25" t="s">
        <v>2112</v>
      </c>
    </row>
    <row r="18" spans="1:11" ht="14.4" x14ac:dyDescent="0.3">
      <c r="A18" s="16">
        <v>1</v>
      </c>
      <c r="B18" s="17">
        <v>13741047</v>
      </c>
      <c r="C18" s="17" t="s">
        <v>543</v>
      </c>
      <c r="D18" s="6" t="s">
        <v>1905</v>
      </c>
      <c r="E18" s="17">
        <v>3108128412</v>
      </c>
      <c r="F18" s="8" t="s">
        <v>545</v>
      </c>
      <c r="G18" s="23" t="s">
        <v>544</v>
      </c>
      <c r="H18" s="18">
        <v>46029</v>
      </c>
      <c r="I18" s="18">
        <v>46363</v>
      </c>
      <c r="J18" s="19" t="s">
        <v>125</v>
      </c>
      <c r="K18" s="21" t="s">
        <v>2098</v>
      </c>
    </row>
    <row r="19" spans="1:11" ht="14.4" x14ac:dyDescent="0.3">
      <c r="A19" s="16">
        <v>1</v>
      </c>
      <c r="B19" s="17">
        <v>1106892760</v>
      </c>
      <c r="C19" s="17" t="s">
        <v>410</v>
      </c>
      <c r="D19" s="17" t="s">
        <v>1667</v>
      </c>
      <c r="E19" s="17">
        <v>3015168315</v>
      </c>
      <c r="F19" s="8" t="s">
        <v>412</v>
      </c>
      <c r="G19" s="23" t="s">
        <v>411</v>
      </c>
      <c r="H19" s="18">
        <v>46031</v>
      </c>
      <c r="I19" s="18">
        <v>46387</v>
      </c>
      <c r="J19" s="19" t="s">
        <v>125</v>
      </c>
      <c r="K19" s="21" t="s">
        <v>2098</v>
      </c>
    </row>
    <row r="20" spans="1:11" ht="14.4" x14ac:dyDescent="0.3">
      <c r="A20" s="16">
        <v>1</v>
      </c>
      <c r="B20" s="17">
        <v>1012383494</v>
      </c>
      <c r="C20" s="17" t="s">
        <v>1222</v>
      </c>
      <c r="D20" s="6" t="s">
        <v>201</v>
      </c>
      <c r="E20" s="17">
        <v>3124369221</v>
      </c>
      <c r="F20" s="8" t="s">
        <v>1224</v>
      </c>
      <c r="G20" s="23" t="s">
        <v>1223</v>
      </c>
      <c r="H20" s="18">
        <v>46029</v>
      </c>
      <c r="I20" s="18">
        <v>46387</v>
      </c>
      <c r="J20" s="19" t="s">
        <v>125</v>
      </c>
      <c r="K20" s="21" t="s">
        <v>2098</v>
      </c>
    </row>
    <row r="21" spans="1:11" ht="14.4" x14ac:dyDescent="0.3">
      <c r="A21" s="16">
        <v>1</v>
      </c>
      <c r="B21" s="17">
        <v>1020806493</v>
      </c>
      <c r="C21" s="17" t="s">
        <v>978</v>
      </c>
      <c r="D21" s="6" t="s">
        <v>201</v>
      </c>
      <c r="E21" s="17">
        <v>3115008521</v>
      </c>
      <c r="F21" s="8" t="s">
        <v>980</v>
      </c>
      <c r="G21" s="23" t="s">
        <v>979</v>
      </c>
      <c r="H21" s="18">
        <v>46041</v>
      </c>
      <c r="I21" s="18">
        <v>46387</v>
      </c>
      <c r="J21" s="19" t="s">
        <v>125</v>
      </c>
      <c r="K21" s="22" t="s">
        <v>2098</v>
      </c>
    </row>
    <row r="22" spans="1:11" ht="14.4" x14ac:dyDescent="0.3">
      <c r="A22" s="16">
        <v>1</v>
      </c>
      <c r="B22" s="6">
        <v>1010222069</v>
      </c>
      <c r="C22" s="17" t="s">
        <v>87</v>
      </c>
      <c r="D22" s="6" t="s">
        <v>1905</v>
      </c>
      <c r="E22" s="6">
        <v>3106664184</v>
      </c>
      <c r="F22" s="8" t="s">
        <v>89</v>
      </c>
      <c r="G22" s="6" t="s">
        <v>88</v>
      </c>
      <c r="H22" s="7">
        <v>46378</v>
      </c>
      <c r="I22" s="7">
        <v>46255</v>
      </c>
      <c r="J22" s="9" t="s">
        <v>125</v>
      </c>
      <c r="K22" s="25" t="s">
        <v>2112</v>
      </c>
    </row>
    <row r="23" spans="1:11" ht="14.4" x14ac:dyDescent="0.3">
      <c r="A23" s="16">
        <v>1</v>
      </c>
      <c r="B23" s="17">
        <v>80019944</v>
      </c>
      <c r="C23" s="17" t="s">
        <v>1497</v>
      </c>
      <c r="D23" s="6" t="s">
        <v>434</v>
      </c>
      <c r="E23" s="17">
        <v>3015363830</v>
      </c>
      <c r="F23" s="8" t="s">
        <v>1499</v>
      </c>
      <c r="G23" s="23" t="s">
        <v>1498</v>
      </c>
      <c r="H23" s="18">
        <v>46038</v>
      </c>
      <c r="I23" s="18">
        <v>46387</v>
      </c>
      <c r="J23" s="19" t="s">
        <v>125</v>
      </c>
      <c r="K23" s="21" t="s">
        <v>2098</v>
      </c>
    </row>
    <row r="24" spans="1:11" ht="14.4" x14ac:dyDescent="0.3">
      <c r="A24" s="16">
        <v>1</v>
      </c>
      <c r="B24" s="6">
        <v>79595346</v>
      </c>
      <c r="C24" s="17" t="s">
        <v>1433</v>
      </c>
      <c r="D24" s="6" t="s">
        <v>500</v>
      </c>
      <c r="E24" s="6">
        <v>3174775788</v>
      </c>
      <c r="F24" s="8" t="s">
        <v>1435</v>
      </c>
      <c r="G24" s="6" t="s">
        <v>1434</v>
      </c>
      <c r="H24" s="7">
        <v>46055</v>
      </c>
      <c r="I24" s="7">
        <v>46387</v>
      </c>
      <c r="J24" t="s">
        <v>125</v>
      </c>
      <c r="K24" s="25" t="s">
        <v>2112</v>
      </c>
    </row>
    <row r="25" spans="1:11" ht="14.4" x14ac:dyDescent="0.3">
      <c r="A25" s="16">
        <v>1</v>
      </c>
      <c r="B25" s="17">
        <v>1026261037</v>
      </c>
      <c r="C25" s="17" t="s">
        <v>1728</v>
      </c>
      <c r="D25" s="6" t="s">
        <v>1905</v>
      </c>
      <c r="E25" s="17">
        <v>3005775183</v>
      </c>
      <c r="F25" s="8" t="s">
        <v>1730</v>
      </c>
      <c r="G25" s="17" t="s">
        <v>1729</v>
      </c>
      <c r="H25" s="18">
        <v>46031</v>
      </c>
      <c r="I25" s="18">
        <v>46351</v>
      </c>
      <c r="J25" s="19" t="s">
        <v>125</v>
      </c>
      <c r="K25" s="21" t="s">
        <v>2098</v>
      </c>
    </row>
    <row r="26" spans="1:11" ht="14.4" x14ac:dyDescent="0.3">
      <c r="A26" s="16">
        <v>1</v>
      </c>
      <c r="B26" s="6">
        <v>1022984445</v>
      </c>
      <c r="C26" s="17" t="s">
        <v>1462</v>
      </c>
      <c r="D26" s="6" t="s">
        <v>201</v>
      </c>
      <c r="E26" s="6">
        <v>3053862189</v>
      </c>
      <c r="F26" s="8" t="s">
        <v>1464</v>
      </c>
      <c r="G26" s="6" t="s">
        <v>1463</v>
      </c>
      <c r="H26" s="7">
        <v>46048</v>
      </c>
      <c r="I26" s="7">
        <v>46173</v>
      </c>
      <c r="J26" t="s">
        <v>125</v>
      </c>
      <c r="K26" s="25" t="s">
        <v>2112</v>
      </c>
    </row>
    <row r="27" spans="1:11" ht="14.4" x14ac:dyDescent="0.3">
      <c r="A27" s="16">
        <v>1</v>
      </c>
      <c r="B27" s="17">
        <v>29120343</v>
      </c>
      <c r="C27" s="17" t="s">
        <v>860</v>
      </c>
      <c r="D27" s="6" t="s">
        <v>500</v>
      </c>
      <c r="E27" s="17">
        <v>3017861952</v>
      </c>
      <c r="F27" s="8" t="s">
        <v>862</v>
      </c>
      <c r="G27" s="23" t="s">
        <v>861</v>
      </c>
      <c r="H27" s="18">
        <v>46031</v>
      </c>
      <c r="I27" s="18">
        <v>46387</v>
      </c>
      <c r="J27" s="19" t="s">
        <v>125</v>
      </c>
      <c r="K27" s="21" t="s">
        <v>2098</v>
      </c>
    </row>
    <row r="28" spans="1:11" ht="14.4" x14ac:dyDescent="0.3">
      <c r="A28" s="16">
        <v>1</v>
      </c>
      <c r="B28" s="17">
        <v>4228842</v>
      </c>
      <c r="C28" s="17" t="s">
        <v>1526</v>
      </c>
      <c r="D28" s="6" t="s">
        <v>1562</v>
      </c>
      <c r="E28" s="17">
        <v>3045528065</v>
      </c>
      <c r="F28" s="8" t="s">
        <v>1527</v>
      </c>
      <c r="G28" s="17" t="s">
        <v>20</v>
      </c>
      <c r="H28" s="18" t="s">
        <v>20</v>
      </c>
      <c r="I28" s="18" t="s">
        <v>20</v>
      </c>
      <c r="J28" s="19" t="s">
        <v>119</v>
      </c>
      <c r="K28" s="21" t="s">
        <v>2098</v>
      </c>
    </row>
    <row r="29" spans="1:11" ht="14.4" x14ac:dyDescent="0.3">
      <c r="A29" s="16">
        <v>1</v>
      </c>
      <c r="B29" s="17">
        <v>80061648</v>
      </c>
      <c r="C29" s="17" t="s">
        <v>1517</v>
      </c>
      <c r="D29" s="6" t="s">
        <v>270</v>
      </c>
      <c r="E29" s="17">
        <v>3103076693</v>
      </c>
      <c r="F29" s="8" t="s">
        <v>1519</v>
      </c>
      <c r="G29" s="17" t="s">
        <v>1518</v>
      </c>
      <c r="H29" s="18">
        <v>46043</v>
      </c>
      <c r="I29" s="18">
        <v>46224</v>
      </c>
      <c r="J29" s="19" t="s">
        <v>125</v>
      </c>
      <c r="K29" s="21" t="s">
        <v>2098</v>
      </c>
    </row>
    <row r="30" spans="1:11" ht="14.4" x14ac:dyDescent="0.3">
      <c r="A30" s="16">
        <v>1</v>
      </c>
      <c r="B30" s="17">
        <v>1019007970</v>
      </c>
      <c r="C30" s="17" t="s">
        <v>1278</v>
      </c>
      <c r="D30" s="6" t="s">
        <v>742</v>
      </c>
      <c r="E30" s="17">
        <v>3017193730</v>
      </c>
      <c r="F30" s="8" t="s">
        <v>1268</v>
      </c>
      <c r="G30" s="6" t="s">
        <v>20</v>
      </c>
      <c r="H30" s="7" t="s">
        <v>20</v>
      </c>
      <c r="I30" s="7" t="s">
        <v>20</v>
      </c>
      <c r="J30" s="19" t="s">
        <v>1280</v>
      </c>
      <c r="K30" s="21" t="s">
        <v>2098</v>
      </c>
    </row>
    <row r="31" spans="1:11" ht="14.4" x14ac:dyDescent="0.3">
      <c r="A31" s="16">
        <v>1</v>
      </c>
      <c r="B31" s="17">
        <v>1001090013</v>
      </c>
      <c r="C31" s="17" t="s">
        <v>584</v>
      </c>
      <c r="D31" s="6" t="s">
        <v>587</v>
      </c>
      <c r="E31" s="17">
        <v>3214308705</v>
      </c>
      <c r="F31" s="8" t="s">
        <v>586</v>
      </c>
      <c r="G31" s="23" t="s">
        <v>585</v>
      </c>
      <c r="H31" s="18">
        <v>46041</v>
      </c>
      <c r="I31" s="18">
        <v>46387</v>
      </c>
      <c r="J31" s="19" t="s">
        <v>125</v>
      </c>
      <c r="K31" s="21" t="s">
        <v>2098</v>
      </c>
    </row>
    <row r="32" spans="1:11" ht="14.4" x14ac:dyDescent="0.3">
      <c r="A32" s="16">
        <v>1</v>
      </c>
      <c r="B32" s="24">
        <v>45361037</v>
      </c>
      <c r="C32" s="24" t="s">
        <v>1847</v>
      </c>
      <c r="D32" s="6" t="s">
        <v>434</v>
      </c>
      <c r="E32" s="24">
        <v>3015351260</v>
      </c>
      <c r="F32" s="8" t="s">
        <v>1849</v>
      </c>
      <c r="G32" s="17" t="s">
        <v>1848</v>
      </c>
      <c r="H32" s="18">
        <v>46048</v>
      </c>
      <c r="I32" s="18">
        <v>46198</v>
      </c>
      <c r="J32" s="19" t="s">
        <v>125</v>
      </c>
      <c r="K32" s="21" t="s">
        <v>2098</v>
      </c>
    </row>
    <row r="33" spans="1:11" ht="14.4" x14ac:dyDescent="0.3">
      <c r="A33" s="16">
        <v>1</v>
      </c>
      <c r="B33" s="6">
        <v>53006917</v>
      </c>
      <c r="C33" s="17" t="s">
        <v>130</v>
      </c>
      <c r="D33" s="6" t="s">
        <v>1229</v>
      </c>
      <c r="E33" s="6">
        <v>3124527312</v>
      </c>
      <c r="F33" s="8" t="s">
        <v>131</v>
      </c>
      <c r="G33" s="6" t="s">
        <v>20</v>
      </c>
      <c r="H33" s="7" t="s">
        <v>20</v>
      </c>
      <c r="I33" s="7" t="s">
        <v>20</v>
      </c>
      <c r="J33" t="s">
        <v>119</v>
      </c>
      <c r="K33" s="25" t="s">
        <v>2112</v>
      </c>
    </row>
    <row r="34" spans="1:11" ht="14.4" x14ac:dyDescent="0.3">
      <c r="A34" s="16">
        <v>1</v>
      </c>
      <c r="B34" s="6">
        <v>39698825</v>
      </c>
      <c r="C34" s="17" t="s">
        <v>613</v>
      </c>
      <c r="D34" s="6" t="s">
        <v>1843</v>
      </c>
      <c r="E34" s="6">
        <v>3103341145</v>
      </c>
      <c r="F34" s="8" t="s">
        <v>615</v>
      </c>
      <c r="G34" s="12" t="s">
        <v>614</v>
      </c>
      <c r="H34" s="7">
        <v>46045</v>
      </c>
      <c r="I34" s="7">
        <v>46256</v>
      </c>
      <c r="J34" t="s">
        <v>125</v>
      </c>
      <c r="K34" s="25" t="s">
        <v>2112</v>
      </c>
    </row>
    <row r="35" spans="1:11" ht="14.4" x14ac:dyDescent="0.3">
      <c r="A35" s="16">
        <v>1</v>
      </c>
      <c r="B35" s="17">
        <v>37396460</v>
      </c>
      <c r="C35" s="17" t="s">
        <v>39</v>
      </c>
      <c r="D35" s="6" t="s">
        <v>256</v>
      </c>
      <c r="E35" s="17">
        <v>3045452585</v>
      </c>
      <c r="F35" s="8" t="s">
        <v>41</v>
      </c>
      <c r="G35" s="17" t="s">
        <v>40</v>
      </c>
      <c r="H35" s="18">
        <v>46038</v>
      </c>
      <c r="I35" s="18">
        <v>46264</v>
      </c>
      <c r="J35" s="19" t="s">
        <v>125</v>
      </c>
      <c r="K35" s="21" t="s">
        <v>2098</v>
      </c>
    </row>
    <row r="36" spans="1:11" ht="14.4" x14ac:dyDescent="0.3">
      <c r="A36" s="16">
        <v>1</v>
      </c>
      <c r="B36" s="6">
        <v>5770982</v>
      </c>
      <c r="C36" s="17" t="s">
        <v>798</v>
      </c>
      <c r="D36" s="17" t="s">
        <v>1667</v>
      </c>
      <c r="E36" s="6">
        <v>3164707235</v>
      </c>
      <c r="F36" s="8" t="s">
        <v>800</v>
      </c>
      <c r="G36" s="12" t="s">
        <v>799</v>
      </c>
      <c r="H36" s="7">
        <v>46048</v>
      </c>
      <c r="I36" s="7">
        <v>46371</v>
      </c>
      <c r="J36" t="s">
        <v>125</v>
      </c>
      <c r="K36" s="25" t="s">
        <v>2112</v>
      </c>
    </row>
    <row r="37" spans="1:11" ht="14.4" x14ac:dyDescent="0.3">
      <c r="A37" s="16">
        <v>1</v>
      </c>
      <c r="B37" s="6">
        <v>1020789222</v>
      </c>
      <c r="C37" s="17" t="s">
        <v>2088</v>
      </c>
      <c r="D37" s="6" t="s">
        <v>1960</v>
      </c>
      <c r="E37" s="6">
        <v>3116441544</v>
      </c>
      <c r="F37" s="8" t="s">
        <v>2089</v>
      </c>
      <c r="G37" s="12" t="s">
        <v>20</v>
      </c>
      <c r="H37" s="12" t="s">
        <v>20</v>
      </c>
      <c r="I37" s="12" t="s">
        <v>20</v>
      </c>
      <c r="J37" t="s">
        <v>119</v>
      </c>
      <c r="K37" s="25" t="s">
        <v>2112</v>
      </c>
    </row>
    <row r="38" spans="1:11" ht="14.4" x14ac:dyDescent="0.3">
      <c r="A38" s="16">
        <v>1</v>
      </c>
      <c r="B38" s="17">
        <v>1019025949</v>
      </c>
      <c r="C38" s="17" t="s">
        <v>1197</v>
      </c>
      <c r="D38" s="17" t="s">
        <v>299</v>
      </c>
      <c r="E38" s="17">
        <v>3134801116</v>
      </c>
      <c r="F38" s="8" t="s">
        <v>1199</v>
      </c>
      <c r="G38" s="23" t="s">
        <v>1198</v>
      </c>
      <c r="H38" s="18">
        <v>46044</v>
      </c>
      <c r="I38" s="18">
        <v>46225</v>
      </c>
      <c r="J38" s="19" t="s">
        <v>125</v>
      </c>
      <c r="K38" s="21" t="s">
        <v>2098</v>
      </c>
    </row>
    <row r="39" spans="1:11" ht="14.4" x14ac:dyDescent="0.3">
      <c r="A39" s="16">
        <v>1</v>
      </c>
      <c r="B39" s="6">
        <v>52963778</v>
      </c>
      <c r="C39" s="17" t="s">
        <v>1713</v>
      </c>
      <c r="D39" s="6" t="s">
        <v>1716</v>
      </c>
      <c r="E39" s="6">
        <v>3118530471</v>
      </c>
      <c r="F39" s="8" t="s">
        <v>1715</v>
      </c>
      <c r="G39" s="6" t="s">
        <v>1714</v>
      </c>
      <c r="H39" s="7">
        <v>46031</v>
      </c>
      <c r="I39" s="7">
        <v>46387</v>
      </c>
      <c r="J39" t="s">
        <v>125</v>
      </c>
      <c r="K39" s="25" t="s">
        <v>2112</v>
      </c>
    </row>
    <row r="40" spans="1:11" ht="14.4" x14ac:dyDescent="0.3">
      <c r="A40" s="16">
        <v>1</v>
      </c>
      <c r="B40" s="6">
        <v>1017140531</v>
      </c>
      <c r="C40" s="17" t="s">
        <v>370</v>
      </c>
      <c r="D40" s="6" t="s">
        <v>325</v>
      </c>
      <c r="E40" s="6">
        <v>3006972526</v>
      </c>
      <c r="F40" s="8" t="s">
        <v>372</v>
      </c>
      <c r="G40" s="12" t="s">
        <v>371</v>
      </c>
      <c r="H40" s="7">
        <v>46035</v>
      </c>
      <c r="I40" s="7">
        <v>46387</v>
      </c>
      <c r="J40" t="s">
        <v>125</v>
      </c>
      <c r="K40" s="25" t="s">
        <v>2112</v>
      </c>
    </row>
    <row r="41" spans="1:11" ht="14.4" x14ac:dyDescent="0.3">
      <c r="A41" s="16">
        <v>1</v>
      </c>
      <c r="B41" s="6">
        <v>79756851</v>
      </c>
      <c r="C41" s="17" t="s">
        <v>2019</v>
      </c>
      <c r="D41" s="6" t="s">
        <v>500</v>
      </c>
      <c r="E41" s="6">
        <v>3108874878</v>
      </c>
      <c r="F41" s="8" t="s">
        <v>2020</v>
      </c>
      <c r="G41" s="6" t="s">
        <v>20</v>
      </c>
      <c r="H41" s="6" t="s">
        <v>20</v>
      </c>
      <c r="I41" s="6" t="s">
        <v>20</v>
      </c>
      <c r="J41" s="28" t="s">
        <v>119</v>
      </c>
      <c r="K41" s="25" t="s">
        <v>2112</v>
      </c>
    </row>
    <row r="42" spans="1:11" ht="14.4" x14ac:dyDescent="0.3">
      <c r="A42" s="16">
        <v>1</v>
      </c>
      <c r="B42" s="6">
        <v>1014230598</v>
      </c>
      <c r="C42" s="17" t="s">
        <v>375</v>
      </c>
      <c r="D42" s="6" t="s">
        <v>325</v>
      </c>
      <c r="E42" s="6">
        <v>3114873933</v>
      </c>
      <c r="F42" s="8" t="s">
        <v>377</v>
      </c>
      <c r="G42" s="12" t="s">
        <v>376</v>
      </c>
      <c r="H42" s="7">
        <v>46038</v>
      </c>
      <c r="I42" s="7">
        <v>46387</v>
      </c>
      <c r="J42" t="s">
        <v>125</v>
      </c>
      <c r="K42" s="25" t="s">
        <v>2112</v>
      </c>
    </row>
    <row r="43" spans="1:11" ht="14.4" x14ac:dyDescent="0.3">
      <c r="A43" s="16">
        <v>1</v>
      </c>
      <c r="B43" s="6">
        <v>10288931</v>
      </c>
      <c r="C43" s="17" t="s">
        <v>684</v>
      </c>
      <c r="D43" s="6" t="s">
        <v>1716</v>
      </c>
      <c r="E43" s="6">
        <v>3176767882</v>
      </c>
      <c r="F43" s="8" t="s">
        <v>686</v>
      </c>
      <c r="G43" s="12" t="s">
        <v>685</v>
      </c>
      <c r="H43" s="7">
        <v>46041</v>
      </c>
      <c r="I43" s="7">
        <v>46252</v>
      </c>
      <c r="J43" t="s">
        <v>125</v>
      </c>
      <c r="K43" s="25" t="s">
        <v>2112</v>
      </c>
    </row>
    <row r="44" spans="1:11" ht="14.4" x14ac:dyDescent="0.3">
      <c r="A44" s="16">
        <v>1</v>
      </c>
      <c r="B44" s="6">
        <v>15958519</v>
      </c>
      <c r="C44" s="17" t="s">
        <v>1533</v>
      </c>
      <c r="D44" s="6" t="s">
        <v>270</v>
      </c>
      <c r="E44" s="6">
        <v>3102286082</v>
      </c>
      <c r="F44" s="8" t="s">
        <v>1534</v>
      </c>
      <c r="G44" s="6" t="s">
        <v>20</v>
      </c>
      <c r="H44" s="7" t="s">
        <v>20</v>
      </c>
      <c r="I44" s="7" t="s">
        <v>20</v>
      </c>
      <c r="J44" t="s">
        <v>119</v>
      </c>
      <c r="K44" s="25" t="s">
        <v>2112</v>
      </c>
    </row>
    <row r="45" spans="1:11" ht="14.4" x14ac:dyDescent="0.3">
      <c r="A45" s="16">
        <v>1</v>
      </c>
      <c r="B45" s="6">
        <v>80268446</v>
      </c>
      <c r="C45" s="17" t="s">
        <v>1079</v>
      </c>
      <c r="D45" s="6" t="s">
        <v>2110</v>
      </c>
      <c r="E45" s="6">
        <v>3157902737</v>
      </c>
      <c r="F45" s="8" t="s">
        <v>1081</v>
      </c>
      <c r="G45" s="6" t="s">
        <v>1080</v>
      </c>
      <c r="H45" s="7">
        <v>46049</v>
      </c>
      <c r="I45" s="7">
        <v>46387</v>
      </c>
      <c r="J45" t="s">
        <v>125</v>
      </c>
      <c r="K45" s="25" t="s">
        <v>2112</v>
      </c>
    </row>
    <row r="46" spans="1:11" ht="14.4" x14ac:dyDescent="0.3">
      <c r="A46" s="16">
        <v>1</v>
      </c>
      <c r="B46" s="6">
        <v>1020767847</v>
      </c>
      <c r="C46" s="17" t="s">
        <v>345</v>
      </c>
      <c r="D46" s="6" t="s">
        <v>325</v>
      </c>
      <c r="E46" s="6">
        <v>3213712008</v>
      </c>
      <c r="F46" s="8" t="s">
        <v>347</v>
      </c>
      <c r="G46" s="12" t="s">
        <v>346</v>
      </c>
      <c r="H46" s="7">
        <v>46051</v>
      </c>
      <c r="I46" s="7">
        <v>46387</v>
      </c>
      <c r="J46" t="s">
        <v>125</v>
      </c>
      <c r="K46" s="25" t="s">
        <v>2112</v>
      </c>
    </row>
    <row r="47" spans="1:11" ht="14.4" x14ac:dyDescent="0.3">
      <c r="A47" s="16">
        <v>1</v>
      </c>
      <c r="B47" s="17">
        <v>49606615</v>
      </c>
      <c r="C47" s="17" t="s">
        <v>454</v>
      </c>
      <c r="D47" s="6" t="s">
        <v>270</v>
      </c>
      <c r="E47" s="17">
        <v>3017008600</v>
      </c>
      <c r="F47" s="8" t="s">
        <v>456</v>
      </c>
      <c r="G47" s="23" t="s">
        <v>455</v>
      </c>
      <c r="H47" s="18">
        <v>46044</v>
      </c>
      <c r="I47" s="18">
        <v>46225</v>
      </c>
      <c r="J47" s="19" t="s">
        <v>125</v>
      </c>
      <c r="K47" s="21" t="s">
        <v>2098</v>
      </c>
    </row>
    <row r="48" spans="1:11" ht="14.4" x14ac:dyDescent="0.3">
      <c r="A48" s="16">
        <v>1</v>
      </c>
      <c r="B48" s="6">
        <v>52226898</v>
      </c>
      <c r="C48" s="17" t="s">
        <v>1143</v>
      </c>
      <c r="D48" s="6" t="s">
        <v>587</v>
      </c>
      <c r="E48" s="6">
        <v>3112818293</v>
      </c>
      <c r="F48" s="8" t="s">
        <v>1145</v>
      </c>
      <c r="G48" s="12" t="s">
        <v>1144</v>
      </c>
      <c r="H48" s="7">
        <v>46035</v>
      </c>
      <c r="I48" s="7">
        <v>46387</v>
      </c>
      <c r="J48" t="s">
        <v>125</v>
      </c>
      <c r="K48" s="25" t="s">
        <v>2112</v>
      </c>
    </row>
    <row r="49" spans="1:11" ht="14.4" x14ac:dyDescent="0.3">
      <c r="A49" s="16">
        <v>1</v>
      </c>
      <c r="B49" s="6">
        <v>52454937</v>
      </c>
      <c r="C49" s="17" t="s">
        <v>2093</v>
      </c>
      <c r="D49" s="6" t="s">
        <v>325</v>
      </c>
      <c r="E49" s="6">
        <v>3124328572</v>
      </c>
      <c r="F49" s="8" t="s">
        <v>2095</v>
      </c>
      <c r="G49" s="12" t="s">
        <v>2094</v>
      </c>
      <c r="H49" s="7">
        <v>46055</v>
      </c>
      <c r="I49" s="7">
        <v>46387</v>
      </c>
      <c r="J49" s="28" t="s">
        <v>125</v>
      </c>
      <c r="K49" s="25" t="s">
        <v>2112</v>
      </c>
    </row>
    <row r="50" spans="1:11" ht="14.4" x14ac:dyDescent="0.3">
      <c r="A50" s="16">
        <v>1</v>
      </c>
      <c r="B50" s="6">
        <v>1014307682</v>
      </c>
      <c r="C50" s="17" t="s">
        <v>1651</v>
      </c>
      <c r="D50" s="6" t="s">
        <v>201</v>
      </c>
      <c r="E50" s="6">
        <v>3044372347</v>
      </c>
      <c r="F50" s="8" t="s">
        <v>1653</v>
      </c>
      <c r="G50" s="6" t="s">
        <v>1652</v>
      </c>
      <c r="H50" s="7">
        <v>46042</v>
      </c>
      <c r="I50" s="7">
        <v>46387</v>
      </c>
      <c r="J50" t="s">
        <v>125</v>
      </c>
      <c r="K50" s="25" t="s">
        <v>2112</v>
      </c>
    </row>
    <row r="51" spans="1:11" ht="14.4" x14ac:dyDescent="0.3">
      <c r="A51" s="16">
        <v>1</v>
      </c>
      <c r="B51" s="6">
        <v>1013579971</v>
      </c>
      <c r="C51" s="17" t="s">
        <v>1345</v>
      </c>
      <c r="D51" s="17" t="s">
        <v>1041</v>
      </c>
      <c r="E51" s="6">
        <v>3017566072</v>
      </c>
      <c r="F51" s="8" t="s">
        <v>1347</v>
      </c>
      <c r="G51" s="12" t="s">
        <v>1346</v>
      </c>
      <c r="H51" s="7">
        <v>46049</v>
      </c>
      <c r="I51" s="7">
        <v>46229</v>
      </c>
      <c r="J51" t="s">
        <v>125</v>
      </c>
      <c r="K51" s="25" t="s">
        <v>2112</v>
      </c>
    </row>
    <row r="52" spans="1:11" ht="14.4" x14ac:dyDescent="0.3">
      <c r="A52" s="16">
        <v>1</v>
      </c>
      <c r="B52" s="17">
        <v>1032419051</v>
      </c>
      <c r="C52" s="17" t="s">
        <v>1974</v>
      </c>
      <c r="D52" s="6" t="s">
        <v>201</v>
      </c>
      <c r="E52" s="17">
        <v>3167537379</v>
      </c>
      <c r="F52" s="8" t="s">
        <v>1976</v>
      </c>
      <c r="G52" s="17" t="s">
        <v>1975</v>
      </c>
      <c r="H52" s="18">
        <v>46101</v>
      </c>
      <c r="I52" s="18">
        <v>46387</v>
      </c>
      <c r="J52" s="19" t="s">
        <v>125</v>
      </c>
      <c r="K52" s="22" t="s">
        <v>2098</v>
      </c>
    </row>
    <row r="53" spans="1:11" ht="14.4" x14ac:dyDescent="0.3">
      <c r="A53" s="16">
        <v>1</v>
      </c>
      <c r="B53" s="6">
        <v>52387578</v>
      </c>
      <c r="C53" s="17" t="s">
        <v>390</v>
      </c>
      <c r="D53" s="6" t="s">
        <v>325</v>
      </c>
      <c r="E53" s="6">
        <v>3208638990</v>
      </c>
      <c r="F53" s="8" t="s">
        <v>392</v>
      </c>
      <c r="G53" s="12" t="s">
        <v>391</v>
      </c>
      <c r="H53" s="7">
        <v>46035</v>
      </c>
      <c r="I53" s="7">
        <v>46387</v>
      </c>
      <c r="J53" t="s">
        <v>125</v>
      </c>
      <c r="K53" s="25" t="s">
        <v>2112</v>
      </c>
    </row>
    <row r="54" spans="1:11" ht="14.4" x14ac:dyDescent="0.3">
      <c r="A54" s="16">
        <v>1</v>
      </c>
      <c r="B54" s="6">
        <v>1018455944</v>
      </c>
      <c r="C54" s="17" t="s">
        <v>1732</v>
      </c>
      <c r="D54" s="17" t="s">
        <v>1041</v>
      </c>
      <c r="E54" s="6">
        <v>3208010259</v>
      </c>
      <c r="F54" s="8" t="s">
        <v>1734</v>
      </c>
      <c r="G54" s="6" t="s">
        <v>1733</v>
      </c>
      <c r="H54" s="7">
        <v>46045</v>
      </c>
      <c r="I54" s="7">
        <v>46234</v>
      </c>
      <c r="J54" t="s">
        <v>125</v>
      </c>
      <c r="K54" s="25" t="s">
        <v>2112</v>
      </c>
    </row>
    <row r="55" spans="1:11" ht="14.4" x14ac:dyDescent="0.3">
      <c r="A55" s="16">
        <v>1</v>
      </c>
      <c r="B55" s="6">
        <v>52212145</v>
      </c>
      <c r="C55" s="17" t="s">
        <v>216</v>
      </c>
      <c r="D55" s="6" t="s">
        <v>201</v>
      </c>
      <c r="E55" s="6">
        <v>3195138463</v>
      </c>
      <c r="F55" s="8" t="s">
        <v>218</v>
      </c>
      <c r="G55" s="12" t="s">
        <v>217</v>
      </c>
      <c r="H55" s="7">
        <v>46038</v>
      </c>
      <c r="I55" s="7">
        <v>46386</v>
      </c>
      <c r="J55" t="s">
        <v>125</v>
      </c>
      <c r="K55" s="25" t="s">
        <v>2112</v>
      </c>
    </row>
    <row r="56" spans="1:11" ht="14.4" x14ac:dyDescent="0.3">
      <c r="A56" s="16">
        <v>1</v>
      </c>
      <c r="B56" s="6">
        <v>1010187540</v>
      </c>
      <c r="C56" s="17" t="s">
        <v>254</v>
      </c>
      <c r="D56" s="6" t="s">
        <v>256</v>
      </c>
      <c r="E56" s="6">
        <v>3118045214</v>
      </c>
      <c r="F56" s="8" t="s">
        <v>255</v>
      </c>
      <c r="G56" s="6" t="s">
        <v>20</v>
      </c>
      <c r="H56" s="7" t="s">
        <v>20</v>
      </c>
      <c r="I56" s="7" t="s">
        <v>20</v>
      </c>
      <c r="J56" t="s">
        <v>119</v>
      </c>
      <c r="K56" s="25" t="s">
        <v>2112</v>
      </c>
    </row>
    <row r="57" spans="1:11" ht="14.4" x14ac:dyDescent="0.3">
      <c r="A57" s="16">
        <v>1</v>
      </c>
      <c r="B57" s="6">
        <v>80136470</v>
      </c>
      <c r="C57" s="17" t="s">
        <v>395</v>
      </c>
      <c r="D57" s="6" t="s">
        <v>500</v>
      </c>
      <c r="E57" s="6">
        <v>3008532732</v>
      </c>
      <c r="F57" s="8" t="s">
        <v>397</v>
      </c>
      <c r="G57" s="12" t="s">
        <v>396</v>
      </c>
      <c r="H57" s="7">
        <v>46041</v>
      </c>
      <c r="I57" s="7">
        <v>46387</v>
      </c>
      <c r="J57" t="s">
        <v>125</v>
      </c>
      <c r="K57" s="25" t="s">
        <v>2112</v>
      </c>
    </row>
    <row r="58" spans="1:11" ht="14.4" x14ac:dyDescent="0.3">
      <c r="A58" s="16">
        <v>1</v>
      </c>
      <c r="B58" s="6">
        <v>1010033134</v>
      </c>
      <c r="C58" s="17" t="s">
        <v>991</v>
      </c>
      <c r="D58" s="6" t="s">
        <v>325</v>
      </c>
      <c r="E58" s="6">
        <v>3184658662</v>
      </c>
      <c r="F58" s="8" t="s">
        <v>993</v>
      </c>
      <c r="G58" s="12" t="s">
        <v>992</v>
      </c>
      <c r="H58" s="7">
        <v>46049</v>
      </c>
      <c r="I58" s="7">
        <v>46387</v>
      </c>
      <c r="J58" t="s">
        <v>125</v>
      </c>
      <c r="K58" s="25" t="s">
        <v>2112</v>
      </c>
    </row>
    <row r="59" spans="1:11" ht="14.4" x14ac:dyDescent="0.3">
      <c r="A59" s="16">
        <v>1</v>
      </c>
      <c r="B59" s="6">
        <v>1018492612</v>
      </c>
      <c r="C59" s="17" t="s">
        <v>1138</v>
      </c>
      <c r="D59" s="6" t="s">
        <v>1843</v>
      </c>
      <c r="E59" s="6">
        <v>3213001212</v>
      </c>
      <c r="F59" s="8" t="s">
        <v>1140</v>
      </c>
      <c r="G59" s="12" t="s">
        <v>1139</v>
      </c>
      <c r="H59" s="7">
        <v>46044</v>
      </c>
      <c r="I59" s="7">
        <v>46224</v>
      </c>
      <c r="J59" t="s">
        <v>125</v>
      </c>
      <c r="K59" s="25" t="s">
        <v>2112</v>
      </c>
    </row>
    <row r="60" spans="1:11" ht="14.4" x14ac:dyDescent="0.3">
      <c r="A60" s="16">
        <v>1</v>
      </c>
      <c r="B60" s="13">
        <v>1012453976</v>
      </c>
      <c r="C60" s="24" t="s">
        <v>1822</v>
      </c>
      <c r="D60" s="6" t="s">
        <v>1825</v>
      </c>
      <c r="E60" s="13">
        <v>3016500846</v>
      </c>
      <c r="F60" s="8" t="s">
        <v>1824</v>
      </c>
      <c r="G60" s="6" t="s">
        <v>1823</v>
      </c>
      <c r="H60" s="7">
        <v>46042</v>
      </c>
      <c r="I60" s="7">
        <v>46387</v>
      </c>
      <c r="J60" t="s">
        <v>125</v>
      </c>
      <c r="K60" s="25" t="s">
        <v>2112</v>
      </c>
    </row>
    <row r="61" spans="1:11" ht="14.4" x14ac:dyDescent="0.3">
      <c r="A61" s="16">
        <v>1</v>
      </c>
      <c r="B61" s="6">
        <v>1918513898</v>
      </c>
      <c r="C61" s="17" t="s">
        <v>101</v>
      </c>
      <c r="D61" s="6" t="s">
        <v>1338</v>
      </c>
      <c r="E61" s="6">
        <v>3102710234</v>
      </c>
      <c r="F61" s="8" t="s">
        <v>103</v>
      </c>
      <c r="G61" s="6" t="s">
        <v>102</v>
      </c>
      <c r="H61" s="7">
        <v>46041</v>
      </c>
      <c r="I61" s="7">
        <v>46252</v>
      </c>
      <c r="J61" s="9" t="s">
        <v>125</v>
      </c>
      <c r="K61" s="25" t="s">
        <v>2112</v>
      </c>
    </row>
    <row r="62" spans="1:11" ht="14.4" x14ac:dyDescent="0.3">
      <c r="A62" s="16">
        <v>1</v>
      </c>
      <c r="B62" s="6">
        <v>79867029</v>
      </c>
      <c r="C62" s="17" t="s">
        <v>1103</v>
      </c>
      <c r="D62" s="6" t="s">
        <v>1006</v>
      </c>
      <c r="E62" s="6">
        <v>3157310092</v>
      </c>
      <c r="F62" s="8" t="s">
        <v>1105</v>
      </c>
      <c r="G62" s="12" t="s">
        <v>1104</v>
      </c>
      <c r="H62" s="7">
        <v>46035</v>
      </c>
      <c r="I62" s="7">
        <v>46384</v>
      </c>
      <c r="J62" t="s">
        <v>125</v>
      </c>
      <c r="K62" s="25" t="s">
        <v>2112</v>
      </c>
    </row>
    <row r="63" spans="1:11" ht="14.4" x14ac:dyDescent="0.3">
      <c r="A63" s="16">
        <v>1</v>
      </c>
      <c r="B63" s="6">
        <v>52243622</v>
      </c>
      <c r="C63" s="17" t="s">
        <v>1330</v>
      </c>
      <c r="D63" s="6" t="s">
        <v>500</v>
      </c>
      <c r="E63" s="6">
        <v>3108833639</v>
      </c>
      <c r="F63" s="8" t="s">
        <v>1332</v>
      </c>
      <c r="G63" s="12" t="s">
        <v>1331</v>
      </c>
      <c r="H63" s="7">
        <v>46038</v>
      </c>
      <c r="I63" s="7">
        <v>46387</v>
      </c>
      <c r="J63" t="s">
        <v>125</v>
      </c>
      <c r="K63" s="25" t="s">
        <v>2112</v>
      </c>
    </row>
    <row r="64" spans="1:11" ht="14.4" x14ac:dyDescent="0.3">
      <c r="A64" s="16">
        <v>1</v>
      </c>
      <c r="B64" s="6">
        <v>52918998</v>
      </c>
      <c r="C64" s="17" t="s">
        <v>147</v>
      </c>
      <c r="D64" s="6" t="s">
        <v>500</v>
      </c>
      <c r="E64" s="6">
        <v>3118191247</v>
      </c>
      <c r="F64" s="8" t="s">
        <v>149</v>
      </c>
      <c r="G64" s="12" t="s">
        <v>148</v>
      </c>
      <c r="H64" s="7">
        <v>46030</v>
      </c>
      <c r="I64" s="7">
        <v>46387</v>
      </c>
      <c r="J64" t="s">
        <v>125</v>
      </c>
      <c r="K64" s="25" t="s">
        <v>2112</v>
      </c>
    </row>
    <row r="65" spans="1:11" ht="14.4" x14ac:dyDescent="0.3">
      <c r="A65" s="16">
        <v>1</v>
      </c>
      <c r="B65" s="6">
        <v>1022360944</v>
      </c>
      <c r="C65" s="17" t="s">
        <v>1066</v>
      </c>
      <c r="D65" s="6" t="s">
        <v>2109</v>
      </c>
      <c r="E65" s="6">
        <v>3208648492</v>
      </c>
      <c r="F65" s="8" t="s">
        <v>1068</v>
      </c>
      <c r="G65" s="12" t="s">
        <v>1067</v>
      </c>
      <c r="H65" s="7">
        <v>46042</v>
      </c>
      <c r="I65" s="7">
        <v>46387</v>
      </c>
      <c r="J65" t="s">
        <v>125</v>
      </c>
      <c r="K65" s="25" t="s">
        <v>2112</v>
      </c>
    </row>
    <row r="66" spans="1:11" ht="14.4" x14ac:dyDescent="0.3">
      <c r="A66" s="16">
        <v>1</v>
      </c>
      <c r="B66" s="6">
        <v>1032400206</v>
      </c>
      <c r="C66" s="17" t="s">
        <v>598</v>
      </c>
      <c r="D66" s="6" t="s">
        <v>1843</v>
      </c>
      <c r="E66" s="6">
        <v>1032400206</v>
      </c>
      <c r="F66" s="8" t="s">
        <v>600</v>
      </c>
      <c r="G66" s="12" t="s">
        <v>599</v>
      </c>
      <c r="H66" s="7">
        <v>46029</v>
      </c>
      <c r="I66" s="7">
        <v>46387</v>
      </c>
      <c r="J66" t="s">
        <v>125</v>
      </c>
      <c r="K66" s="25" t="s">
        <v>2112</v>
      </c>
    </row>
    <row r="67" spans="1:11" ht="14.4" x14ac:dyDescent="0.3">
      <c r="A67" s="16">
        <v>1</v>
      </c>
      <c r="B67" s="6">
        <v>1026302501</v>
      </c>
      <c r="C67" s="17" t="s">
        <v>1119</v>
      </c>
      <c r="D67" s="6" t="s">
        <v>270</v>
      </c>
      <c r="E67" s="6">
        <v>3164900097</v>
      </c>
      <c r="F67" s="8" t="s">
        <v>1121</v>
      </c>
      <c r="G67" s="6" t="s">
        <v>1120</v>
      </c>
      <c r="H67" s="7">
        <v>46042</v>
      </c>
      <c r="I67" s="7">
        <v>46223</v>
      </c>
      <c r="J67" t="s">
        <v>125</v>
      </c>
      <c r="K67" s="25" t="s">
        <v>2112</v>
      </c>
    </row>
    <row r="68" spans="1:11" ht="14.4" x14ac:dyDescent="0.3">
      <c r="A68" s="16">
        <v>1</v>
      </c>
      <c r="B68" s="6">
        <v>1030623723</v>
      </c>
      <c r="C68" s="17" t="s">
        <v>1364</v>
      </c>
      <c r="D68" s="6" t="s">
        <v>325</v>
      </c>
      <c r="E68" s="6">
        <v>3118427497</v>
      </c>
      <c r="F68" s="8" t="s">
        <v>1366</v>
      </c>
      <c r="G68" s="12" t="s">
        <v>1365</v>
      </c>
      <c r="H68" s="7">
        <v>46049</v>
      </c>
      <c r="I68" s="7">
        <v>46387</v>
      </c>
      <c r="J68" t="s">
        <v>125</v>
      </c>
      <c r="K68" s="25" t="s">
        <v>2112</v>
      </c>
    </row>
    <row r="69" spans="1:11" ht="14.4" x14ac:dyDescent="0.3">
      <c r="A69" s="16">
        <v>1</v>
      </c>
      <c r="B69" s="6">
        <v>1015444843</v>
      </c>
      <c r="C69" s="17" t="s">
        <v>609</v>
      </c>
      <c r="D69" s="6" t="s">
        <v>587</v>
      </c>
      <c r="E69" s="6">
        <v>3104810937</v>
      </c>
      <c r="F69" s="8" t="s">
        <v>611</v>
      </c>
      <c r="G69" s="12" t="s">
        <v>610</v>
      </c>
      <c r="H69" s="7">
        <v>46036</v>
      </c>
      <c r="I69" s="7">
        <v>46340</v>
      </c>
      <c r="J69" t="s">
        <v>125</v>
      </c>
      <c r="K69" s="25" t="s">
        <v>2112</v>
      </c>
    </row>
    <row r="70" spans="1:11" ht="14.4" x14ac:dyDescent="0.3">
      <c r="A70" s="16">
        <v>1</v>
      </c>
      <c r="B70" s="6">
        <v>1024568532</v>
      </c>
      <c r="C70" s="17" t="s">
        <v>1341</v>
      </c>
      <c r="D70" s="6" t="s">
        <v>2109</v>
      </c>
      <c r="E70" s="6">
        <v>3124438269</v>
      </c>
      <c r="F70" s="8" t="s">
        <v>1343</v>
      </c>
      <c r="G70" s="12" t="s">
        <v>1342</v>
      </c>
      <c r="H70" s="7">
        <v>46038</v>
      </c>
      <c r="I70" s="7">
        <v>46369</v>
      </c>
      <c r="J70" t="s">
        <v>125</v>
      </c>
      <c r="K70" s="25" t="s">
        <v>2112</v>
      </c>
    </row>
    <row r="71" spans="1:11" ht="14.4" x14ac:dyDescent="0.3">
      <c r="A71" s="16">
        <v>1</v>
      </c>
      <c r="B71" s="13">
        <v>1070977964</v>
      </c>
      <c r="C71" s="24" t="s">
        <v>1867</v>
      </c>
      <c r="D71" s="6" t="s">
        <v>434</v>
      </c>
      <c r="E71" s="13">
        <v>3209654372</v>
      </c>
      <c r="F71" s="8" t="s">
        <v>1869</v>
      </c>
      <c r="G71" s="6" t="s">
        <v>1868</v>
      </c>
      <c r="H71" s="7">
        <v>46044</v>
      </c>
      <c r="I71" s="7">
        <v>46225</v>
      </c>
      <c r="J71" t="s">
        <v>125</v>
      </c>
      <c r="K71" s="25" t="s">
        <v>2112</v>
      </c>
    </row>
    <row r="72" spans="1:11" ht="14.4" x14ac:dyDescent="0.3">
      <c r="A72" s="16">
        <v>1</v>
      </c>
      <c r="B72" s="6">
        <v>1140847934</v>
      </c>
      <c r="C72" s="17" t="s">
        <v>939</v>
      </c>
      <c r="D72" s="6" t="s">
        <v>1338</v>
      </c>
      <c r="E72" s="6">
        <v>3002719624</v>
      </c>
      <c r="F72" s="8" t="s">
        <v>941</v>
      </c>
      <c r="G72" s="6" t="s">
        <v>940</v>
      </c>
      <c r="H72" s="7">
        <v>46036</v>
      </c>
      <c r="I72" s="7">
        <v>46251</v>
      </c>
      <c r="J72" t="s">
        <v>125</v>
      </c>
      <c r="K72" s="25" t="s">
        <v>2112</v>
      </c>
    </row>
    <row r="73" spans="1:11" ht="14.4" x14ac:dyDescent="0.3">
      <c r="A73" s="16">
        <v>1</v>
      </c>
      <c r="B73" s="6">
        <v>52086502</v>
      </c>
      <c r="C73" s="17" t="s">
        <v>1308</v>
      </c>
      <c r="D73" s="6" t="s">
        <v>1843</v>
      </c>
      <c r="E73" s="6">
        <v>3006008179</v>
      </c>
      <c r="F73" s="8" t="s">
        <v>1310</v>
      </c>
      <c r="G73" s="12" t="s">
        <v>1309</v>
      </c>
      <c r="H73" s="7">
        <v>46049</v>
      </c>
      <c r="I73" s="7">
        <v>46382</v>
      </c>
      <c r="J73" t="s">
        <v>125</v>
      </c>
      <c r="K73" s="25" t="s">
        <v>2112</v>
      </c>
    </row>
    <row r="74" spans="1:11" ht="14.4" x14ac:dyDescent="0.3">
      <c r="A74" s="16">
        <v>1</v>
      </c>
      <c r="B74" s="6">
        <v>1018482735</v>
      </c>
      <c r="C74" s="17" t="s">
        <v>1012</v>
      </c>
      <c r="D74" s="6" t="s">
        <v>2111</v>
      </c>
      <c r="E74" s="6">
        <v>3125685518</v>
      </c>
      <c r="F74" s="8" t="s">
        <v>1014</v>
      </c>
      <c r="G74" s="12" t="s">
        <v>1013</v>
      </c>
      <c r="H74" s="7">
        <v>46042</v>
      </c>
      <c r="I74" s="7">
        <v>46375</v>
      </c>
      <c r="J74" t="s">
        <v>125</v>
      </c>
      <c r="K74" s="25" t="s">
        <v>2112</v>
      </c>
    </row>
    <row r="75" spans="1:11" ht="14.4" x14ac:dyDescent="0.3">
      <c r="A75" s="16">
        <v>1</v>
      </c>
      <c r="B75" s="6">
        <v>1012397431</v>
      </c>
      <c r="C75" s="17" t="s">
        <v>1271</v>
      </c>
      <c r="D75" s="6" t="s">
        <v>742</v>
      </c>
      <c r="E75" s="6">
        <v>3024240848</v>
      </c>
      <c r="F75" s="8" t="s">
        <v>1268</v>
      </c>
      <c r="G75" s="6" t="s">
        <v>20</v>
      </c>
      <c r="H75" s="7" t="s">
        <v>20</v>
      </c>
      <c r="I75" s="7" t="s">
        <v>20</v>
      </c>
      <c r="J75" s="19" t="s">
        <v>1280</v>
      </c>
      <c r="K75" s="25" t="s">
        <v>2112</v>
      </c>
    </row>
    <row r="76" spans="1:11" ht="14.4" x14ac:dyDescent="0.3">
      <c r="A76" s="16">
        <v>1</v>
      </c>
      <c r="B76" s="6">
        <v>1233895766</v>
      </c>
      <c r="C76" s="17" t="s">
        <v>678</v>
      </c>
      <c r="D76" s="6" t="s">
        <v>500</v>
      </c>
      <c r="E76" s="6">
        <v>3013641971</v>
      </c>
      <c r="F76" s="8" t="s">
        <v>680</v>
      </c>
      <c r="G76" s="6" t="s">
        <v>679</v>
      </c>
      <c r="H76" s="7">
        <v>46045</v>
      </c>
      <c r="I76" s="7">
        <v>46387</v>
      </c>
      <c r="J76" t="s">
        <v>125</v>
      </c>
      <c r="K76" s="25" t="s">
        <v>2112</v>
      </c>
    </row>
    <row r="77" spans="1:11" ht="14.4" x14ac:dyDescent="0.3">
      <c r="A77" s="16">
        <v>1</v>
      </c>
      <c r="B77" s="6">
        <v>80084377</v>
      </c>
      <c r="C77" s="17" t="s">
        <v>301</v>
      </c>
      <c r="D77" s="6" t="s">
        <v>201</v>
      </c>
      <c r="E77" s="6">
        <v>3142180093</v>
      </c>
      <c r="F77" s="8" t="s">
        <v>303</v>
      </c>
      <c r="G77" s="12" t="s">
        <v>302</v>
      </c>
      <c r="H77" s="7">
        <v>46030</v>
      </c>
      <c r="I77" s="7">
        <v>46387</v>
      </c>
      <c r="J77" t="s">
        <v>125</v>
      </c>
      <c r="K77" s="25" t="s">
        <v>2112</v>
      </c>
    </row>
    <row r="78" spans="1:11" ht="14.4" x14ac:dyDescent="0.3">
      <c r="A78" s="16">
        <v>1</v>
      </c>
      <c r="B78" s="6">
        <v>80135858</v>
      </c>
      <c r="C78" s="17" t="s">
        <v>1675</v>
      </c>
      <c r="D78" s="17" t="s">
        <v>299</v>
      </c>
      <c r="E78" s="6">
        <v>3138863236</v>
      </c>
      <c r="F78" s="8" t="s">
        <v>1677</v>
      </c>
      <c r="G78" s="6" t="s">
        <v>1676</v>
      </c>
      <c r="H78" s="7">
        <v>46031</v>
      </c>
      <c r="I78" s="7">
        <v>46387</v>
      </c>
      <c r="J78" t="s">
        <v>125</v>
      </c>
      <c r="K78" s="25" t="s">
        <v>2112</v>
      </c>
    </row>
    <row r="79" spans="1:11" ht="14.4" x14ac:dyDescent="0.3">
      <c r="A79" s="16">
        <v>1</v>
      </c>
      <c r="B79" s="6">
        <v>79316881</v>
      </c>
      <c r="C79" s="17" t="s">
        <v>1685</v>
      </c>
      <c r="D79" s="6" t="s">
        <v>434</v>
      </c>
      <c r="E79" s="6">
        <v>3158688113</v>
      </c>
      <c r="F79" s="8" t="s">
        <v>1686</v>
      </c>
      <c r="G79" s="6" t="s">
        <v>740</v>
      </c>
      <c r="H79" s="7">
        <v>46044</v>
      </c>
      <c r="I79" s="7">
        <v>46387</v>
      </c>
      <c r="J79" t="s">
        <v>125</v>
      </c>
      <c r="K79" s="25" t="s">
        <v>2112</v>
      </c>
    </row>
    <row r="80" spans="1:11" ht="14.4" x14ac:dyDescent="0.3">
      <c r="A80" s="16">
        <v>1</v>
      </c>
      <c r="B80" s="6">
        <v>79383437</v>
      </c>
      <c r="C80" s="17" t="s">
        <v>335</v>
      </c>
      <c r="D80" s="6" t="s">
        <v>325</v>
      </c>
      <c r="E80" s="6">
        <v>3156440350</v>
      </c>
      <c r="F80" s="8" t="s">
        <v>336</v>
      </c>
      <c r="G80" s="6" t="s">
        <v>20</v>
      </c>
      <c r="H80" s="7" t="s">
        <v>20</v>
      </c>
      <c r="I80" s="7" t="s">
        <v>20</v>
      </c>
      <c r="J80" t="s">
        <v>119</v>
      </c>
      <c r="K80" s="25" t="s">
        <v>2112</v>
      </c>
    </row>
    <row r="81" spans="1:11" ht="14.4" x14ac:dyDescent="0.3">
      <c r="A81" s="16">
        <v>1</v>
      </c>
      <c r="B81" s="17">
        <v>1051980148</v>
      </c>
      <c r="C81" s="17" t="s">
        <v>1941</v>
      </c>
      <c r="D81" s="6" t="s">
        <v>1229</v>
      </c>
      <c r="E81" s="17">
        <v>3188362196</v>
      </c>
      <c r="F81" s="8" t="s">
        <v>1943</v>
      </c>
      <c r="G81" s="17" t="s">
        <v>1942</v>
      </c>
      <c r="H81" s="18">
        <v>46041</v>
      </c>
      <c r="I81" s="18">
        <v>46375</v>
      </c>
      <c r="J81" s="19" t="s">
        <v>125</v>
      </c>
      <c r="K81" s="22" t="s">
        <v>2098</v>
      </c>
    </row>
    <row r="82" spans="1:11" ht="14.4" x14ac:dyDescent="0.3">
      <c r="A82" s="16">
        <v>1</v>
      </c>
      <c r="B82" s="6">
        <v>80154998</v>
      </c>
      <c r="C82" s="17" t="s">
        <v>698</v>
      </c>
      <c r="D82" s="6" t="s">
        <v>1006</v>
      </c>
      <c r="E82" s="6">
        <v>3102136875</v>
      </c>
      <c r="F82" s="8" t="s">
        <v>700</v>
      </c>
      <c r="G82" s="12" t="s">
        <v>699</v>
      </c>
      <c r="H82" s="7">
        <v>46036</v>
      </c>
      <c r="I82" s="7">
        <v>46387</v>
      </c>
      <c r="J82" t="s">
        <v>125</v>
      </c>
      <c r="K82" s="25" t="s">
        <v>2112</v>
      </c>
    </row>
    <row r="83" spans="1:11" ht="14.4" x14ac:dyDescent="0.3">
      <c r="A83" s="16">
        <v>1</v>
      </c>
      <c r="B83" s="6">
        <v>79920331</v>
      </c>
      <c r="C83" s="17" t="s">
        <v>1295</v>
      </c>
      <c r="D83" s="6" t="s">
        <v>256</v>
      </c>
      <c r="E83" s="6">
        <v>3134028913</v>
      </c>
      <c r="F83" s="8" t="s">
        <v>1297</v>
      </c>
      <c r="G83" s="12" t="s">
        <v>1296</v>
      </c>
      <c r="H83" s="7">
        <v>46048</v>
      </c>
      <c r="I83" s="7">
        <v>46291</v>
      </c>
      <c r="J83" t="s">
        <v>125</v>
      </c>
      <c r="K83" s="25" t="s">
        <v>2112</v>
      </c>
    </row>
    <row r="84" spans="1:11" ht="14.4" x14ac:dyDescent="0.3">
      <c r="A84" s="16">
        <v>1</v>
      </c>
      <c r="B84" s="6">
        <v>80129534</v>
      </c>
      <c r="C84" s="17" t="s">
        <v>912</v>
      </c>
      <c r="D84" s="6" t="s">
        <v>500</v>
      </c>
      <c r="E84" s="6">
        <v>3212687523</v>
      </c>
      <c r="F84" s="8" t="s">
        <v>914</v>
      </c>
      <c r="G84" s="12" t="s">
        <v>913</v>
      </c>
      <c r="H84" s="7">
        <v>46038</v>
      </c>
      <c r="I84" s="7">
        <v>46387</v>
      </c>
      <c r="J84" t="s">
        <v>125</v>
      </c>
      <c r="K84" s="25" t="s">
        <v>2112</v>
      </c>
    </row>
    <row r="85" spans="1:11" ht="14.4" x14ac:dyDescent="0.3">
      <c r="A85" s="16">
        <v>1</v>
      </c>
      <c r="B85" s="6">
        <v>9975124</v>
      </c>
      <c r="C85" s="17" t="s">
        <v>172</v>
      </c>
      <c r="D85" s="6" t="s">
        <v>1353</v>
      </c>
      <c r="E85" s="6">
        <v>3164571547</v>
      </c>
      <c r="F85" s="8" t="s">
        <v>174</v>
      </c>
      <c r="G85" s="6" t="s">
        <v>173</v>
      </c>
      <c r="H85" s="7">
        <v>46042</v>
      </c>
      <c r="I85" s="7">
        <v>46217</v>
      </c>
      <c r="J85" t="s">
        <v>125</v>
      </c>
      <c r="K85" s="25" t="s">
        <v>2112</v>
      </c>
    </row>
    <row r="86" spans="1:11" ht="14.4" x14ac:dyDescent="0.3">
      <c r="A86" s="16">
        <v>1</v>
      </c>
      <c r="B86" s="6">
        <v>1026277669</v>
      </c>
      <c r="C86" s="17" t="s">
        <v>1723</v>
      </c>
      <c r="D86" s="17" t="s">
        <v>1667</v>
      </c>
      <c r="E86" s="6">
        <v>3177773377</v>
      </c>
      <c r="F86" s="8" t="s">
        <v>1725</v>
      </c>
      <c r="G86" s="6" t="s">
        <v>1724</v>
      </c>
      <c r="H86" s="7">
        <v>46049</v>
      </c>
      <c r="I86" s="7">
        <v>46291</v>
      </c>
      <c r="J86" t="s">
        <v>125</v>
      </c>
      <c r="K86" s="25" t="s">
        <v>2112</v>
      </c>
    </row>
    <row r="87" spans="1:11" ht="14.4" x14ac:dyDescent="0.3">
      <c r="A87" s="16">
        <v>1</v>
      </c>
      <c r="B87" s="6">
        <v>91238271</v>
      </c>
      <c r="C87" s="17" t="s">
        <v>414</v>
      </c>
      <c r="D87" s="17" t="s">
        <v>1667</v>
      </c>
      <c r="E87" s="6">
        <v>3002000265</v>
      </c>
      <c r="F87" s="8" t="s">
        <v>416</v>
      </c>
      <c r="G87" s="12" t="s">
        <v>415</v>
      </c>
      <c r="H87" s="7">
        <v>46031</v>
      </c>
      <c r="I87" s="7">
        <v>46387</v>
      </c>
      <c r="J87" t="s">
        <v>125</v>
      </c>
      <c r="K87" s="25" t="s">
        <v>2112</v>
      </c>
    </row>
    <row r="88" spans="1:11" ht="14.4" x14ac:dyDescent="0.3">
      <c r="A88" s="16">
        <v>1</v>
      </c>
      <c r="B88" s="6">
        <v>79910378</v>
      </c>
      <c r="C88" s="17" t="s">
        <v>178</v>
      </c>
      <c r="D88" s="6" t="s">
        <v>1716</v>
      </c>
      <c r="E88" s="6">
        <v>3016460457</v>
      </c>
      <c r="F88" s="8" t="s">
        <v>180</v>
      </c>
      <c r="G88" s="12" t="s">
        <v>179</v>
      </c>
      <c r="H88" s="7">
        <v>46028</v>
      </c>
      <c r="I88" s="7">
        <v>46387</v>
      </c>
      <c r="J88" t="s">
        <v>125</v>
      </c>
      <c r="K88" s="25" t="s">
        <v>2112</v>
      </c>
    </row>
    <row r="89" spans="1:11" ht="14.4" x14ac:dyDescent="0.3">
      <c r="A89" s="16">
        <v>1</v>
      </c>
      <c r="B89" s="6">
        <v>7725270</v>
      </c>
      <c r="C89" s="17" t="s">
        <v>2024</v>
      </c>
      <c r="D89" s="6" t="s">
        <v>325</v>
      </c>
      <c r="E89" s="6">
        <v>3168321067</v>
      </c>
      <c r="F89" s="8" t="s">
        <v>2025</v>
      </c>
      <c r="G89" s="12" t="s">
        <v>757</v>
      </c>
      <c r="H89" s="7">
        <v>46048</v>
      </c>
      <c r="I89" s="7">
        <v>46290</v>
      </c>
      <c r="J89" t="s">
        <v>125</v>
      </c>
      <c r="K89" s="25" t="s">
        <v>2112</v>
      </c>
    </row>
    <row r="90" spans="1:11" ht="14.4" x14ac:dyDescent="0.3">
      <c r="A90" s="16">
        <v>1</v>
      </c>
      <c r="B90" s="6">
        <v>1010196659</v>
      </c>
      <c r="C90" s="17" t="s">
        <v>864</v>
      </c>
      <c r="D90" s="6" t="s">
        <v>500</v>
      </c>
      <c r="E90" s="6">
        <v>3213057575</v>
      </c>
      <c r="F90" s="8" t="s">
        <v>866</v>
      </c>
      <c r="G90" s="12" t="s">
        <v>865</v>
      </c>
      <c r="H90" s="7">
        <v>46041</v>
      </c>
      <c r="I90" s="7">
        <v>46387</v>
      </c>
      <c r="J90" t="s">
        <v>125</v>
      </c>
      <c r="K90" s="25" t="s">
        <v>2112</v>
      </c>
    </row>
    <row r="91" spans="1:11" ht="14.4" x14ac:dyDescent="0.3">
      <c r="A91" s="16">
        <v>1</v>
      </c>
      <c r="B91" s="6">
        <v>1019005047</v>
      </c>
      <c r="C91" s="17" t="s">
        <v>1022</v>
      </c>
      <c r="D91" s="6" t="s">
        <v>325</v>
      </c>
      <c r="E91" s="6">
        <v>3183890213</v>
      </c>
      <c r="F91" s="8" t="s">
        <v>1024</v>
      </c>
      <c r="G91" s="6" t="s">
        <v>1023</v>
      </c>
      <c r="H91" s="7">
        <v>46049</v>
      </c>
      <c r="I91" s="7">
        <v>46291</v>
      </c>
      <c r="J91" t="s">
        <v>125</v>
      </c>
      <c r="K91" s="25" t="s">
        <v>2112</v>
      </c>
    </row>
    <row r="92" spans="1:11" ht="14.4" x14ac:dyDescent="0.3">
      <c r="A92" s="16">
        <v>1</v>
      </c>
      <c r="B92" s="6">
        <v>79553690</v>
      </c>
      <c r="C92" s="17" t="s">
        <v>1665</v>
      </c>
      <c r="D92" s="17" t="s">
        <v>1667</v>
      </c>
      <c r="E92" s="6">
        <v>3164725782</v>
      </c>
      <c r="F92" s="8" t="s">
        <v>1666</v>
      </c>
      <c r="G92" s="6" t="s">
        <v>20</v>
      </c>
      <c r="H92" s="7" t="s">
        <v>20</v>
      </c>
      <c r="I92" s="7" t="s">
        <v>20</v>
      </c>
      <c r="J92" t="s">
        <v>119</v>
      </c>
      <c r="K92" s="25" t="s">
        <v>2112</v>
      </c>
    </row>
    <row r="93" spans="1:11" ht="14.4" x14ac:dyDescent="0.3">
      <c r="A93" s="16">
        <v>1</v>
      </c>
      <c r="B93" s="6">
        <v>79802867</v>
      </c>
      <c r="C93" s="17" t="s">
        <v>982</v>
      </c>
      <c r="D93" s="6" t="s">
        <v>285</v>
      </c>
      <c r="E93" s="6">
        <v>3102412963</v>
      </c>
      <c r="F93" s="8" t="s">
        <v>983</v>
      </c>
      <c r="G93" s="6" t="s">
        <v>20</v>
      </c>
      <c r="H93" s="7" t="s">
        <v>20</v>
      </c>
      <c r="I93" s="7" t="s">
        <v>20</v>
      </c>
      <c r="J93" t="s">
        <v>119</v>
      </c>
      <c r="K93" s="25" t="s">
        <v>2112</v>
      </c>
    </row>
    <row r="94" spans="1:11" ht="14.4" x14ac:dyDescent="0.3">
      <c r="A94" s="16">
        <v>1</v>
      </c>
      <c r="B94" s="6">
        <v>1000180027</v>
      </c>
      <c r="C94" s="17" t="s">
        <v>1285</v>
      </c>
      <c r="D94" s="6" t="s">
        <v>742</v>
      </c>
      <c r="E94" s="6">
        <v>3118228379</v>
      </c>
      <c r="F94" s="8" t="s">
        <v>1268</v>
      </c>
      <c r="G94" s="6" t="s">
        <v>20</v>
      </c>
      <c r="H94" s="7" t="s">
        <v>20</v>
      </c>
      <c r="I94" s="7" t="s">
        <v>20</v>
      </c>
      <c r="J94" s="19" t="s">
        <v>1280</v>
      </c>
      <c r="K94" s="25" t="s">
        <v>2112</v>
      </c>
    </row>
    <row r="95" spans="1:11" ht="14.4" x14ac:dyDescent="0.3">
      <c r="A95" s="16">
        <v>1</v>
      </c>
      <c r="B95" s="17">
        <v>74370778</v>
      </c>
      <c r="C95" s="17" t="s">
        <v>1207</v>
      </c>
      <c r="D95" s="6" t="s">
        <v>256</v>
      </c>
      <c r="E95" s="17">
        <v>3208290927</v>
      </c>
      <c r="F95" s="8" t="s">
        <v>1209</v>
      </c>
      <c r="G95" s="17" t="s">
        <v>1208</v>
      </c>
      <c r="H95" s="18">
        <v>46050</v>
      </c>
      <c r="I95" s="18">
        <v>46224</v>
      </c>
      <c r="J95" s="19" t="s">
        <v>125</v>
      </c>
      <c r="K95" s="22" t="s">
        <v>2098</v>
      </c>
    </row>
    <row r="96" spans="1:11" ht="14.4" x14ac:dyDescent="0.3">
      <c r="A96" s="16">
        <v>1</v>
      </c>
      <c r="B96" s="6">
        <v>52517697</v>
      </c>
      <c r="C96" s="17" t="s">
        <v>273</v>
      </c>
      <c r="D96" s="6" t="s">
        <v>256</v>
      </c>
      <c r="E96" s="6">
        <v>3104971210</v>
      </c>
      <c r="F96" s="8" t="s">
        <v>275</v>
      </c>
      <c r="G96" s="12" t="s">
        <v>274</v>
      </c>
      <c r="H96" s="7">
        <v>46036</v>
      </c>
      <c r="I96" s="7">
        <v>46278</v>
      </c>
      <c r="J96" t="s">
        <v>125</v>
      </c>
      <c r="K96" s="25" t="s">
        <v>2112</v>
      </c>
    </row>
    <row r="97" spans="1:11" ht="14.4" x14ac:dyDescent="0.3">
      <c r="A97" s="16">
        <v>1</v>
      </c>
      <c r="B97" s="17">
        <v>52494966</v>
      </c>
      <c r="C97" s="17" t="s">
        <v>802</v>
      </c>
      <c r="D97" s="6" t="s">
        <v>270</v>
      </c>
      <c r="E97" s="17">
        <v>3132523070</v>
      </c>
      <c r="F97" s="8" t="s">
        <v>804</v>
      </c>
      <c r="G97" s="23" t="s">
        <v>803</v>
      </c>
      <c r="H97" s="18">
        <v>46031</v>
      </c>
      <c r="I97" s="18">
        <v>46242</v>
      </c>
      <c r="J97" s="19" t="s">
        <v>125</v>
      </c>
      <c r="K97" s="22" t="s">
        <v>2098</v>
      </c>
    </row>
    <row r="98" spans="1:11" ht="14.4" x14ac:dyDescent="0.3">
      <c r="A98" s="16">
        <v>1</v>
      </c>
      <c r="B98" s="6">
        <v>52265674</v>
      </c>
      <c r="C98" s="17" t="s">
        <v>1250</v>
      </c>
      <c r="D98" s="17" t="s">
        <v>299</v>
      </c>
      <c r="E98" s="6">
        <v>3168291168</v>
      </c>
      <c r="F98" s="8" t="s">
        <v>1251</v>
      </c>
      <c r="G98" s="6" t="s">
        <v>20</v>
      </c>
      <c r="H98" s="7" t="s">
        <v>20</v>
      </c>
      <c r="I98" s="7" t="s">
        <v>20</v>
      </c>
      <c r="J98" t="s">
        <v>119</v>
      </c>
      <c r="K98" s="25" t="s">
        <v>2112</v>
      </c>
    </row>
    <row r="99" spans="1:11" ht="14.4" x14ac:dyDescent="0.3">
      <c r="A99" s="16">
        <v>1</v>
      </c>
      <c r="B99" s="6">
        <v>52355600</v>
      </c>
      <c r="C99" s="17" t="s">
        <v>488</v>
      </c>
      <c r="D99" s="6" t="s">
        <v>500</v>
      </c>
      <c r="E99" s="6">
        <v>3143575405</v>
      </c>
      <c r="F99" s="8" t="s">
        <v>490</v>
      </c>
      <c r="G99" s="12" t="s">
        <v>489</v>
      </c>
      <c r="H99" s="7">
        <v>46036</v>
      </c>
      <c r="I99" s="7">
        <v>46387</v>
      </c>
      <c r="J99" t="s">
        <v>125</v>
      </c>
      <c r="K99" s="25" t="s">
        <v>2112</v>
      </c>
    </row>
    <row r="100" spans="1:11" ht="14.4" x14ac:dyDescent="0.3">
      <c r="A100" s="16">
        <v>1</v>
      </c>
      <c r="B100" s="17">
        <v>52831248</v>
      </c>
      <c r="C100" s="17" t="s">
        <v>317</v>
      </c>
      <c r="D100" s="17" t="s">
        <v>1041</v>
      </c>
      <c r="E100" s="17">
        <v>3044142502</v>
      </c>
      <c r="F100" s="8" t="s">
        <v>319</v>
      </c>
      <c r="G100" s="23" t="s">
        <v>318</v>
      </c>
      <c r="H100" s="18">
        <v>46035</v>
      </c>
      <c r="I100" s="18">
        <v>46215</v>
      </c>
      <c r="J100" s="19" t="s">
        <v>125</v>
      </c>
      <c r="K100" s="22" t="s">
        <v>2098</v>
      </c>
    </row>
    <row r="101" spans="1:11" ht="14.4" x14ac:dyDescent="0.3">
      <c r="A101" s="16">
        <v>1</v>
      </c>
      <c r="B101" s="6">
        <v>79979024</v>
      </c>
      <c r="C101" s="17" t="s">
        <v>2028</v>
      </c>
      <c r="D101" s="6" t="s">
        <v>742</v>
      </c>
      <c r="E101" s="6">
        <v>3133627940</v>
      </c>
      <c r="F101" s="8" t="s">
        <v>1268</v>
      </c>
      <c r="G101" s="12" t="s">
        <v>20</v>
      </c>
      <c r="H101" s="6" t="s">
        <v>20</v>
      </c>
      <c r="I101" s="6" t="s">
        <v>20</v>
      </c>
      <c r="J101" t="s">
        <v>1280</v>
      </c>
      <c r="K101" s="25" t="s">
        <v>2112</v>
      </c>
    </row>
    <row r="102" spans="1:11" ht="14.4" x14ac:dyDescent="0.3">
      <c r="A102" s="16">
        <v>1</v>
      </c>
      <c r="B102" s="6">
        <v>80543468</v>
      </c>
      <c r="C102" s="17" t="s">
        <v>760</v>
      </c>
      <c r="D102" s="6" t="s">
        <v>2110</v>
      </c>
      <c r="E102" s="6">
        <v>3108847606</v>
      </c>
      <c r="F102" s="8" t="s">
        <v>762</v>
      </c>
      <c r="G102" s="12" t="s">
        <v>761</v>
      </c>
      <c r="H102" s="7">
        <v>46031</v>
      </c>
      <c r="I102" s="7">
        <v>46387</v>
      </c>
      <c r="J102" t="s">
        <v>125</v>
      </c>
      <c r="K102" s="25" t="s">
        <v>2112</v>
      </c>
    </row>
    <row r="103" spans="1:11" ht="14.4" x14ac:dyDescent="0.3">
      <c r="A103" s="16">
        <v>1</v>
      </c>
      <c r="B103" s="6">
        <v>79620120</v>
      </c>
      <c r="C103" s="17" t="s">
        <v>463</v>
      </c>
      <c r="D103" s="6" t="s">
        <v>2110</v>
      </c>
      <c r="E103" s="6">
        <v>3153572466</v>
      </c>
      <c r="F103" s="8" t="s">
        <v>465</v>
      </c>
      <c r="G103" s="12" t="s">
        <v>464</v>
      </c>
      <c r="H103" s="7">
        <v>46036</v>
      </c>
      <c r="I103" s="7">
        <v>46387</v>
      </c>
      <c r="J103" t="s">
        <v>125</v>
      </c>
      <c r="K103" s="25" t="s">
        <v>2112</v>
      </c>
    </row>
    <row r="104" spans="1:11" ht="14.4" x14ac:dyDescent="0.3">
      <c r="A104" s="16">
        <v>1</v>
      </c>
      <c r="B104" s="17">
        <v>85203798</v>
      </c>
      <c r="C104" s="17" t="s">
        <v>579</v>
      </c>
      <c r="D104" s="6" t="s">
        <v>1843</v>
      </c>
      <c r="E104" s="17">
        <v>3102141909</v>
      </c>
      <c r="F104" s="8" t="s">
        <v>581</v>
      </c>
      <c r="G104" s="17" t="s">
        <v>580</v>
      </c>
      <c r="H104" s="18">
        <v>46048</v>
      </c>
      <c r="I104" s="18">
        <v>46210</v>
      </c>
      <c r="J104" s="19" t="s">
        <v>125</v>
      </c>
      <c r="K104" s="22" t="s">
        <v>2098</v>
      </c>
    </row>
    <row r="105" spans="1:11" ht="14.4" x14ac:dyDescent="0.3">
      <c r="A105" s="16">
        <v>1</v>
      </c>
      <c r="B105" s="6">
        <v>79331288</v>
      </c>
      <c r="C105" s="17" t="s">
        <v>1217</v>
      </c>
      <c r="D105" s="6" t="s">
        <v>201</v>
      </c>
      <c r="E105" s="6">
        <v>3006097970</v>
      </c>
      <c r="F105" s="8" t="s">
        <v>1219</v>
      </c>
      <c r="G105" s="12" t="s">
        <v>1218</v>
      </c>
      <c r="H105" s="7">
        <v>46051</v>
      </c>
      <c r="I105" s="7">
        <v>46231</v>
      </c>
      <c r="J105" t="s">
        <v>125</v>
      </c>
      <c r="K105" s="25" t="s">
        <v>2112</v>
      </c>
    </row>
    <row r="106" spans="1:11" ht="14.4" x14ac:dyDescent="0.3">
      <c r="A106" s="16">
        <v>1</v>
      </c>
      <c r="B106" s="17">
        <v>1033757530</v>
      </c>
      <c r="C106" s="17" t="s">
        <v>2101</v>
      </c>
      <c r="D106" s="6" t="s">
        <v>434</v>
      </c>
      <c r="E106" s="17">
        <v>3154532732</v>
      </c>
      <c r="F106" s="8" t="s">
        <v>31</v>
      </c>
      <c r="G106" s="17" t="s">
        <v>2100</v>
      </c>
      <c r="H106" s="18">
        <v>46036</v>
      </c>
      <c r="I106" s="18">
        <v>46387</v>
      </c>
      <c r="J106" s="19" t="s">
        <v>125</v>
      </c>
      <c r="K106" s="21" t="s">
        <v>2098</v>
      </c>
    </row>
    <row r="107" spans="1:11" ht="14.4" x14ac:dyDescent="0.3">
      <c r="A107" s="16">
        <v>1</v>
      </c>
      <c r="B107" s="24">
        <v>1019038226</v>
      </c>
      <c r="C107" s="24" t="s">
        <v>1857</v>
      </c>
      <c r="D107" s="6" t="s">
        <v>256</v>
      </c>
      <c r="E107" s="24">
        <v>3165353449</v>
      </c>
      <c r="F107" s="8" t="s">
        <v>1859</v>
      </c>
      <c r="G107" s="17" t="s">
        <v>1858</v>
      </c>
      <c r="H107" s="18">
        <v>46048</v>
      </c>
      <c r="I107" s="18">
        <v>46228</v>
      </c>
      <c r="J107" s="19" t="s">
        <v>125</v>
      </c>
      <c r="K107" s="21" t="s">
        <v>2098</v>
      </c>
    </row>
    <row r="108" spans="1:11" ht="14.4" x14ac:dyDescent="0.3">
      <c r="A108" s="16">
        <v>1</v>
      </c>
      <c r="B108" s="6">
        <v>79844430</v>
      </c>
      <c r="C108" s="17" t="s">
        <v>531</v>
      </c>
      <c r="D108" s="6" t="s">
        <v>2110</v>
      </c>
      <c r="E108" s="6">
        <v>3176481417</v>
      </c>
      <c r="F108" s="8" t="s">
        <v>533</v>
      </c>
      <c r="G108" s="12" t="s">
        <v>532</v>
      </c>
      <c r="H108" s="7">
        <v>46031</v>
      </c>
      <c r="I108" s="7">
        <v>46387</v>
      </c>
      <c r="J108" t="s">
        <v>125</v>
      </c>
      <c r="K108" s="25" t="s">
        <v>2112</v>
      </c>
    </row>
    <row r="109" spans="1:11" ht="14.4" x14ac:dyDescent="0.3">
      <c r="A109" s="16">
        <v>1</v>
      </c>
      <c r="B109" s="6">
        <v>52712916</v>
      </c>
      <c r="C109" s="17" t="s">
        <v>1288</v>
      </c>
      <c r="D109" s="6" t="s">
        <v>201</v>
      </c>
      <c r="E109" s="6">
        <v>3214379017</v>
      </c>
      <c r="F109" s="8" t="s">
        <v>1289</v>
      </c>
      <c r="G109" s="6" t="s">
        <v>2099</v>
      </c>
      <c r="H109" s="7">
        <v>46031</v>
      </c>
      <c r="I109" s="7">
        <v>46387</v>
      </c>
      <c r="J109" t="s">
        <v>125</v>
      </c>
      <c r="K109" s="25" t="s">
        <v>2112</v>
      </c>
    </row>
    <row r="110" spans="1:11" ht="14.4" x14ac:dyDescent="0.3">
      <c r="A110" s="16">
        <v>1</v>
      </c>
      <c r="B110" s="6">
        <v>1030589207</v>
      </c>
      <c r="C110" s="17" t="s">
        <v>565</v>
      </c>
      <c r="D110" s="6" t="s">
        <v>434</v>
      </c>
      <c r="E110" s="6">
        <v>3232341517</v>
      </c>
      <c r="F110" s="8" t="s">
        <v>567</v>
      </c>
      <c r="G110" s="6" t="s">
        <v>566</v>
      </c>
      <c r="H110" s="7">
        <v>46031</v>
      </c>
      <c r="I110" s="7">
        <v>46387</v>
      </c>
      <c r="J110" t="s">
        <v>125</v>
      </c>
      <c r="K110" s="25" t="s">
        <v>2112</v>
      </c>
    </row>
    <row r="111" spans="1:11" ht="14.4" x14ac:dyDescent="0.3">
      <c r="A111" s="16">
        <v>1</v>
      </c>
      <c r="B111" s="6">
        <v>52715205</v>
      </c>
      <c r="C111" s="17" t="s">
        <v>552</v>
      </c>
      <c r="D111" s="6" t="s">
        <v>1338</v>
      </c>
      <c r="E111" s="6">
        <v>3103268056</v>
      </c>
      <c r="F111" s="8" t="s">
        <v>554</v>
      </c>
      <c r="G111" s="12" t="s">
        <v>553</v>
      </c>
      <c r="H111" s="7">
        <v>46041</v>
      </c>
      <c r="I111" s="7">
        <v>46252</v>
      </c>
      <c r="J111" t="s">
        <v>125</v>
      </c>
      <c r="K111" s="25" t="s">
        <v>2112</v>
      </c>
    </row>
    <row r="112" spans="1:11" ht="14.4" x14ac:dyDescent="0.3">
      <c r="A112" s="16">
        <v>1</v>
      </c>
      <c r="B112" s="6">
        <v>51975445</v>
      </c>
      <c r="C112" s="17" t="s">
        <v>1593</v>
      </c>
      <c r="D112" s="6" t="s">
        <v>270</v>
      </c>
      <c r="E112" s="6">
        <v>3144114734</v>
      </c>
      <c r="F112" s="8" t="s">
        <v>1594</v>
      </c>
      <c r="G112" s="6" t="s">
        <v>20</v>
      </c>
      <c r="H112" s="7" t="s">
        <v>20</v>
      </c>
      <c r="I112" s="7" t="s">
        <v>20</v>
      </c>
      <c r="J112" t="s">
        <v>119</v>
      </c>
      <c r="K112" s="25" t="s">
        <v>2112</v>
      </c>
    </row>
    <row r="113" spans="1:11" ht="14.4" x14ac:dyDescent="0.3">
      <c r="A113" s="16">
        <v>1</v>
      </c>
      <c r="B113" s="6">
        <v>52084821</v>
      </c>
      <c r="C113" s="17" t="s">
        <v>1168</v>
      </c>
      <c r="D113" s="6" t="s">
        <v>434</v>
      </c>
      <c r="E113" s="6">
        <v>3108023562</v>
      </c>
      <c r="F113" s="8" t="s">
        <v>1169</v>
      </c>
      <c r="G113" s="6" t="s">
        <v>20</v>
      </c>
      <c r="H113" s="7" t="s">
        <v>20</v>
      </c>
      <c r="I113" s="7" t="s">
        <v>20</v>
      </c>
      <c r="J113" t="s">
        <v>119</v>
      </c>
      <c r="K113" s="25" t="s">
        <v>2112</v>
      </c>
    </row>
    <row r="114" spans="1:11" ht="14.4" x14ac:dyDescent="0.3">
      <c r="A114" s="16">
        <v>1</v>
      </c>
      <c r="B114" s="17">
        <v>31422496</v>
      </c>
      <c r="C114" s="17" t="s">
        <v>969</v>
      </c>
      <c r="D114" s="6" t="s">
        <v>285</v>
      </c>
      <c r="E114" s="17">
        <v>3166231174</v>
      </c>
      <c r="F114" s="8" t="s">
        <v>971</v>
      </c>
      <c r="G114" s="23" t="s">
        <v>970</v>
      </c>
      <c r="H114" s="18">
        <v>46036</v>
      </c>
      <c r="I114" s="18">
        <v>46231</v>
      </c>
      <c r="J114" s="19" t="s">
        <v>125</v>
      </c>
      <c r="K114" s="22" t="s">
        <v>2098</v>
      </c>
    </row>
    <row r="115" spans="1:11" ht="14.4" x14ac:dyDescent="0.3">
      <c r="A115" s="16">
        <v>1</v>
      </c>
      <c r="B115" s="6">
        <v>52096386</v>
      </c>
      <c r="C115" s="17" t="s">
        <v>518</v>
      </c>
      <c r="D115" s="6" t="s">
        <v>1562</v>
      </c>
      <c r="E115" s="6">
        <v>3104717361</v>
      </c>
      <c r="F115" s="8" t="s">
        <v>520</v>
      </c>
      <c r="G115" s="12" t="s">
        <v>519</v>
      </c>
      <c r="H115" s="7">
        <v>46038</v>
      </c>
      <c r="I115" s="7">
        <v>46387</v>
      </c>
      <c r="J115" t="s">
        <v>125</v>
      </c>
      <c r="K115" s="25" t="s">
        <v>2112</v>
      </c>
    </row>
    <row r="116" spans="1:11" ht="14.4" x14ac:dyDescent="0.3">
      <c r="A116" s="16">
        <v>1</v>
      </c>
      <c r="B116" s="6">
        <v>28483877</v>
      </c>
      <c r="C116" s="17" t="s">
        <v>807</v>
      </c>
      <c r="D116" s="6" t="s">
        <v>270</v>
      </c>
      <c r="E116" s="6">
        <v>3206522181</v>
      </c>
      <c r="F116" s="8" t="s">
        <v>809</v>
      </c>
      <c r="G116" s="12" t="s">
        <v>808</v>
      </c>
      <c r="H116" s="7">
        <v>46035</v>
      </c>
      <c r="I116" s="7">
        <v>46216</v>
      </c>
      <c r="J116" t="s">
        <v>125</v>
      </c>
      <c r="K116" s="25" t="s">
        <v>2112</v>
      </c>
    </row>
    <row r="117" spans="1:11" ht="14.4" x14ac:dyDescent="0.3">
      <c r="A117" s="16">
        <v>1</v>
      </c>
      <c r="B117" s="6">
        <v>39755949</v>
      </c>
      <c r="C117" s="17" t="s">
        <v>423</v>
      </c>
      <c r="D117" s="6" t="s">
        <v>1905</v>
      </c>
      <c r="E117" s="6">
        <v>3224017010</v>
      </c>
      <c r="F117" s="8" t="s">
        <v>425</v>
      </c>
      <c r="G117" s="12" t="s">
        <v>424</v>
      </c>
      <c r="H117" s="7">
        <v>46031</v>
      </c>
      <c r="I117" s="7">
        <v>46364</v>
      </c>
      <c r="J117" t="s">
        <v>125</v>
      </c>
      <c r="K117" s="25" t="s">
        <v>2112</v>
      </c>
    </row>
    <row r="118" spans="1:11" ht="14.4" x14ac:dyDescent="0.3">
      <c r="A118" s="16">
        <v>1</v>
      </c>
      <c r="B118" s="17">
        <v>39707570</v>
      </c>
      <c r="C118" s="17" t="s">
        <v>894</v>
      </c>
      <c r="D118" s="17" t="s">
        <v>1395</v>
      </c>
      <c r="E118" s="17">
        <v>3125627087</v>
      </c>
      <c r="F118" s="8" t="s">
        <v>896</v>
      </c>
      <c r="G118" s="23" t="s">
        <v>895</v>
      </c>
      <c r="H118" s="18">
        <v>46049</v>
      </c>
      <c r="I118" s="18">
        <v>46215</v>
      </c>
      <c r="J118" s="19" t="s">
        <v>125</v>
      </c>
      <c r="K118" s="22" t="s">
        <v>2098</v>
      </c>
    </row>
    <row r="119" spans="1:11" ht="14.4" x14ac:dyDescent="0.3">
      <c r="A119" s="16">
        <v>1</v>
      </c>
      <c r="B119" s="6">
        <v>1085297902</v>
      </c>
      <c r="C119" s="17" t="s">
        <v>1318</v>
      </c>
      <c r="D119" s="6" t="s">
        <v>500</v>
      </c>
      <c r="E119" s="6">
        <v>3163729000</v>
      </c>
      <c r="F119" s="8" t="s">
        <v>1320</v>
      </c>
      <c r="G119" s="12" t="s">
        <v>1319</v>
      </c>
      <c r="H119" s="7">
        <v>46048</v>
      </c>
      <c r="I119" s="7">
        <v>46387</v>
      </c>
      <c r="J119" t="s">
        <v>125</v>
      </c>
      <c r="K119" s="25" t="s">
        <v>2112</v>
      </c>
    </row>
    <row r="120" spans="1:11" ht="14.4" x14ac:dyDescent="0.3">
      <c r="A120" s="16">
        <v>1</v>
      </c>
      <c r="B120" s="6">
        <v>1070306077</v>
      </c>
      <c r="C120" s="17" t="s">
        <v>654</v>
      </c>
      <c r="D120" s="6" t="s">
        <v>1905</v>
      </c>
      <c r="E120" s="6">
        <v>3143622249</v>
      </c>
      <c r="F120" s="8" t="s">
        <v>656</v>
      </c>
      <c r="G120" s="12" t="s">
        <v>655</v>
      </c>
      <c r="H120" s="7">
        <v>46031</v>
      </c>
      <c r="I120" s="7">
        <v>46364</v>
      </c>
      <c r="J120" t="s">
        <v>125</v>
      </c>
      <c r="K120" s="25" t="s">
        <v>2112</v>
      </c>
    </row>
    <row r="121" spans="1:11" ht="14.4" x14ac:dyDescent="0.3">
      <c r="A121" s="16">
        <v>1</v>
      </c>
      <c r="B121" s="6">
        <v>1010184160</v>
      </c>
      <c r="C121" s="17" t="s">
        <v>1075</v>
      </c>
      <c r="D121" s="6" t="s">
        <v>500</v>
      </c>
      <c r="E121" s="6">
        <v>3145159290</v>
      </c>
      <c r="F121" s="8" t="s">
        <v>1077</v>
      </c>
      <c r="G121" s="6" t="s">
        <v>1076</v>
      </c>
      <c r="H121" s="7">
        <v>46041</v>
      </c>
      <c r="I121" s="7">
        <v>46387</v>
      </c>
      <c r="J121" t="s">
        <v>125</v>
      </c>
      <c r="K121" s="25" t="s">
        <v>2112</v>
      </c>
    </row>
    <row r="122" spans="1:11" ht="14.4" x14ac:dyDescent="0.3">
      <c r="A122" s="16">
        <v>1</v>
      </c>
      <c r="B122" s="6">
        <v>1023946531</v>
      </c>
      <c r="C122" s="17" t="s">
        <v>2014</v>
      </c>
      <c r="D122" s="6" t="s">
        <v>1698</v>
      </c>
      <c r="E122" s="6" t="s">
        <v>20</v>
      </c>
      <c r="F122" s="7" t="s">
        <v>20</v>
      </c>
      <c r="G122" s="6" t="s">
        <v>20</v>
      </c>
      <c r="H122" s="7" t="s">
        <v>20</v>
      </c>
      <c r="I122" s="7" t="s">
        <v>20</v>
      </c>
      <c r="J122" t="s">
        <v>1280</v>
      </c>
      <c r="K122" s="25" t="s">
        <v>2112</v>
      </c>
    </row>
    <row r="123" spans="1:11" ht="14.4" x14ac:dyDescent="0.3">
      <c r="A123" s="16">
        <v>1</v>
      </c>
      <c r="B123" s="17">
        <v>81715332</v>
      </c>
      <c r="C123" s="17" t="s">
        <v>436</v>
      </c>
      <c r="D123" s="6" t="s">
        <v>1905</v>
      </c>
      <c r="E123" s="17">
        <v>3014996335</v>
      </c>
      <c r="F123" s="8" t="s">
        <v>438</v>
      </c>
      <c r="G123" s="23" t="s">
        <v>437</v>
      </c>
      <c r="H123" s="18">
        <v>46029</v>
      </c>
      <c r="I123" s="18">
        <v>46332</v>
      </c>
      <c r="J123" s="19" t="s">
        <v>125</v>
      </c>
      <c r="K123" s="22" t="s">
        <v>2098</v>
      </c>
    </row>
    <row r="124" spans="1:11" ht="14.4" x14ac:dyDescent="0.3">
      <c r="A124" s="16">
        <v>1</v>
      </c>
      <c r="B124" s="6">
        <v>6070137</v>
      </c>
      <c r="C124" s="17" t="s">
        <v>881</v>
      </c>
      <c r="D124" s="6" t="s">
        <v>1716</v>
      </c>
      <c r="E124" s="6">
        <v>3148350647</v>
      </c>
      <c r="F124" s="8" t="s">
        <v>883</v>
      </c>
      <c r="G124" s="12" t="s">
        <v>882</v>
      </c>
      <c r="H124" s="7">
        <v>46031</v>
      </c>
      <c r="I124" s="7">
        <v>46387</v>
      </c>
      <c r="J124" t="s">
        <v>125</v>
      </c>
      <c r="K124" s="25" t="s">
        <v>2112</v>
      </c>
    </row>
    <row r="125" spans="1:11" ht="14.4" x14ac:dyDescent="0.3">
      <c r="A125" s="16">
        <v>1</v>
      </c>
      <c r="B125" s="6">
        <v>79688967</v>
      </c>
      <c r="C125" s="17" t="s">
        <v>1300</v>
      </c>
      <c r="D125" s="6" t="s">
        <v>2110</v>
      </c>
      <c r="E125" s="6">
        <v>3013370145</v>
      </c>
      <c r="F125" s="8" t="s">
        <v>1302</v>
      </c>
      <c r="G125" s="12" t="s">
        <v>1301</v>
      </c>
      <c r="H125" s="7">
        <v>46041</v>
      </c>
      <c r="I125" s="7">
        <v>46387</v>
      </c>
      <c r="J125" t="s">
        <v>125</v>
      </c>
      <c r="K125" s="25" t="s">
        <v>2112</v>
      </c>
    </row>
    <row r="126" spans="1:11" ht="14.4" x14ac:dyDescent="0.3">
      <c r="A126" s="16">
        <v>1</v>
      </c>
      <c r="B126" s="6">
        <v>79905794</v>
      </c>
      <c r="C126" s="17" t="s">
        <v>72</v>
      </c>
      <c r="D126" s="17" t="s">
        <v>207</v>
      </c>
      <c r="E126" s="6">
        <v>3057457779</v>
      </c>
      <c r="F126" s="8" t="s">
        <v>74</v>
      </c>
      <c r="G126" s="6" t="s">
        <v>73</v>
      </c>
      <c r="H126" s="7">
        <v>46042</v>
      </c>
      <c r="I126" s="7">
        <v>46375</v>
      </c>
      <c r="J126" s="9" t="s">
        <v>125</v>
      </c>
      <c r="K126" s="25" t="s">
        <v>2112</v>
      </c>
    </row>
    <row r="127" spans="1:11" ht="14.4" x14ac:dyDescent="0.3">
      <c r="A127" s="16">
        <v>1</v>
      </c>
      <c r="B127" s="6">
        <v>80147258</v>
      </c>
      <c r="C127" s="17" t="s">
        <v>1388</v>
      </c>
      <c r="D127" s="6" t="s">
        <v>1338</v>
      </c>
      <c r="E127" s="6">
        <v>3205611748</v>
      </c>
      <c r="F127" s="8" t="s">
        <v>1390</v>
      </c>
      <c r="G127" s="12" t="s">
        <v>1389</v>
      </c>
      <c r="H127" s="7">
        <v>46038</v>
      </c>
      <c r="I127" s="7">
        <v>46219</v>
      </c>
      <c r="J127" t="s">
        <v>125</v>
      </c>
      <c r="K127" s="25" t="s">
        <v>2112</v>
      </c>
    </row>
    <row r="128" spans="1:11" ht="14.4" x14ac:dyDescent="0.3">
      <c r="A128" s="16">
        <v>1</v>
      </c>
      <c r="B128" s="6">
        <v>1010213543</v>
      </c>
      <c r="C128" s="17" t="s">
        <v>1782</v>
      </c>
      <c r="D128" s="6" t="s">
        <v>742</v>
      </c>
      <c r="E128" s="6">
        <v>3104356273</v>
      </c>
      <c r="F128" s="8" t="s">
        <v>1784</v>
      </c>
      <c r="G128" s="6" t="s">
        <v>1783</v>
      </c>
      <c r="H128" s="7">
        <v>46045</v>
      </c>
      <c r="I128" s="7">
        <v>46387</v>
      </c>
      <c r="J128" t="s">
        <v>125</v>
      </c>
      <c r="K128" s="25" t="s">
        <v>2112</v>
      </c>
    </row>
    <row r="129" spans="1:11" ht="14.4" x14ac:dyDescent="0.3">
      <c r="A129" s="16">
        <v>1</v>
      </c>
      <c r="B129" s="6">
        <v>105466109</v>
      </c>
      <c r="C129" s="17" t="s">
        <v>67</v>
      </c>
      <c r="D129" s="6" t="s">
        <v>256</v>
      </c>
      <c r="E129" s="6">
        <v>3057833039</v>
      </c>
      <c r="F129" s="8" t="s">
        <v>69</v>
      </c>
      <c r="G129" s="6" t="s">
        <v>68</v>
      </c>
      <c r="H129" s="7">
        <v>46041</v>
      </c>
      <c r="I129" s="7">
        <v>46344</v>
      </c>
      <c r="J129" s="9" t="s">
        <v>125</v>
      </c>
      <c r="K129" s="25" t="s">
        <v>2112</v>
      </c>
    </row>
    <row r="130" spans="1:11" ht="14.4" x14ac:dyDescent="0.3">
      <c r="A130" s="16">
        <v>1</v>
      </c>
      <c r="B130" s="17">
        <v>79328078</v>
      </c>
      <c r="C130" s="17" t="s">
        <v>1111</v>
      </c>
      <c r="D130" s="6" t="s">
        <v>256</v>
      </c>
      <c r="E130" s="17">
        <v>3155428490</v>
      </c>
      <c r="F130" s="8" t="s">
        <v>1113</v>
      </c>
      <c r="G130" s="23" t="s">
        <v>1112</v>
      </c>
      <c r="H130" s="18">
        <v>46038</v>
      </c>
      <c r="I130" s="18">
        <v>46279</v>
      </c>
      <c r="J130" s="19" t="s">
        <v>125</v>
      </c>
      <c r="K130" s="22" t="s">
        <v>2098</v>
      </c>
    </row>
    <row r="131" spans="1:11" ht="14.4" x14ac:dyDescent="0.3">
      <c r="A131" s="16">
        <v>1</v>
      </c>
      <c r="B131" s="13">
        <v>1026292170</v>
      </c>
      <c r="C131" s="24" t="s">
        <v>1799</v>
      </c>
      <c r="D131" s="6" t="s">
        <v>434</v>
      </c>
      <c r="E131" s="13">
        <v>3107723081</v>
      </c>
      <c r="F131" s="8" t="s">
        <v>1801</v>
      </c>
      <c r="G131" s="6" t="s">
        <v>1800</v>
      </c>
      <c r="H131" s="7">
        <v>46048</v>
      </c>
      <c r="I131" s="7">
        <v>46387</v>
      </c>
      <c r="J131" t="s">
        <v>125</v>
      </c>
      <c r="K131" s="25" t="s">
        <v>2112</v>
      </c>
    </row>
    <row r="132" spans="1:11" ht="14.4" x14ac:dyDescent="0.3">
      <c r="A132" s="16">
        <v>1</v>
      </c>
      <c r="B132" s="6">
        <v>1012337063</v>
      </c>
      <c r="C132" s="17" t="s">
        <v>1275</v>
      </c>
      <c r="D132" s="6" t="s">
        <v>742</v>
      </c>
      <c r="E132" s="6">
        <v>3116240199</v>
      </c>
      <c r="F132" s="8" t="s">
        <v>1268</v>
      </c>
      <c r="G132" s="6" t="s">
        <v>20</v>
      </c>
      <c r="H132" s="7" t="s">
        <v>20</v>
      </c>
      <c r="I132" s="7" t="s">
        <v>20</v>
      </c>
      <c r="J132" s="19" t="s">
        <v>1280</v>
      </c>
      <c r="K132" s="25" t="s">
        <v>2112</v>
      </c>
    </row>
    <row r="133" spans="1:11" ht="14.4" x14ac:dyDescent="0.3">
      <c r="A133" s="16">
        <v>1</v>
      </c>
      <c r="B133" s="6">
        <v>1098784496</v>
      </c>
      <c r="C133" s="17" t="s">
        <v>61</v>
      </c>
      <c r="D133" s="6" t="s">
        <v>201</v>
      </c>
      <c r="E133" s="6">
        <v>3187118262</v>
      </c>
      <c r="F133" s="8" t="s">
        <v>63</v>
      </c>
      <c r="G133" s="6" t="s">
        <v>62</v>
      </c>
      <c r="H133" s="7">
        <v>46031</v>
      </c>
      <c r="I133" s="7">
        <v>46387</v>
      </c>
      <c r="J133" s="9" t="s">
        <v>125</v>
      </c>
      <c r="K133" s="25" t="s">
        <v>2112</v>
      </c>
    </row>
    <row r="134" spans="1:11" ht="14.4" x14ac:dyDescent="0.3">
      <c r="A134" s="16">
        <v>1</v>
      </c>
      <c r="B134" s="6">
        <v>15173420</v>
      </c>
      <c r="C134" s="17" t="s">
        <v>356</v>
      </c>
      <c r="D134" s="6" t="s">
        <v>325</v>
      </c>
      <c r="E134" s="6">
        <v>3114785383</v>
      </c>
      <c r="F134" s="8" t="s">
        <v>358</v>
      </c>
      <c r="G134" s="12" t="s">
        <v>357</v>
      </c>
      <c r="H134" s="7">
        <v>46048</v>
      </c>
      <c r="I134" s="7">
        <v>46387</v>
      </c>
      <c r="J134" t="s">
        <v>125</v>
      </c>
      <c r="K134" s="25" t="s">
        <v>2112</v>
      </c>
    </row>
    <row r="135" spans="1:11" ht="14.4" x14ac:dyDescent="0.3">
      <c r="A135" s="16">
        <v>1</v>
      </c>
      <c r="B135" s="6">
        <v>80766953</v>
      </c>
      <c r="C135" s="17" t="s">
        <v>787</v>
      </c>
      <c r="D135" s="6" t="s">
        <v>500</v>
      </c>
      <c r="E135" s="6">
        <v>3124619148</v>
      </c>
      <c r="F135" s="8" t="s">
        <v>789</v>
      </c>
      <c r="G135" s="12" t="s">
        <v>788</v>
      </c>
      <c r="H135" s="7">
        <v>46035</v>
      </c>
      <c r="I135" s="7">
        <v>46277</v>
      </c>
      <c r="J135" t="s">
        <v>125</v>
      </c>
      <c r="K135" s="25" t="s">
        <v>2112</v>
      </c>
    </row>
    <row r="136" spans="1:11" ht="14.4" x14ac:dyDescent="0.3">
      <c r="A136" s="16">
        <v>1</v>
      </c>
      <c r="B136" s="6">
        <v>1015479089</v>
      </c>
      <c r="C136" s="17" t="s">
        <v>1003</v>
      </c>
      <c r="D136" s="6" t="s">
        <v>1006</v>
      </c>
      <c r="E136" s="6">
        <v>3012660204</v>
      </c>
      <c r="F136" s="8" t="s">
        <v>1005</v>
      </c>
      <c r="G136" s="12" t="s">
        <v>1004</v>
      </c>
      <c r="H136" s="7">
        <v>46050</v>
      </c>
      <c r="I136" s="7">
        <v>46387</v>
      </c>
      <c r="J136" t="s">
        <v>125</v>
      </c>
      <c r="K136" s="25" t="s">
        <v>2112</v>
      </c>
    </row>
    <row r="137" spans="1:11" ht="14.4" x14ac:dyDescent="0.3">
      <c r="A137" s="16">
        <v>1</v>
      </c>
      <c r="B137" s="6">
        <v>1026275767</v>
      </c>
      <c r="C137" s="17" t="s">
        <v>1425</v>
      </c>
      <c r="D137" s="17" t="s">
        <v>299</v>
      </c>
      <c r="E137" s="6">
        <v>3168683061</v>
      </c>
      <c r="F137" s="8" t="s">
        <v>1427</v>
      </c>
      <c r="G137" s="12" t="s">
        <v>1426</v>
      </c>
      <c r="H137" s="7">
        <v>46035</v>
      </c>
      <c r="I137" s="7">
        <v>46387</v>
      </c>
      <c r="J137" t="s">
        <v>125</v>
      </c>
      <c r="K137" s="25" t="s">
        <v>2112</v>
      </c>
    </row>
    <row r="138" spans="1:11" ht="14.4" x14ac:dyDescent="0.3">
      <c r="A138" s="16">
        <v>1</v>
      </c>
      <c r="B138" s="6">
        <v>52855892</v>
      </c>
      <c r="C138" s="17" t="s">
        <v>957</v>
      </c>
      <c r="D138" s="6" t="s">
        <v>201</v>
      </c>
      <c r="E138" s="6">
        <v>3002980068</v>
      </c>
      <c r="F138" s="8" t="s">
        <v>959</v>
      </c>
      <c r="G138" s="12" t="s">
        <v>958</v>
      </c>
      <c r="H138" s="7">
        <v>46035</v>
      </c>
      <c r="I138" s="7">
        <v>46387</v>
      </c>
      <c r="J138" t="s">
        <v>125</v>
      </c>
      <c r="K138" s="25" t="s">
        <v>2112</v>
      </c>
    </row>
    <row r="139" spans="1:11" ht="14.4" x14ac:dyDescent="0.3">
      <c r="A139" s="16">
        <v>1</v>
      </c>
      <c r="B139" s="6">
        <v>1000830438</v>
      </c>
      <c r="C139" s="17" t="s">
        <v>188</v>
      </c>
      <c r="D139" s="6" t="s">
        <v>742</v>
      </c>
      <c r="E139" s="6">
        <v>3103224575</v>
      </c>
      <c r="F139" s="8" t="s">
        <v>189</v>
      </c>
      <c r="G139" s="6" t="s">
        <v>20</v>
      </c>
      <c r="H139" s="7" t="s">
        <v>20</v>
      </c>
      <c r="I139" s="7" t="s">
        <v>20</v>
      </c>
      <c r="J139" t="s">
        <v>1280</v>
      </c>
      <c r="K139" s="25" t="s">
        <v>2112</v>
      </c>
    </row>
    <row r="140" spans="1:11" ht="14.4" x14ac:dyDescent="0.3">
      <c r="A140" s="16">
        <v>1</v>
      </c>
      <c r="B140" s="6">
        <v>1020731626</v>
      </c>
      <c r="C140" s="17" t="s">
        <v>823</v>
      </c>
      <c r="D140" s="6" t="s">
        <v>325</v>
      </c>
      <c r="E140" s="6">
        <v>3155350751</v>
      </c>
      <c r="F140" s="8" t="s">
        <v>825</v>
      </c>
      <c r="G140" s="12" t="s">
        <v>824</v>
      </c>
      <c r="H140" s="7">
        <v>46049</v>
      </c>
      <c r="I140" s="7">
        <v>46387</v>
      </c>
      <c r="J140" t="s">
        <v>125</v>
      </c>
      <c r="K140" s="25" t="s">
        <v>2112</v>
      </c>
    </row>
    <row r="141" spans="1:11" ht="14.4" x14ac:dyDescent="0.3">
      <c r="A141" s="16">
        <v>1</v>
      </c>
      <c r="B141" s="17">
        <v>1075257769</v>
      </c>
      <c r="C141" s="17" t="s">
        <v>1044</v>
      </c>
      <c r="D141" s="17" t="s">
        <v>1041</v>
      </c>
      <c r="E141" s="17">
        <v>3002962851</v>
      </c>
      <c r="F141" s="8" t="s">
        <v>1046</v>
      </c>
      <c r="G141" s="17" t="s">
        <v>1045</v>
      </c>
      <c r="H141" s="18">
        <v>46051</v>
      </c>
      <c r="I141" s="18">
        <v>46232</v>
      </c>
      <c r="J141" s="19" t="s">
        <v>125</v>
      </c>
      <c r="K141" s="22" t="s">
        <v>2098</v>
      </c>
    </row>
    <row r="142" spans="1:11" ht="14.4" x14ac:dyDescent="0.3">
      <c r="A142" s="16">
        <v>1</v>
      </c>
      <c r="B142" s="6">
        <v>1110466592</v>
      </c>
      <c r="C142" s="17" t="s">
        <v>1692</v>
      </c>
      <c r="D142" s="6" t="s">
        <v>500</v>
      </c>
      <c r="E142" s="6">
        <v>3013380694</v>
      </c>
      <c r="F142" s="8" t="s">
        <v>1694</v>
      </c>
      <c r="G142" s="6" t="s">
        <v>1693</v>
      </c>
      <c r="H142" s="7">
        <v>46035</v>
      </c>
      <c r="I142" s="7">
        <v>46387</v>
      </c>
      <c r="J142" t="s">
        <v>125</v>
      </c>
      <c r="K142" s="25" t="s">
        <v>2112</v>
      </c>
    </row>
    <row r="143" spans="1:11" ht="14.4" x14ac:dyDescent="0.3">
      <c r="A143" s="16">
        <v>1</v>
      </c>
      <c r="B143" s="6">
        <v>1022329322</v>
      </c>
      <c r="C143" s="17" t="s">
        <v>1912</v>
      </c>
      <c r="D143" s="6" t="s">
        <v>500</v>
      </c>
      <c r="E143" s="6">
        <v>3112413007</v>
      </c>
      <c r="F143" s="8" t="s">
        <v>1914</v>
      </c>
      <c r="G143" s="12" t="s">
        <v>1913</v>
      </c>
      <c r="H143" s="7">
        <v>46030</v>
      </c>
      <c r="I143" s="7">
        <v>46387</v>
      </c>
      <c r="J143" t="s">
        <v>125</v>
      </c>
      <c r="K143" s="25" t="s">
        <v>2112</v>
      </c>
    </row>
    <row r="144" spans="1:11" ht="14.4" x14ac:dyDescent="0.3">
      <c r="A144" s="16">
        <v>1</v>
      </c>
      <c r="B144" s="6">
        <v>53140489</v>
      </c>
      <c r="C144" s="17" t="s">
        <v>948</v>
      </c>
      <c r="D144" s="6" t="s">
        <v>2111</v>
      </c>
      <c r="E144" s="6">
        <v>3174451841</v>
      </c>
      <c r="F144" s="8" t="s">
        <v>950</v>
      </c>
      <c r="G144" s="12" t="s">
        <v>949</v>
      </c>
      <c r="H144" s="7">
        <v>46031</v>
      </c>
      <c r="I144" s="7">
        <v>46364</v>
      </c>
      <c r="J144" t="s">
        <v>125</v>
      </c>
      <c r="K144" s="25" t="s">
        <v>2112</v>
      </c>
    </row>
    <row r="145" spans="1:11" ht="14.4" x14ac:dyDescent="0.3">
      <c r="A145" s="16">
        <v>1</v>
      </c>
      <c r="B145" s="6">
        <v>52057419</v>
      </c>
      <c r="C145" s="17" t="s">
        <v>306</v>
      </c>
      <c r="D145" s="17" t="s">
        <v>299</v>
      </c>
      <c r="E145" s="6">
        <v>3164533485</v>
      </c>
      <c r="F145" s="8" t="s">
        <v>308</v>
      </c>
      <c r="G145" s="12" t="s">
        <v>307</v>
      </c>
      <c r="H145" s="7">
        <v>46030</v>
      </c>
      <c r="I145" s="7">
        <v>46387</v>
      </c>
      <c r="J145" t="s">
        <v>125</v>
      </c>
      <c r="K145" s="25" t="s">
        <v>2112</v>
      </c>
    </row>
    <row r="146" spans="1:11" ht="14.4" x14ac:dyDescent="0.3">
      <c r="A146" s="16">
        <v>1</v>
      </c>
      <c r="B146" s="17">
        <v>1010185027</v>
      </c>
      <c r="C146" s="17" t="s">
        <v>1193</v>
      </c>
      <c r="D146" s="6" t="s">
        <v>1353</v>
      </c>
      <c r="E146" s="17">
        <v>3125774718</v>
      </c>
      <c r="F146" s="8" t="s">
        <v>1195</v>
      </c>
      <c r="G146" s="23" t="s">
        <v>1194</v>
      </c>
      <c r="H146" s="18">
        <v>46044</v>
      </c>
      <c r="I146" s="18">
        <v>46219</v>
      </c>
      <c r="J146" s="19" t="s">
        <v>125</v>
      </c>
      <c r="K146" s="21" t="s">
        <v>2098</v>
      </c>
    </row>
    <row r="147" spans="1:11" ht="14.4" x14ac:dyDescent="0.3">
      <c r="A147" s="16">
        <v>1</v>
      </c>
      <c r="B147" s="6">
        <v>52146673</v>
      </c>
      <c r="C147" s="17" t="s">
        <v>1089</v>
      </c>
      <c r="D147" s="17" t="s">
        <v>207</v>
      </c>
      <c r="E147" s="6">
        <v>3002138043</v>
      </c>
      <c r="F147" s="8" t="s">
        <v>1091</v>
      </c>
      <c r="G147" s="12" t="s">
        <v>1090</v>
      </c>
      <c r="H147" s="7">
        <v>46037</v>
      </c>
      <c r="I147" s="7">
        <v>46280</v>
      </c>
      <c r="J147" t="s">
        <v>125</v>
      </c>
      <c r="K147" s="25" t="s">
        <v>2112</v>
      </c>
    </row>
    <row r="148" spans="1:11" ht="14.4" x14ac:dyDescent="0.3">
      <c r="A148" s="16">
        <v>1</v>
      </c>
      <c r="B148" s="13">
        <v>1032443029</v>
      </c>
      <c r="C148" s="24" t="s">
        <v>1863</v>
      </c>
      <c r="D148" s="6" t="s">
        <v>256</v>
      </c>
      <c r="E148" s="13">
        <v>3223943468</v>
      </c>
      <c r="F148" s="8" t="s">
        <v>1865</v>
      </c>
      <c r="G148" s="6" t="s">
        <v>1864</v>
      </c>
      <c r="H148" s="7">
        <v>46058</v>
      </c>
      <c r="I148" s="7">
        <v>46238</v>
      </c>
      <c r="J148" t="s">
        <v>125</v>
      </c>
      <c r="K148" s="25" t="s">
        <v>2112</v>
      </c>
    </row>
    <row r="149" spans="1:11" ht="14.4" x14ac:dyDescent="0.3">
      <c r="A149" s="16">
        <v>1</v>
      </c>
      <c r="B149" s="6">
        <v>1016070278</v>
      </c>
      <c r="C149" s="17" t="s">
        <v>1016</v>
      </c>
      <c r="D149" s="6" t="s">
        <v>270</v>
      </c>
      <c r="E149" s="6">
        <v>3208723277</v>
      </c>
      <c r="F149" s="8" t="s">
        <v>1018</v>
      </c>
      <c r="G149" s="12" t="s">
        <v>1017</v>
      </c>
      <c r="H149" s="7">
        <v>46031</v>
      </c>
      <c r="I149" s="7">
        <v>46334</v>
      </c>
      <c r="J149" t="s">
        <v>125</v>
      </c>
      <c r="K149" s="25" t="s">
        <v>2112</v>
      </c>
    </row>
    <row r="150" spans="1:11" ht="14.4" x14ac:dyDescent="0.3">
      <c r="A150" s="16">
        <v>1</v>
      </c>
      <c r="B150" s="6">
        <v>79944990</v>
      </c>
      <c r="C150" s="17" t="s">
        <v>1107</v>
      </c>
      <c r="D150" s="17" t="s">
        <v>207</v>
      </c>
      <c r="E150" s="6">
        <v>3108127012</v>
      </c>
      <c r="F150" s="8" t="s">
        <v>1109</v>
      </c>
      <c r="G150" s="12" t="s">
        <v>1108</v>
      </c>
      <c r="H150" s="7">
        <v>46031</v>
      </c>
      <c r="I150" s="7">
        <v>46364</v>
      </c>
      <c r="J150" t="s">
        <v>125</v>
      </c>
      <c r="K150" s="25" t="s">
        <v>2112</v>
      </c>
    </row>
    <row r="151" spans="1:11" ht="14.4" x14ac:dyDescent="0.3">
      <c r="A151" s="16">
        <v>1</v>
      </c>
      <c r="B151" s="6">
        <v>80401214</v>
      </c>
      <c r="C151" s="17" t="s">
        <v>922</v>
      </c>
      <c r="D151" s="6" t="s">
        <v>270</v>
      </c>
      <c r="E151" s="6">
        <v>3144430585</v>
      </c>
      <c r="F151" s="8" t="s">
        <v>924</v>
      </c>
      <c r="G151" s="12" t="s">
        <v>923</v>
      </c>
      <c r="H151" s="7">
        <v>46043</v>
      </c>
      <c r="I151" s="7">
        <v>46252</v>
      </c>
      <c r="J151" t="s">
        <v>125</v>
      </c>
      <c r="K151" s="25" t="s">
        <v>2112</v>
      </c>
    </row>
    <row r="152" spans="1:11" ht="14.4" x14ac:dyDescent="0.3">
      <c r="A152" s="16">
        <v>1</v>
      </c>
      <c r="B152" s="6">
        <v>4978456</v>
      </c>
      <c r="C152" s="17" t="s">
        <v>902</v>
      </c>
      <c r="D152" s="6" t="s">
        <v>500</v>
      </c>
      <c r="E152" s="6">
        <v>3108688874</v>
      </c>
      <c r="F152" s="8" t="s">
        <v>904</v>
      </c>
      <c r="G152" s="12" t="s">
        <v>903</v>
      </c>
      <c r="H152" s="7">
        <v>46044</v>
      </c>
      <c r="I152" s="7">
        <v>46286</v>
      </c>
      <c r="J152" t="s">
        <v>125</v>
      </c>
      <c r="K152" s="25" t="s">
        <v>2112</v>
      </c>
    </row>
    <row r="153" spans="1:11" ht="14.4" x14ac:dyDescent="0.3">
      <c r="A153" s="16">
        <v>1</v>
      </c>
      <c r="B153" s="6">
        <v>396645660</v>
      </c>
      <c r="C153" s="17" t="s">
        <v>522</v>
      </c>
      <c r="D153" s="6" t="s">
        <v>270</v>
      </c>
      <c r="E153" s="6">
        <v>3108741396</v>
      </c>
      <c r="F153" s="8" t="s">
        <v>523</v>
      </c>
      <c r="G153" s="6" t="s">
        <v>20</v>
      </c>
      <c r="H153" s="7" t="s">
        <v>20</v>
      </c>
      <c r="I153" s="7" t="s">
        <v>20</v>
      </c>
      <c r="J153" t="s">
        <v>119</v>
      </c>
      <c r="K153" s="25" t="s">
        <v>2112</v>
      </c>
    </row>
    <row r="154" spans="1:11" ht="14.4" x14ac:dyDescent="0.3">
      <c r="A154" s="16">
        <v>1</v>
      </c>
      <c r="B154" s="6">
        <v>52218503</v>
      </c>
      <c r="C154" s="17" t="s">
        <v>49</v>
      </c>
      <c r="D154" s="6" t="s">
        <v>1698</v>
      </c>
      <c r="E154" s="6">
        <v>3004427959</v>
      </c>
      <c r="F154" s="7" t="s">
        <v>20</v>
      </c>
      <c r="G154" s="6" t="s">
        <v>20</v>
      </c>
      <c r="H154" s="7" t="s">
        <v>20</v>
      </c>
      <c r="I154" s="7" t="s">
        <v>20</v>
      </c>
      <c r="J154" t="s">
        <v>1280</v>
      </c>
      <c r="K154" s="25" t="s">
        <v>2112</v>
      </c>
    </row>
    <row r="155" spans="1:11" ht="14.4" x14ac:dyDescent="0.3">
      <c r="A155" s="16">
        <v>1</v>
      </c>
      <c r="B155" s="17">
        <v>1014279715</v>
      </c>
      <c r="C155" s="17" t="s">
        <v>1115</v>
      </c>
      <c r="D155" s="17" t="s">
        <v>207</v>
      </c>
      <c r="E155" s="17">
        <v>3105855871</v>
      </c>
      <c r="F155" s="8" t="s">
        <v>1117</v>
      </c>
      <c r="G155" s="23" t="s">
        <v>1116</v>
      </c>
      <c r="H155" s="18">
        <v>46030</v>
      </c>
      <c r="I155" s="18">
        <v>46208</v>
      </c>
      <c r="J155" s="19" t="s">
        <v>125</v>
      </c>
      <c r="K155" s="21" t="s">
        <v>2098</v>
      </c>
    </row>
    <row r="156" spans="1:11" ht="14.4" x14ac:dyDescent="0.3">
      <c r="A156" s="16">
        <v>1</v>
      </c>
      <c r="B156" s="6">
        <v>80024049</v>
      </c>
      <c r="C156" s="17" t="s">
        <v>113</v>
      </c>
      <c r="D156" s="6" t="s">
        <v>1353</v>
      </c>
      <c r="E156" s="6">
        <v>3143405600</v>
      </c>
      <c r="F156" s="8" t="s">
        <v>114</v>
      </c>
      <c r="G156" s="6" t="s">
        <v>20</v>
      </c>
      <c r="H156" s="7" t="s">
        <v>20</v>
      </c>
      <c r="I156" s="7" t="s">
        <v>20</v>
      </c>
      <c r="J156" t="s">
        <v>119</v>
      </c>
      <c r="K156" s="25" t="s">
        <v>2112</v>
      </c>
    </row>
    <row r="157" spans="1:11" ht="14.4" x14ac:dyDescent="0.3">
      <c r="A157" s="16">
        <v>1</v>
      </c>
      <c r="B157" s="6">
        <v>80121497</v>
      </c>
      <c r="C157" s="17" t="s">
        <v>779</v>
      </c>
      <c r="D157" s="6" t="s">
        <v>1229</v>
      </c>
      <c r="E157" s="6">
        <v>3003457997</v>
      </c>
      <c r="F157" s="8" t="s">
        <v>780</v>
      </c>
      <c r="G157" s="6" t="s">
        <v>20</v>
      </c>
      <c r="H157" s="7" t="s">
        <v>20</v>
      </c>
      <c r="I157" s="7" t="s">
        <v>20</v>
      </c>
      <c r="J157" t="s">
        <v>119</v>
      </c>
      <c r="K157" s="25" t="s">
        <v>2112</v>
      </c>
    </row>
    <row r="158" spans="1:11" ht="14.4" x14ac:dyDescent="0.3">
      <c r="A158" s="16">
        <v>1</v>
      </c>
      <c r="B158" s="6">
        <v>71761674</v>
      </c>
      <c r="C158" s="17" t="s">
        <v>327</v>
      </c>
      <c r="D158" s="6" t="s">
        <v>1229</v>
      </c>
      <c r="E158" s="6">
        <v>3212042506</v>
      </c>
      <c r="F158" s="8" t="s">
        <v>328</v>
      </c>
      <c r="G158" s="6" t="s">
        <v>20</v>
      </c>
      <c r="H158" s="7" t="s">
        <v>20</v>
      </c>
      <c r="I158" s="7" t="s">
        <v>20</v>
      </c>
      <c r="J158" t="s">
        <v>119</v>
      </c>
      <c r="K158" s="25" t="s">
        <v>2112</v>
      </c>
    </row>
    <row r="159" spans="1:11" ht="14.4" x14ac:dyDescent="0.3">
      <c r="A159" s="16">
        <v>1</v>
      </c>
      <c r="B159" s="6">
        <v>1010171786</v>
      </c>
      <c r="C159" s="17" t="s">
        <v>126</v>
      </c>
      <c r="D159" s="6" t="s">
        <v>1229</v>
      </c>
      <c r="E159" s="6">
        <v>3102160889</v>
      </c>
      <c r="F159" s="8" t="s">
        <v>128</v>
      </c>
      <c r="G159" s="12" t="s">
        <v>127</v>
      </c>
      <c r="H159" s="7">
        <v>46038</v>
      </c>
      <c r="I159" s="7">
        <v>46280</v>
      </c>
      <c r="J159" t="s">
        <v>125</v>
      </c>
      <c r="K159" s="25" t="s">
        <v>2112</v>
      </c>
    </row>
    <row r="160" spans="1:11" ht="14.4" x14ac:dyDescent="0.3">
      <c r="A160" s="16">
        <v>1</v>
      </c>
      <c r="B160" s="17">
        <v>51831480</v>
      </c>
      <c r="C160" s="17" t="s">
        <v>107</v>
      </c>
      <c r="D160" s="6" t="s">
        <v>270</v>
      </c>
      <c r="E160" s="17">
        <v>3183891026</v>
      </c>
      <c r="F160" s="8" t="s">
        <v>109</v>
      </c>
      <c r="G160" s="17" t="s">
        <v>108</v>
      </c>
      <c r="H160" s="18">
        <v>46030</v>
      </c>
      <c r="I160" s="18">
        <v>46239</v>
      </c>
      <c r="J160" s="9" t="s">
        <v>125</v>
      </c>
      <c r="K160" s="22" t="s">
        <v>2098</v>
      </c>
    </row>
    <row r="161" spans="1:11" ht="14.4" x14ac:dyDescent="0.3">
      <c r="A161" s="16">
        <v>1</v>
      </c>
      <c r="B161" s="6">
        <v>1110494882</v>
      </c>
      <c r="C161" s="17" t="s">
        <v>889</v>
      </c>
      <c r="D161" s="6" t="s">
        <v>270</v>
      </c>
      <c r="E161" s="6">
        <v>3004812996</v>
      </c>
      <c r="F161" s="8" t="s">
        <v>891</v>
      </c>
      <c r="G161" s="12" t="s">
        <v>890</v>
      </c>
      <c r="H161" s="7">
        <v>46037</v>
      </c>
      <c r="I161" s="7">
        <v>46249</v>
      </c>
      <c r="J161" t="s">
        <v>125</v>
      </c>
      <c r="K161" s="25" t="s">
        <v>2112</v>
      </c>
    </row>
    <row r="162" spans="1:11" ht="14.4" x14ac:dyDescent="0.3">
      <c r="A162" s="16">
        <v>1</v>
      </c>
      <c r="B162" s="6">
        <v>1019023084</v>
      </c>
      <c r="C162" s="17" t="s">
        <v>663</v>
      </c>
      <c r="D162" s="17" t="s">
        <v>299</v>
      </c>
      <c r="E162" s="6">
        <v>3104785629</v>
      </c>
      <c r="F162" s="8" t="s">
        <v>665</v>
      </c>
      <c r="G162" s="12" t="s">
        <v>664</v>
      </c>
      <c r="H162" s="7">
        <v>46037</v>
      </c>
      <c r="I162" s="7">
        <v>46387</v>
      </c>
      <c r="J162" t="s">
        <v>125</v>
      </c>
      <c r="K162" s="25" t="s">
        <v>2112</v>
      </c>
    </row>
    <row r="163" spans="1:11" ht="14.4" x14ac:dyDescent="0.3">
      <c r="A163" s="16">
        <v>1</v>
      </c>
      <c r="B163" s="17">
        <v>79967484</v>
      </c>
      <c r="C163" s="17" t="s">
        <v>1202</v>
      </c>
      <c r="D163" s="6" t="s">
        <v>256</v>
      </c>
      <c r="E163" s="17">
        <v>3114465810</v>
      </c>
      <c r="F163" s="8" t="s">
        <v>1204</v>
      </c>
      <c r="G163" s="23" t="s">
        <v>1203</v>
      </c>
      <c r="H163" s="18">
        <v>46046</v>
      </c>
      <c r="I163" s="18">
        <v>46226</v>
      </c>
      <c r="J163" s="19" t="s">
        <v>125</v>
      </c>
      <c r="K163" s="21" t="s">
        <v>2098</v>
      </c>
    </row>
    <row r="164" spans="1:11" ht="14.4" x14ac:dyDescent="0.3">
      <c r="A164" s="16">
        <v>1</v>
      </c>
      <c r="B164" s="17">
        <v>80505613</v>
      </c>
      <c r="C164" s="17" t="s">
        <v>603</v>
      </c>
      <c r="D164" s="6" t="s">
        <v>1338</v>
      </c>
      <c r="E164" s="17">
        <v>3122600799</v>
      </c>
      <c r="F164" s="8" t="s">
        <v>605</v>
      </c>
      <c r="G164" s="23" t="s">
        <v>604</v>
      </c>
      <c r="H164" s="18">
        <v>46042</v>
      </c>
      <c r="I164" s="18">
        <v>46041</v>
      </c>
      <c r="J164" s="19" t="s">
        <v>125</v>
      </c>
      <c r="K164" s="21" t="s">
        <v>2098</v>
      </c>
    </row>
    <row r="165" spans="1:11" ht="14.4" x14ac:dyDescent="0.3">
      <c r="A165" s="16">
        <v>1</v>
      </c>
      <c r="B165" s="6">
        <v>79954325</v>
      </c>
      <c r="C165" s="17" t="s">
        <v>1965</v>
      </c>
      <c r="D165" s="6" t="s">
        <v>434</v>
      </c>
      <c r="E165" s="6">
        <v>3142398567</v>
      </c>
      <c r="F165" s="8" t="s">
        <v>1967</v>
      </c>
      <c r="G165" s="12" t="s">
        <v>1966</v>
      </c>
      <c r="H165" s="7">
        <v>46031</v>
      </c>
      <c r="I165" s="7">
        <v>46387</v>
      </c>
      <c r="J165" t="s">
        <v>125</v>
      </c>
      <c r="K165" s="25" t="s">
        <v>2112</v>
      </c>
    </row>
    <row r="166" spans="1:11" ht="14.4" x14ac:dyDescent="0.3">
      <c r="A166" s="16">
        <v>1</v>
      </c>
      <c r="B166" s="6">
        <v>79605849</v>
      </c>
      <c r="C166" s="17" t="s">
        <v>1292</v>
      </c>
      <c r="D166" s="17" t="s">
        <v>207</v>
      </c>
      <c r="E166" s="6">
        <v>3114527947</v>
      </c>
      <c r="F166" s="8" t="s">
        <v>1293</v>
      </c>
      <c r="G166" s="6" t="s">
        <v>20</v>
      </c>
      <c r="H166" s="7" t="s">
        <v>20</v>
      </c>
      <c r="I166" s="7" t="s">
        <v>20</v>
      </c>
      <c r="J166" t="s">
        <v>119</v>
      </c>
      <c r="K166" s="25" t="s">
        <v>2112</v>
      </c>
    </row>
    <row r="167" spans="1:11" ht="14.4" x14ac:dyDescent="0.3">
      <c r="A167" s="16">
        <v>1</v>
      </c>
      <c r="B167" s="6">
        <v>32711441</v>
      </c>
      <c r="C167" s="17" t="s">
        <v>1478</v>
      </c>
      <c r="D167" s="6" t="s">
        <v>1562</v>
      </c>
      <c r="E167" s="6">
        <v>3008790148</v>
      </c>
      <c r="F167" s="8" t="s">
        <v>1479</v>
      </c>
      <c r="G167" s="6" t="s">
        <v>20</v>
      </c>
      <c r="H167" s="7" t="s">
        <v>20</v>
      </c>
      <c r="I167" s="7" t="s">
        <v>20</v>
      </c>
      <c r="J167" s="19" t="s">
        <v>1280</v>
      </c>
      <c r="K167" s="25" t="s">
        <v>2112</v>
      </c>
    </row>
    <row r="168" spans="1:11" ht="14.4" x14ac:dyDescent="0.3">
      <c r="A168" s="16">
        <v>1</v>
      </c>
      <c r="B168" s="6">
        <v>84102209</v>
      </c>
      <c r="C168" s="17" t="s">
        <v>1990</v>
      </c>
      <c r="D168" s="6" t="s">
        <v>434</v>
      </c>
      <c r="E168" s="6">
        <v>3013739116</v>
      </c>
      <c r="F168" s="8" t="s">
        <v>1992</v>
      </c>
      <c r="G168" s="6" t="s">
        <v>1991</v>
      </c>
      <c r="H168" s="7">
        <v>46045</v>
      </c>
      <c r="I168" s="7">
        <v>46387</v>
      </c>
      <c r="J168" t="s">
        <v>125</v>
      </c>
      <c r="K168" s="25" t="s">
        <v>2112</v>
      </c>
    </row>
    <row r="169" spans="1:11" ht="14.4" x14ac:dyDescent="0.3">
      <c r="A169" s="16">
        <v>1</v>
      </c>
      <c r="B169" s="6">
        <v>1031166153</v>
      </c>
      <c r="C169" s="17" t="s">
        <v>1705</v>
      </c>
      <c r="D169" s="6" t="s">
        <v>1702</v>
      </c>
      <c r="E169" s="6">
        <v>3044630215</v>
      </c>
      <c r="F169" s="8" t="s">
        <v>1706</v>
      </c>
      <c r="G169" s="6" t="s">
        <v>20</v>
      </c>
      <c r="H169" s="7" t="s">
        <v>20</v>
      </c>
      <c r="I169" s="7" t="s">
        <v>20</v>
      </c>
      <c r="J169" t="s">
        <v>1280</v>
      </c>
      <c r="K169" s="25" t="s">
        <v>2112</v>
      </c>
    </row>
    <row r="170" spans="1:11" ht="14.4" x14ac:dyDescent="0.3">
      <c r="A170" s="16">
        <v>1</v>
      </c>
      <c r="B170" s="6">
        <v>1049632235</v>
      </c>
      <c r="C170" s="17" t="s">
        <v>1134</v>
      </c>
      <c r="D170" s="6" t="s">
        <v>500</v>
      </c>
      <c r="E170" s="6">
        <v>3023671569</v>
      </c>
      <c r="F170" s="8" t="s">
        <v>1136</v>
      </c>
      <c r="G170" s="12" t="s">
        <v>1135</v>
      </c>
      <c r="H170" s="7">
        <v>46044</v>
      </c>
      <c r="I170" s="7">
        <v>46387</v>
      </c>
      <c r="J170" t="s">
        <v>125</v>
      </c>
      <c r="K170" s="25" t="s">
        <v>2112</v>
      </c>
    </row>
    <row r="171" spans="1:11" ht="14.4" x14ac:dyDescent="0.3">
      <c r="A171" s="16">
        <v>1</v>
      </c>
      <c r="B171" s="6">
        <v>52152263</v>
      </c>
      <c r="C171" s="17" t="s">
        <v>840</v>
      </c>
      <c r="D171" s="6" t="s">
        <v>2109</v>
      </c>
      <c r="E171" s="6">
        <v>3203940357</v>
      </c>
      <c r="F171" s="8" t="s">
        <v>842</v>
      </c>
      <c r="G171" s="12" t="s">
        <v>841</v>
      </c>
      <c r="H171" s="7">
        <v>46035</v>
      </c>
      <c r="I171" s="7">
        <v>46338</v>
      </c>
      <c r="J171" t="s">
        <v>125</v>
      </c>
      <c r="K171" s="25" t="s">
        <v>2112</v>
      </c>
    </row>
    <row r="172" spans="1:11" ht="14.4" x14ac:dyDescent="0.3">
      <c r="A172" s="16">
        <v>1</v>
      </c>
      <c r="B172" s="6">
        <v>1019093180</v>
      </c>
      <c r="C172" s="17" t="s">
        <v>1383</v>
      </c>
      <c r="D172" s="6" t="s">
        <v>325</v>
      </c>
      <c r="E172" s="6">
        <v>3022498107</v>
      </c>
      <c r="F172" s="8" t="s">
        <v>1385</v>
      </c>
      <c r="G172" s="6" t="s">
        <v>1384</v>
      </c>
      <c r="H172" s="7">
        <v>46057</v>
      </c>
      <c r="I172" s="7">
        <v>46237</v>
      </c>
      <c r="J172" t="s">
        <v>125</v>
      </c>
      <c r="K172" s="25" t="s">
        <v>2112</v>
      </c>
    </row>
    <row r="173" spans="1:11" ht="14.4" x14ac:dyDescent="0.3">
      <c r="A173" s="16">
        <v>1</v>
      </c>
      <c r="B173" s="6">
        <v>52777129</v>
      </c>
      <c r="C173" s="17" t="s">
        <v>726</v>
      </c>
      <c r="D173" s="6" t="s">
        <v>587</v>
      </c>
      <c r="E173" s="6">
        <v>3212128327</v>
      </c>
      <c r="F173" s="8" t="s">
        <v>728</v>
      </c>
      <c r="G173" s="12" t="s">
        <v>727</v>
      </c>
      <c r="H173" s="7">
        <v>46036</v>
      </c>
      <c r="I173" s="7">
        <v>46370</v>
      </c>
      <c r="J173" t="s">
        <v>125</v>
      </c>
      <c r="K173" s="25" t="s">
        <v>2112</v>
      </c>
    </row>
    <row r="174" spans="1:11" ht="14.4" x14ac:dyDescent="0.3">
      <c r="A174" s="16">
        <v>1</v>
      </c>
      <c r="B174" s="6">
        <v>1030524007</v>
      </c>
      <c r="C174" s="17" t="s">
        <v>233</v>
      </c>
      <c r="D174" s="17" t="s">
        <v>299</v>
      </c>
      <c r="E174" s="6">
        <v>3203872487</v>
      </c>
      <c r="F174" s="8" t="s">
        <v>235</v>
      </c>
      <c r="G174" s="12" t="s">
        <v>234</v>
      </c>
      <c r="H174" s="7">
        <v>46048</v>
      </c>
      <c r="I174" s="7">
        <v>46387</v>
      </c>
      <c r="J174" t="s">
        <v>125</v>
      </c>
      <c r="K174" s="25" t="s">
        <v>2112</v>
      </c>
    </row>
    <row r="175" spans="1:11" ht="14.4" x14ac:dyDescent="0.3">
      <c r="A175" s="16">
        <v>1</v>
      </c>
      <c r="B175" s="6">
        <v>79466477</v>
      </c>
      <c r="C175" s="17" t="s">
        <v>418</v>
      </c>
      <c r="D175" s="6" t="s">
        <v>325</v>
      </c>
      <c r="E175" s="6">
        <v>3192525405</v>
      </c>
      <c r="F175" s="8" t="s">
        <v>420</v>
      </c>
      <c r="G175" s="12" t="s">
        <v>419</v>
      </c>
      <c r="H175" s="7">
        <v>46048</v>
      </c>
      <c r="I175" s="7">
        <v>46290</v>
      </c>
      <c r="J175" t="s">
        <v>125</v>
      </c>
      <c r="K175" s="25" t="s">
        <v>2112</v>
      </c>
    </row>
    <row r="176" spans="1:11" ht="14.4" x14ac:dyDescent="0.3">
      <c r="A176" s="16">
        <v>1</v>
      </c>
      <c r="B176" s="6">
        <v>79794570</v>
      </c>
      <c r="C176" s="17" t="s">
        <v>1233</v>
      </c>
      <c r="D176" s="17" t="s">
        <v>207</v>
      </c>
      <c r="E176" s="6">
        <v>3002715302</v>
      </c>
      <c r="F176" s="8" t="s">
        <v>333</v>
      </c>
      <c r="G176" s="12" t="s">
        <v>1234</v>
      </c>
      <c r="H176" s="7">
        <v>46048</v>
      </c>
      <c r="I176" s="7">
        <v>46381</v>
      </c>
      <c r="J176" t="s">
        <v>125</v>
      </c>
      <c r="K176" s="25" t="s">
        <v>2112</v>
      </c>
    </row>
    <row r="177" spans="1:11" ht="14.4" x14ac:dyDescent="0.3">
      <c r="A177" s="16">
        <v>1</v>
      </c>
      <c r="B177" s="13">
        <v>79795088</v>
      </c>
      <c r="C177" s="24" t="s">
        <v>1874</v>
      </c>
      <c r="D177" s="6" t="s">
        <v>270</v>
      </c>
      <c r="E177" s="13">
        <v>3106630246</v>
      </c>
      <c r="F177" s="8" t="s">
        <v>1875</v>
      </c>
      <c r="G177" s="6" t="s">
        <v>20</v>
      </c>
      <c r="H177" s="6" t="s">
        <v>20</v>
      </c>
      <c r="I177" s="6" t="s">
        <v>20</v>
      </c>
      <c r="J177" t="s">
        <v>119</v>
      </c>
      <c r="K177" s="25" t="s">
        <v>2112</v>
      </c>
    </row>
    <row r="178" spans="1:11" ht="14.4" x14ac:dyDescent="0.3">
      <c r="A178" s="16">
        <v>1</v>
      </c>
      <c r="B178" s="6">
        <v>1094272550</v>
      </c>
      <c r="C178" s="17" t="s">
        <v>1773</v>
      </c>
      <c r="D178" s="6" t="s">
        <v>500</v>
      </c>
      <c r="E178" s="6">
        <v>3004336661</v>
      </c>
      <c r="F178" s="8" t="s">
        <v>1775</v>
      </c>
      <c r="G178" s="6" t="s">
        <v>1774</v>
      </c>
      <c r="H178" s="7">
        <v>46055</v>
      </c>
      <c r="I178" s="7">
        <v>46387</v>
      </c>
      <c r="J178" t="s">
        <v>125</v>
      </c>
      <c r="K178" s="25" t="s">
        <v>2112</v>
      </c>
    </row>
    <row r="179" spans="1:11" ht="14.4" x14ac:dyDescent="0.3">
      <c r="A179" s="16">
        <v>1</v>
      </c>
      <c r="B179" s="6">
        <v>1042417351</v>
      </c>
      <c r="C179" s="17" t="s">
        <v>141</v>
      </c>
      <c r="D179" s="17" t="s">
        <v>2011</v>
      </c>
      <c r="E179" s="6">
        <v>3103832562</v>
      </c>
      <c r="F179" s="8" t="s">
        <v>142</v>
      </c>
      <c r="G179" s="6" t="s">
        <v>20</v>
      </c>
      <c r="H179" s="7" t="s">
        <v>20</v>
      </c>
      <c r="I179" s="7" t="s">
        <v>20</v>
      </c>
      <c r="J179" t="s">
        <v>119</v>
      </c>
      <c r="K179" s="25" t="s">
        <v>2112</v>
      </c>
    </row>
    <row r="180" spans="1:11" ht="14.4" x14ac:dyDescent="0.3">
      <c r="A180" s="16">
        <v>1</v>
      </c>
      <c r="B180" s="6">
        <v>80767685</v>
      </c>
      <c r="C180" s="17" t="s">
        <v>1962</v>
      </c>
      <c r="D180" s="6" t="s">
        <v>285</v>
      </c>
      <c r="E180" s="6">
        <v>3114519936</v>
      </c>
      <c r="F180" s="8" t="s">
        <v>1964</v>
      </c>
      <c r="G180" s="12" t="s">
        <v>1963</v>
      </c>
      <c r="H180" s="12">
        <v>46038</v>
      </c>
      <c r="I180" s="12">
        <v>46387</v>
      </c>
      <c r="J180" t="s">
        <v>125</v>
      </c>
      <c r="K180" s="25" t="s">
        <v>2112</v>
      </c>
    </row>
    <row r="181" spans="1:11" ht="14.4" x14ac:dyDescent="0.3">
      <c r="A181" s="16">
        <v>1</v>
      </c>
      <c r="B181" s="17">
        <v>1120747558</v>
      </c>
      <c r="C181" s="17" t="s">
        <v>2045</v>
      </c>
      <c r="D181" s="17" t="s">
        <v>1395</v>
      </c>
      <c r="E181" s="17">
        <v>3216992593</v>
      </c>
      <c r="F181" s="8" t="s">
        <v>2047</v>
      </c>
      <c r="G181" s="17" t="s">
        <v>2046</v>
      </c>
      <c r="H181" s="18">
        <v>46048</v>
      </c>
      <c r="I181" s="18">
        <v>46229</v>
      </c>
      <c r="J181" s="19" t="s">
        <v>125</v>
      </c>
      <c r="K181" s="22" t="s">
        <v>2098</v>
      </c>
    </row>
    <row r="182" spans="1:11" ht="14.4" x14ac:dyDescent="0.3">
      <c r="A182" s="16">
        <v>1</v>
      </c>
      <c r="B182" s="6">
        <v>79841486</v>
      </c>
      <c r="C182" s="17" t="s">
        <v>1681</v>
      </c>
      <c r="D182" s="17" t="s">
        <v>1041</v>
      </c>
      <c r="E182" s="6">
        <v>3118912104</v>
      </c>
      <c r="F182" s="8" t="s">
        <v>1683</v>
      </c>
      <c r="G182" s="6" t="s">
        <v>1682</v>
      </c>
      <c r="H182" s="7">
        <v>46045</v>
      </c>
      <c r="I182" s="7">
        <v>46225</v>
      </c>
      <c r="J182" t="s">
        <v>125</v>
      </c>
      <c r="K182" s="25" t="s">
        <v>2112</v>
      </c>
    </row>
    <row r="183" spans="1:11" ht="14.4" x14ac:dyDescent="0.3">
      <c r="A183" s="16">
        <v>1</v>
      </c>
      <c r="B183" s="6">
        <v>2996355</v>
      </c>
      <c r="C183" s="17" t="s">
        <v>1443</v>
      </c>
      <c r="D183" s="6" t="s">
        <v>434</v>
      </c>
      <c r="E183" s="6">
        <v>2996355</v>
      </c>
      <c r="F183" s="8" t="s">
        <v>1444</v>
      </c>
      <c r="G183" s="6" t="s">
        <v>20</v>
      </c>
      <c r="H183" s="7" t="s">
        <v>20</v>
      </c>
      <c r="I183" s="7" t="s">
        <v>20</v>
      </c>
      <c r="J183" t="s">
        <v>119</v>
      </c>
      <c r="K183" s="25" t="s">
        <v>2112</v>
      </c>
    </row>
    <row r="184" spans="1:11" ht="14.4" x14ac:dyDescent="0.3">
      <c r="A184" s="16">
        <v>1</v>
      </c>
      <c r="B184" s="6">
        <v>80085952</v>
      </c>
      <c r="C184" s="17" t="s">
        <v>999</v>
      </c>
      <c r="D184" s="6" t="s">
        <v>201</v>
      </c>
      <c r="E184" s="6">
        <v>3012185822</v>
      </c>
      <c r="F184" s="8" t="s">
        <v>1001</v>
      </c>
      <c r="G184" s="6" t="s">
        <v>1000</v>
      </c>
      <c r="H184" s="7">
        <v>46029</v>
      </c>
      <c r="I184" s="7">
        <v>46387</v>
      </c>
      <c r="J184" t="s">
        <v>125</v>
      </c>
      <c r="K184" s="25" t="s">
        <v>2112</v>
      </c>
    </row>
    <row r="185" spans="1:11" ht="14.4" x14ac:dyDescent="0.3">
      <c r="A185" s="16">
        <v>1</v>
      </c>
      <c r="B185" s="17">
        <v>1136888167</v>
      </c>
      <c r="C185" s="17" t="s">
        <v>1163</v>
      </c>
      <c r="D185" s="6" t="s">
        <v>1353</v>
      </c>
      <c r="E185" s="17">
        <v>3143582790</v>
      </c>
      <c r="F185" s="8" t="s">
        <v>1165</v>
      </c>
      <c r="G185" s="23" t="s">
        <v>1164</v>
      </c>
      <c r="H185" s="18">
        <v>46031</v>
      </c>
      <c r="I185" s="18">
        <v>46211</v>
      </c>
      <c r="J185" s="19" t="s">
        <v>125</v>
      </c>
      <c r="K185" s="22" t="s">
        <v>2098</v>
      </c>
    </row>
    <row r="186" spans="1:11" ht="14.4" x14ac:dyDescent="0.3">
      <c r="A186" s="16">
        <v>1</v>
      </c>
      <c r="B186" s="6">
        <v>1010222727</v>
      </c>
      <c r="C186" s="17" t="s">
        <v>311</v>
      </c>
      <c r="D186" s="6" t="s">
        <v>1562</v>
      </c>
      <c r="E186" s="6">
        <v>3212732590</v>
      </c>
      <c r="F186" s="8" t="s">
        <v>313</v>
      </c>
      <c r="G186" s="12" t="s">
        <v>312</v>
      </c>
      <c r="H186" s="7">
        <v>46031</v>
      </c>
      <c r="I186" s="7">
        <v>46382</v>
      </c>
      <c r="J186" t="s">
        <v>125</v>
      </c>
      <c r="K186" s="25" t="s">
        <v>2112</v>
      </c>
    </row>
    <row r="187" spans="1:11" ht="14.4" x14ac:dyDescent="0.3">
      <c r="A187" s="16">
        <v>1</v>
      </c>
      <c r="B187" s="17">
        <v>11185678</v>
      </c>
      <c r="C187" s="17" t="s">
        <v>243</v>
      </c>
      <c r="D187" s="6" t="s">
        <v>434</v>
      </c>
      <c r="E187" s="17">
        <v>3204437547</v>
      </c>
      <c r="F187" s="8" t="s">
        <v>245</v>
      </c>
      <c r="G187" s="23" t="s">
        <v>244</v>
      </c>
      <c r="H187" s="18">
        <v>46037</v>
      </c>
      <c r="I187" s="18">
        <v>46387</v>
      </c>
      <c r="J187" s="19" t="s">
        <v>125</v>
      </c>
      <c r="K187" s="21" t="s">
        <v>2098</v>
      </c>
    </row>
    <row r="188" spans="1:11" ht="14.4" x14ac:dyDescent="0.3">
      <c r="A188" s="16">
        <v>1</v>
      </c>
      <c r="B188" s="6">
        <v>51563303</v>
      </c>
      <c r="C188" s="17" t="s">
        <v>898</v>
      </c>
      <c r="D188" s="6" t="s">
        <v>500</v>
      </c>
      <c r="E188" s="6">
        <v>3003942680</v>
      </c>
      <c r="F188" s="8" t="s">
        <v>900</v>
      </c>
      <c r="G188" s="12" t="s">
        <v>899</v>
      </c>
      <c r="H188" s="7">
        <v>46042</v>
      </c>
      <c r="I188" s="7">
        <v>46387</v>
      </c>
      <c r="J188" t="s">
        <v>125</v>
      </c>
      <c r="K188" s="25" t="s">
        <v>2112</v>
      </c>
    </row>
    <row r="189" spans="1:11" ht="14.4" x14ac:dyDescent="0.3">
      <c r="A189" s="16">
        <v>1</v>
      </c>
      <c r="B189" s="6">
        <v>1032357287</v>
      </c>
      <c r="C189" s="17" t="s">
        <v>25</v>
      </c>
      <c r="D189" s="6" t="s">
        <v>500</v>
      </c>
      <c r="E189" s="6">
        <v>3058197451</v>
      </c>
      <c r="F189" s="8" t="s">
        <v>27</v>
      </c>
      <c r="G189" s="6" t="s">
        <v>26</v>
      </c>
      <c r="H189" s="7">
        <v>46030</v>
      </c>
      <c r="I189" s="7">
        <v>46387</v>
      </c>
      <c r="J189" s="9" t="s">
        <v>125</v>
      </c>
      <c r="K189" s="25" t="s">
        <v>2112</v>
      </c>
    </row>
    <row r="190" spans="1:11" ht="14.4" x14ac:dyDescent="0.3">
      <c r="A190" s="16">
        <v>1</v>
      </c>
      <c r="B190" s="6">
        <v>79547192</v>
      </c>
      <c r="C190" s="17" t="s">
        <v>1241</v>
      </c>
      <c r="D190" s="6" t="s">
        <v>434</v>
      </c>
      <c r="E190" s="6">
        <v>3024403891</v>
      </c>
      <c r="F190" s="8" t="s">
        <v>1242</v>
      </c>
      <c r="G190" s="6" t="s">
        <v>20</v>
      </c>
      <c r="H190" s="7" t="s">
        <v>20</v>
      </c>
      <c r="I190" s="7" t="s">
        <v>20</v>
      </c>
      <c r="J190" t="s">
        <v>119</v>
      </c>
      <c r="K190" s="25" t="s">
        <v>2112</v>
      </c>
    </row>
    <row r="191" spans="1:11" ht="14.4" x14ac:dyDescent="0.3">
      <c r="A191" s="16">
        <v>1</v>
      </c>
      <c r="B191" s="6">
        <v>1030636071</v>
      </c>
      <c r="C191" s="17" t="s">
        <v>1026</v>
      </c>
      <c r="D191" s="6" t="s">
        <v>1338</v>
      </c>
      <c r="E191" s="6">
        <v>3123964150</v>
      </c>
      <c r="F191" s="8" t="s">
        <v>1028</v>
      </c>
      <c r="G191" s="6" t="s">
        <v>1027</v>
      </c>
      <c r="H191" s="7">
        <v>46035</v>
      </c>
      <c r="I191" s="7">
        <v>46246</v>
      </c>
      <c r="J191" t="s">
        <v>125</v>
      </c>
      <c r="K191" s="25" t="s">
        <v>2112</v>
      </c>
    </row>
    <row r="192" spans="1:11" ht="14.4" x14ac:dyDescent="0.3">
      <c r="A192" s="16">
        <v>1</v>
      </c>
      <c r="B192" s="6">
        <v>1002524810</v>
      </c>
      <c r="C192" s="17" t="s">
        <v>1153</v>
      </c>
      <c r="D192" s="6" t="s">
        <v>1338</v>
      </c>
      <c r="E192" s="6">
        <v>1002524810</v>
      </c>
      <c r="F192" s="8" t="s">
        <v>1155</v>
      </c>
      <c r="G192" s="12" t="s">
        <v>1154</v>
      </c>
      <c r="H192" s="7">
        <v>46038</v>
      </c>
      <c r="I192" s="7">
        <v>46249</v>
      </c>
      <c r="J192" t="s">
        <v>125</v>
      </c>
      <c r="K192" s="25" t="s">
        <v>2112</v>
      </c>
    </row>
    <row r="193" spans="1:11" ht="14.4" x14ac:dyDescent="0.3">
      <c r="A193" s="16">
        <v>1</v>
      </c>
      <c r="B193" s="6">
        <v>88220846</v>
      </c>
      <c r="C193" s="17" t="s">
        <v>82</v>
      </c>
      <c r="D193" s="6" t="s">
        <v>500</v>
      </c>
      <c r="E193" s="6">
        <v>3203005342</v>
      </c>
      <c r="F193" s="8" t="s">
        <v>84</v>
      </c>
      <c r="G193" s="6" t="s">
        <v>83</v>
      </c>
      <c r="H193" s="7">
        <v>46041</v>
      </c>
      <c r="I193" s="7">
        <v>46387</v>
      </c>
      <c r="J193" s="9" t="s">
        <v>125</v>
      </c>
      <c r="K193" s="25" t="s">
        <v>2112</v>
      </c>
    </row>
    <row r="194" spans="1:11" ht="14.4" x14ac:dyDescent="0.3">
      <c r="A194" s="16">
        <v>1</v>
      </c>
      <c r="B194" s="6">
        <v>1019131919</v>
      </c>
      <c r="C194" s="17" t="s">
        <v>974</v>
      </c>
      <c r="D194" s="6" t="s">
        <v>1338</v>
      </c>
      <c r="E194" s="6">
        <v>3214139115</v>
      </c>
      <c r="F194" s="8" t="s">
        <v>976</v>
      </c>
      <c r="G194" s="12" t="s">
        <v>975</v>
      </c>
      <c r="H194" s="7">
        <v>46048</v>
      </c>
      <c r="I194" s="7">
        <v>46259</v>
      </c>
      <c r="J194" t="s">
        <v>125</v>
      </c>
      <c r="K194" s="25" t="s">
        <v>2112</v>
      </c>
    </row>
    <row r="195" spans="1:11" ht="14.4" x14ac:dyDescent="0.3">
      <c r="A195" s="16">
        <v>1</v>
      </c>
      <c r="B195" s="6">
        <v>1018431754</v>
      </c>
      <c r="C195" s="17" t="s">
        <v>1585</v>
      </c>
      <c r="D195" s="6" t="s">
        <v>1905</v>
      </c>
      <c r="E195" s="6">
        <v>3192887080</v>
      </c>
      <c r="F195" s="8" t="s">
        <v>1586</v>
      </c>
      <c r="G195" s="6" t="s">
        <v>20</v>
      </c>
      <c r="H195" s="7" t="s">
        <v>20</v>
      </c>
      <c r="I195" s="7" t="s">
        <v>20</v>
      </c>
      <c r="J195" t="s">
        <v>119</v>
      </c>
      <c r="K195" s="25" t="s">
        <v>2112</v>
      </c>
    </row>
    <row r="196" spans="1:11" ht="14.4" x14ac:dyDescent="0.3">
      <c r="A196" s="16">
        <v>1</v>
      </c>
      <c r="B196" s="6">
        <v>7726196</v>
      </c>
      <c r="C196" s="17" t="s">
        <v>198</v>
      </c>
      <c r="D196" s="6" t="s">
        <v>201</v>
      </c>
      <c r="E196" s="6">
        <v>3112227613</v>
      </c>
      <c r="F196" s="8" t="s">
        <v>200</v>
      </c>
      <c r="G196" s="12" t="s">
        <v>199</v>
      </c>
      <c r="H196" s="7">
        <v>46035</v>
      </c>
      <c r="I196" s="7">
        <v>46387</v>
      </c>
      <c r="J196" t="s">
        <v>125</v>
      </c>
      <c r="K196" s="25" t="s">
        <v>2112</v>
      </c>
    </row>
    <row r="197" spans="1:11" ht="14.4" x14ac:dyDescent="0.3">
      <c r="A197" s="16">
        <v>1</v>
      </c>
      <c r="B197" s="6">
        <v>1049640375</v>
      </c>
      <c r="C197" s="17" t="s">
        <v>965</v>
      </c>
      <c r="D197" s="6" t="s">
        <v>270</v>
      </c>
      <c r="E197" s="6">
        <v>3142417321</v>
      </c>
      <c r="F197" s="8" t="s">
        <v>967</v>
      </c>
      <c r="G197" s="12" t="s">
        <v>966</v>
      </c>
      <c r="H197" s="7">
        <v>46036</v>
      </c>
      <c r="I197" s="7">
        <v>46308</v>
      </c>
      <c r="J197" t="s">
        <v>125</v>
      </c>
      <c r="K197" s="25" t="s">
        <v>2112</v>
      </c>
    </row>
    <row r="198" spans="1:11" ht="14.4" x14ac:dyDescent="0.3">
      <c r="A198" s="16">
        <v>1</v>
      </c>
      <c r="B198" s="6">
        <v>63548541</v>
      </c>
      <c r="C198" s="17" t="s">
        <v>1246</v>
      </c>
      <c r="D198" s="6" t="s">
        <v>1229</v>
      </c>
      <c r="E198" s="6">
        <v>3014315127</v>
      </c>
      <c r="F198" s="8" t="s">
        <v>1248</v>
      </c>
      <c r="G198" s="12" t="s">
        <v>1247</v>
      </c>
      <c r="H198" s="7">
        <v>46029</v>
      </c>
      <c r="I198" s="7">
        <v>46308</v>
      </c>
      <c r="J198" t="s">
        <v>125</v>
      </c>
      <c r="K198" s="25" t="s">
        <v>2112</v>
      </c>
    </row>
    <row r="199" spans="1:11" ht="14.4" x14ac:dyDescent="0.3">
      <c r="A199" s="16">
        <v>1</v>
      </c>
      <c r="B199" s="6">
        <v>51940883</v>
      </c>
      <c r="C199" s="17" t="s">
        <v>739</v>
      </c>
      <c r="D199" s="6" t="s">
        <v>742</v>
      </c>
      <c r="E199" s="6">
        <v>3103348195</v>
      </c>
      <c r="F199" s="8" t="s">
        <v>741</v>
      </c>
      <c r="G199" s="12" t="s">
        <v>740</v>
      </c>
      <c r="H199" s="7">
        <v>46049</v>
      </c>
      <c r="I199" s="7">
        <v>46387</v>
      </c>
      <c r="J199" t="s">
        <v>125</v>
      </c>
      <c r="K199" s="25" t="s">
        <v>2112</v>
      </c>
    </row>
    <row r="200" spans="1:11" ht="15.9" customHeight="1" x14ac:dyDescent="0.3">
      <c r="A200" s="16">
        <v>1</v>
      </c>
      <c r="B200" s="6">
        <v>1001192097</v>
      </c>
      <c r="C200" s="17" t="s">
        <v>296</v>
      </c>
      <c r="D200" s="17" t="s">
        <v>299</v>
      </c>
      <c r="E200" s="6">
        <v>3174248900</v>
      </c>
      <c r="F200" s="8" t="s">
        <v>298</v>
      </c>
      <c r="G200" s="12" t="s">
        <v>297</v>
      </c>
      <c r="H200" s="7">
        <v>46030</v>
      </c>
      <c r="I200" s="7">
        <v>46211</v>
      </c>
      <c r="J200" t="s">
        <v>125</v>
      </c>
      <c r="K200" s="25" t="s">
        <v>2112</v>
      </c>
    </row>
    <row r="201" spans="1:11" ht="14.4" x14ac:dyDescent="0.3">
      <c r="A201" s="16">
        <v>1</v>
      </c>
      <c r="B201" s="6">
        <v>4579016</v>
      </c>
      <c r="C201" s="17" t="s">
        <v>441</v>
      </c>
      <c r="D201" s="6" t="s">
        <v>270</v>
      </c>
      <c r="E201" s="6">
        <v>3169705853</v>
      </c>
      <c r="F201" s="8" t="s">
        <v>442</v>
      </c>
      <c r="G201" s="6" t="s">
        <v>20</v>
      </c>
      <c r="H201" s="7" t="s">
        <v>20</v>
      </c>
      <c r="I201" s="7" t="s">
        <v>20</v>
      </c>
      <c r="J201" t="s">
        <v>119</v>
      </c>
      <c r="K201" s="25" t="s">
        <v>2112</v>
      </c>
    </row>
    <row r="202" spans="1:11" ht="14.4" x14ac:dyDescent="0.3">
      <c r="A202" s="16">
        <v>1</v>
      </c>
      <c r="B202" s="6">
        <v>80202549</v>
      </c>
      <c r="C202" s="17" t="s">
        <v>1688</v>
      </c>
      <c r="D202" s="6" t="s">
        <v>201</v>
      </c>
      <c r="E202" s="6">
        <v>3147420641</v>
      </c>
      <c r="F202" s="8" t="s">
        <v>1690</v>
      </c>
      <c r="G202" s="6" t="s">
        <v>1689</v>
      </c>
      <c r="H202" s="7">
        <v>46050</v>
      </c>
      <c r="I202" s="7">
        <v>46387</v>
      </c>
      <c r="J202" t="s">
        <v>125</v>
      </c>
      <c r="K202" s="25" t="s">
        <v>2112</v>
      </c>
    </row>
    <row r="203" spans="1:11" ht="14.4" x14ac:dyDescent="0.3">
      <c r="A203" s="16">
        <v>1</v>
      </c>
      <c r="B203" s="6">
        <v>98561766</v>
      </c>
      <c r="C203" s="17" t="s">
        <v>45</v>
      </c>
      <c r="D203" s="6" t="s">
        <v>270</v>
      </c>
      <c r="E203" s="6">
        <v>3173320602</v>
      </c>
      <c r="F203" s="8" t="s">
        <v>2107</v>
      </c>
      <c r="G203" s="6" t="s">
        <v>46</v>
      </c>
      <c r="H203" s="7">
        <v>46037</v>
      </c>
      <c r="I203" s="7">
        <v>46241</v>
      </c>
      <c r="J203" s="9" t="s">
        <v>125</v>
      </c>
      <c r="K203" s="25" t="s">
        <v>2112</v>
      </c>
    </row>
    <row r="204" spans="1:11" ht="14.4" x14ac:dyDescent="0.3">
      <c r="A204" s="16">
        <v>1</v>
      </c>
      <c r="B204" s="6">
        <v>7217591</v>
      </c>
      <c r="C204" s="17" t="s">
        <v>694</v>
      </c>
      <c r="D204" s="6" t="s">
        <v>270</v>
      </c>
      <c r="E204" s="6">
        <v>3102059928</v>
      </c>
      <c r="F204" s="8" t="s">
        <v>695</v>
      </c>
      <c r="G204" s="6" t="s">
        <v>20</v>
      </c>
      <c r="H204" s="7" t="s">
        <v>20</v>
      </c>
      <c r="I204" s="7" t="s">
        <v>20</v>
      </c>
      <c r="J204" t="s">
        <v>119</v>
      </c>
      <c r="K204" s="25" t="s">
        <v>2112</v>
      </c>
    </row>
    <row r="205" spans="1:11" ht="14.4" x14ac:dyDescent="0.3">
      <c r="A205" s="16">
        <v>1</v>
      </c>
      <c r="B205" s="6">
        <v>5710812</v>
      </c>
      <c r="C205" s="17" t="s">
        <v>721</v>
      </c>
      <c r="D205" s="6" t="s">
        <v>270</v>
      </c>
      <c r="E205" s="6">
        <v>3153353328</v>
      </c>
      <c r="F205" s="8" t="s">
        <v>723</v>
      </c>
      <c r="G205" s="12" t="s">
        <v>722</v>
      </c>
      <c r="H205" s="7">
        <v>46042</v>
      </c>
      <c r="I205" s="7">
        <v>46346</v>
      </c>
      <c r="J205" t="s">
        <v>125</v>
      </c>
      <c r="K205" s="25" t="s">
        <v>2112</v>
      </c>
    </row>
    <row r="206" spans="1:11" ht="14.4" x14ac:dyDescent="0.3">
      <c r="A206" s="16">
        <v>1</v>
      </c>
      <c r="B206" s="6">
        <v>1090374848</v>
      </c>
      <c r="C206" s="17" t="s">
        <v>1954</v>
      </c>
      <c r="D206" s="6" t="s">
        <v>201</v>
      </c>
      <c r="E206" s="6">
        <v>3133631892</v>
      </c>
      <c r="F206" s="8" t="s">
        <v>1956</v>
      </c>
      <c r="G206" s="12" t="s">
        <v>1955</v>
      </c>
      <c r="H206" s="12">
        <v>46041</v>
      </c>
      <c r="I206" s="12">
        <v>46387</v>
      </c>
      <c r="J206" t="s">
        <v>125</v>
      </c>
      <c r="K206" s="25" t="s">
        <v>2112</v>
      </c>
    </row>
    <row r="207" spans="1:11" ht="14.4" x14ac:dyDescent="0.3">
      <c r="A207" s="16">
        <v>1</v>
      </c>
      <c r="B207" s="6">
        <v>1020828035</v>
      </c>
      <c r="C207" s="17" t="s">
        <v>1158</v>
      </c>
      <c r="D207" s="6" t="s">
        <v>500</v>
      </c>
      <c r="E207" s="6">
        <v>3223455521</v>
      </c>
      <c r="F207" s="8" t="s">
        <v>1160</v>
      </c>
      <c r="G207" s="12" t="s">
        <v>1159</v>
      </c>
      <c r="H207" s="7">
        <v>46041</v>
      </c>
      <c r="I207" s="7">
        <v>46387</v>
      </c>
      <c r="J207" t="s">
        <v>125</v>
      </c>
      <c r="K207" s="25" t="s">
        <v>2112</v>
      </c>
    </row>
    <row r="208" spans="1:11" ht="14.4" x14ac:dyDescent="0.3">
      <c r="A208" s="16">
        <v>1</v>
      </c>
      <c r="B208" s="6">
        <v>1031156687</v>
      </c>
      <c r="C208" s="17" t="s">
        <v>631</v>
      </c>
      <c r="D208" s="6" t="s">
        <v>1843</v>
      </c>
      <c r="E208" s="6">
        <v>3102338749</v>
      </c>
      <c r="F208" s="8" t="s">
        <v>633</v>
      </c>
      <c r="G208" s="12" t="s">
        <v>632</v>
      </c>
      <c r="H208" s="7">
        <v>46036</v>
      </c>
      <c r="I208" s="7">
        <v>46339</v>
      </c>
      <c r="J208" t="s">
        <v>125</v>
      </c>
      <c r="K208" s="25" t="s">
        <v>2112</v>
      </c>
    </row>
    <row r="209" spans="1:11" ht="14.4" x14ac:dyDescent="0.3">
      <c r="A209" s="16">
        <v>1</v>
      </c>
      <c r="B209" s="6">
        <v>32798171</v>
      </c>
      <c r="C209" s="17" t="s">
        <v>1521</v>
      </c>
      <c r="D209" s="6" t="s">
        <v>270</v>
      </c>
      <c r="E209" s="6">
        <v>3212596174</v>
      </c>
      <c r="F209" s="8" t="s">
        <v>1522</v>
      </c>
      <c r="G209" s="6" t="s">
        <v>20</v>
      </c>
      <c r="H209" s="7" t="s">
        <v>20</v>
      </c>
      <c r="I209" s="7" t="s">
        <v>20</v>
      </c>
      <c r="J209" t="s">
        <v>119</v>
      </c>
      <c r="K209" s="25" t="s">
        <v>2112</v>
      </c>
    </row>
    <row r="210" spans="1:11" ht="14.4" x14ac:dyDescent="0.3">
      <c r="A210" s="16">
        <v>1</v>
      </c>
      <c r="B210" s="6">
        <v>79645809</v>
      </c>
      <c r="C210" s="17" t="s">
        <v>1641</v>
      </c>
      <c r="D210" s="6" t="s">
        <v>325</v>
      </c>
      <c r="E210" s="6">
        <v>3212563770</v>
      </c>
      <c r="F210" s="8" t="s">
        <v>1643</v>
      </c>
      <c r="G210" s="12" t="s">
        <v>1642</v>
      </c>
      <c r="H210" s="7">
        <v>46041</v>
      </c>
      <c r="I210" s="7">
        <v>46387</v>
      </c>
      <c r="J210" t="s">
        <v>125</v>
      </c>
      <c r="K210" s="25" t="s">
        <v>2112</v>
      </c>
    </row>
    <row r="211" spans="1:11" ht="14.4" x14ac:dyDescent="0.3">
      <c r="A211" s="16">
        <v>1</v>
      </c>
      <c r="B211" s="6">
        <v>52907657</v>
      </c>
      <c r="C211" s="17" t="s">
        <v>827</v>
      </c>
      <c r="D211" s="6" t="s">
        <v>1843</v>
      </c>
      <c r="E211" s="6">
        <v>3123779731</v>
      </c>
      <c r="F211" s="8" t="s">
        <v>829</v>
      </c>
      <c r="G211" s="12" t="s">
        <v>828</v>
      </c>
      <c r="H211" s="7">
        <v>46044</v>
      </c>
      <c r="I211" s="7">
        <v>46255</v>
      </c>
      <c r="J211" t="s">
        <v>125</v>
      </c>
      <c r="K211" s="25" t="s">
        <v>2112</v>
      </c>
    </row>
    <row r="212" spans="1:11" ht="14.4" x14ac:dyDescent="0.3">
      <c r="A212" s="16">
        <v>1</v>
      </c>
      <c r="B212" s="6">
        <v>1010222054</v>
      </c>
      <c r="C212" s="17" t="s">
        <v>493</v>
      </c>
      <c r="D212" s="6" t="s">
        <v>500</v>
      </c>
      <c r="E212" s="6">
        <v>3102900983</v>
      </c>
      <c r="F212" s="8" t="s">
        <v>495</v>
      </c>
      <c r="G212" s="12" t="s">
        <v>494</v>
      </c>
      <c r="H212" s="7">
        <v>46035</v>
      </c>
      <c r="I212" s="7">
        <v>46387</v>
      </c>
      <c r="J212" t="s">
        <v>125</v>
      </c>
      <c r="K212" s="25" t="s">
        <v>2112</v>
      </c>
    </row>
    <row r="213" spans="1:11" ht="14.4" x14ac:dyDescent="0.3">
      <c r="A213" s="16">
        <v>1</v>
      </c>
      <c r="B213" s="13">
        <v>80258283</v>
      </c>
      <c r="C213" s="24" t="s">
        <v>1852</v>
      </c>
      <c r="D213" s="6" t="s">
        <v>201</v>
      </c>
      <c r="E213" s="13">
        <v>3142484242</v>
      </c>
      <c r="F213" s="8" t="s">
        <v>1854</v>
      </c>
      <c r="G213" s="6" t="s">
        <v>1853</v>
      </c>
      <c r="H213" s="7">
        <v>46041</v>
      </c>
      <c r="I213" s="7">
        <v>46387</v>
      </c>
      <c r="J213" t="s">
        <v>125</v>
      </c>
      <c r="K213" s="25" t="s">
        <v>2112</v>
      </c>
    </row>
    <row r="214" spans="1:11" ht="14.4" x14ac:dyDescent="0.3">
      <c r="A214" s="16">
        <v>1</v>
      </c>
      <c r="B214" s="6">
        <v>1016021569</v>
      </c>
      <c r="C214" s="17" t="s">
        <v>1490</v>
      </c>
      <c r="D214" s="6" t="s">
        <v>587</v>
      </c>
      <c r="E214" s="6">
        <v>3006870651</v>
      </c>
      <c r="F214" s="8" t="s">
        <v>1492</v>
      </c>
      <c r="G214" s="12" t="s">
        <v>1491</v>
      </c>
      <c r="H214" s="7">
        <v>46045</v>
      </c>
      <c r="I214" s="7">
        <v>46348</v>
      </c>
      <c r="J214" t="s">
        <v>125</v>
      </c>
      <c r="K214" s="25" t="s">
        <v>2112</v>
      </c>
    </row>
    <row r="215" spans="1:11" ht="14.4" x14ac:dyDescent="0.3">
      <c r="A215" s="16">
        <v>1</v>
      </c>
      <c r="B215" s="6">
        <v>1026568929</v>
      </c>
      <c r="C215" s="17" t="s">
        <v>774</v>
      </c>
      <c r="D215" s="6" t="s">
        <v>201</v>
      </c>
      <c r="E215" s="6">
        <v>3156165304</v>
      </c>
      <c r="F215" s="8" t="s">
        <v>776</v>
      </c>
      <c r="G215" s="12" t="s">
        <v>775</v>
      </c>
      <c r="H215" s="7">
        <v>46045</v>
      </c>
      <c r="I215" s="7">
        <v>46387</v>
      </c>
      <c r="J215" t="s">
        <v>125</v>
      </c>
      <c r="K215" s="25" t="s">
        <v>2112</v>
      </c>
    </row>
    <row r="216" spans="1:11" ht="14.4" x14ac:dyDescent="0.3">
      <c r="A216" s="16">
        <v>1</v>
      </c>
      <c r="B216" s="6">
        <v>1032464919</v>
      </c>
      <c r="C216" s="17" t="s">
        <v>648</v>
      </c>
      <c r="D216" s="6" t="s">
        <v>270</v>
      </c>
      <c r="E216" s="6">
        <v>3204134805</v>
      </c>
      <c r="F216" s="8" t="s">
        <v>650</v>
      </c>
      <c r="G216" s="12" t="s">
        <v>649</v>
      </c>
      <c r="H216" s="7">
        <v>46042</v>
      </c>
      <c r="I216" s="7">
        <v>46265</v>
      </c>
      <c r="J216" t="s">
        <v>125</v>
      </c>
      <c r="K216" s="25" t="s">
        <v>2112</v>
      </c>
    </row>
    <row r="217" spans="1:11" ht="14.4" x14ac:dyDescent="0.3">
      <c r="A217" s="16">
        <v>1</v>
      </c>
      <c r="B217" s="6">
        <v>1010185998</v>
      </c>
      <c r="C217" s="17" t="s">
        <v>222</v>
      </c>
      <c r="D217" s="6" t="s">
        <v>500</v>
      </c>
      <c r="E217" s="6">
        <v>3208359808</v>
      </c>
      <c r="F217" s="8" t="s">
        <v>224</v>
      </c>
      <c r="G217" s="12" t="s">
        <v>223</v>
      </c>
      <c r="H217" s="7">
        <v>46038</v>
      </c>
      <c r="I217" s="7">
        <v>46387</v>
      </c>
      <c r="J217" t="s">
        <v>125</v>
      </c>
      <c r="K217" s="25" t="s">
        <v>2112</v>
      </c>
    </row>
    <row r="218" spans="1:11" ht="14.4" x14ac:dyDescent="0.3">
      <c r="A218" s="16">
        <v>1</v>
      </c>
      <c r="B218" s="6">
        <v>52916779</v>
      </c>
      <c r="C218" s="17" t="s">
        <v>1632</v>
      </c>
      <c r="D218" s="6" t="s">
        <v>500</v>
      </c>
      <c r="E218" s="6">
        <v>3102877763</v>
      </c>
      <c r="F218" s="8" t="s">
        <v>1634</v>
      </c>
      <c r="G218" s="12" t="s">
        <v>1633</v>
      </c>
      <c r="H218" s="7">
        <v>46055</v>
      </c>
      <c r="I218" s="7">
        <v>46387</v>
      </c>
      <c r="J218" t="s">
        <v>125</v>
      </c>
      <c r="K218" s="25" t="s">
        <v>2112</v>
      </c>
    </row>
    <row r="219" spans="1:11" ht="14.4" x14ac:dyDescent="0.3">
      <c r="A219" s="16">
        <v>1</v>
      </c>
      <c r="B219" s="6">
        <v>52820550</v>
      </c>
      <c r="C219" s="17" t="s">
        <v>445</v>
      </c>
      <c r="D219" s="6" t="s">
        <v>434</v>
      </c>
      <c r="E219" s="6">
        <v>3005554875</v>
      </c>
      <c r="F219" s="8" t="s">
        <v>446</v>
      </c>
      <c r="G219" s="6" t="s">
        <v>20</v>
      </c>
      <c r="H219" s="7" t="s">
        <v>20</v>
      </c>
      <c r="I219" s="7" t="s">
        <v>20</v>
      </c>
      <c r="J219" t="s">
        <v>119</v>
      </c>
      <c r="K219" s="25" t="s">
        <v>2112</v>
      </c>
    </row>
    <row r="220" spans="1:11" ht="14.4" x14ac:dyDescent="0.3">
      <c r="A220" s="16">
        <v>1</v>
      </c>
      <c r="B220" s="6">
        <v>1016008161</v>
      </c>
      <c r="C220" s="17" t="s">
        <v>1908</v>
      </c>
      <c r="D220" s="6" t="s">
        <v>500</v>
      </c>
      <c r="E220" s="6">
        <v>3103430417</v>
      </c>
      <c r="F220" s="8" t="s">
        <v>1910</v>
      </c>
      <c r="G220" s="12" t="s">
        <v>1909</v>
      </c>
      <c r="H220" s="7">
        <v>46042</v>
      </c>
      <c r="I220" s="7">
        <v>46387</v>
      </c>
      <c r="J220" t="s">
        <v>125</v>
      </c>
      <c r="K220" s="25" t="s">
        <v>2112</v>
      </c>
    </row>
    <row r="221" spans="1:11" ht="14.4" x14ac:dyDescent="0.3">
      <c r="A221" s="16">
        <v>1</v>
      </c>
      <c r="B221" s="13">
        <v>1015447384</v>
      </c>
      <c r="C221" s="24" t="s">
        <v>1793</v>
      </c>
      <c r="D221" s="6" t="s">
        <v>500</v>
      </c>
      <c r="E221" s="13">
        <v>3125579853</v>
      </c>
      <c r="F221" s="8" t="s">
        <v>1795</v>
      </c>
      <c r="G221" s="6" t="s">
        <v>1794</v>
      </c>
      <c r="H221" s="7">
        <v>46055</v>
      </c>
      <c r="I221" s="7">
        <v>46387</v>
      </c>
      <c r="J221" t="s">
        <v>125</v>
      </c>
      <c r="K221" s="25" t="s">
        <v>2112</v>
      </c>
    </row>
    <row r="222" spans="1:11" ht="14.4" x14ac:dyDescent="0.3">
      <c r="A222" s="16">
        <v>1</v>
      </c>
      <c r="B222" s="6">
        <v>52961000</v>
      </c>
      <c r="C222" s="17" t="s">
        <v>291</v>
      </c>
      <c r="D222" s="6" t="s">
        <v>201</v>
      </c>
      <c r="E222" s="6">
        <v>3223513584</v>
      </c>
      <c r="F222" s="8" t="s">
        <v>293</v>
      </c>
      <c r="G222" s="12" t="s">
        <v>292</v>
      </c>
      <c r="H222" s="7">
        <v>46036</v>
      </c>
      <c r="I222" s="7">
        <v>46387</v>
      </c>
      <c r="J222" t="s">
        <v>125</v>
      </c>
      <c r="K222" s="25" t="s">
        <v>2112</v>
      </c>
    </row>
    <row r="223" spans="1:11" ht="14.4" x14ac:dyDescent="0.3">
      <c r="A223" s="16">
        <v>1</v>
      </c>
      <c r="B223" s="6">
        <v>1030615542</v>
      </c>
      <c r="C223" s="17" t="s">
        <v>2032</v>
      </c>
      <c r="D223" s="6" t="s">
        <v>742</v>
      </c>
      <c r="E223" s="6">
        <v>3196819874</v>
      </c>
      <c r="F223" s="8" t="s">
        <v>1268</v>
      </c>
      <c r="G223" s="12" t="s">
        <v>20</v>
      </c>
      <c r="H223" s="6" t="s">
        <v>20</v>
      </c>
      <c r="I223" s="6" t="s">
        <v>20</v>
      </c>
      <c r="J223" t="s">
        <v>1280</v>
      </c>
      <c r="K223" s="25" t="s">
        <v>2112</v>
      </c>
    </row>
    <row r="224" spans="1:11" ht="14.4" x14ac:dyDescent="0.3">
      <c r="A224" s="16">
        <v>1</v>
      </c>
      <c r="B224" s="6">
        <v>1121886960</v>
      </c>
      <c r="C224" s="17" t="s">
        <v>1926</v>
      </c>
      <c r="D224" s="6" t="s">
        <v>325</v>
      </c>
      <c r="E224" s="6">
        <v>3102403763</v>
      </c>
      <c r="F224" s="8" t="s">
        <v>1928</v>
      </c>
      <c r="G224" s="12" t="s">
        <v>1927</v>
      </c>
      <c r="H224" s="7">
        <v>46036</v>
      </c>
      <c r="I224" s="7">
        <v>46387</v>
      </c>
      <c r="J224" t="s">
        <v>125</v>
      </c>
      <c r="K224" s="25" t="s">
        <v>2112</v>
      </c>
    </row>
    <row r="225" spans="1:11" ht="14.4" x14ac:dyDescent="0.3">
      <c r="A225" s="16">
        <v>1</v>
      </c>
      <c r="B225" s="6">
        <v>1014196580</v>
      </c>
      <c r="C225" s="17" t="s">
        <v>1753</v>
      </c>
      <c r="D225" s="17" t="s">
        <v>1667</v>
      </c>
      <c r="E225" s="6">
        <v>3017719375</v>
      </c>
      <c r="F225" s="8" t="s">
        <v>1755</v>
      </c>
      <c r="G225" s="6" t="s">
        <v>1754</v>
      </c>
      <c r="H225" s="7">
        <v>46055</v>
      </c>
      <c r="I225" s="7">
        <v>46264</v>
      </c>
      <c r="J225" t="s">
        <v>125</v>
      </c>
      <c r="K225" s="25" t="s">
        <v>2112</v>
      </c>
    </row>
    <row r="226" spans="1:11" ht="14.4" x14ac:dyDescent="0.3">
      <c r="A226" s="16">
        <v>1</v>
      </c>
      <c r="B226" s="6">
        <v>1001114395</v>
      </c>
      <c r="C226" s="17" t="s">
        <v>961</v>
      </c>
      <c r="D226" s="6" t="s">
        <v>270</v>
      </c>
      <c r="E226" s="6">
        <v>3142011762</v>
      </c>
      <c r="F226" s="8" t="s">
        <v>963</v>
      </c>
      <c r="G226" s="12" t="s">
        <v>962</v>
      </c>
      <c r="H226" s="7">
        <v>46037</v>
      </c>
      <c r="I226" s="7">
        <v>46248</v>
      </c>
      <c r="J226" t="s">
        <v>125</v>
      </c>
      <c r="K226" s="25" t="s">
        <v>2112</v>
      </c>
    </row>
    <row r="227" spans="1:11" ht="14.4" x14ac:dyDescent="0.3">
      <c r="A227" s="16">
        <v>1</v>
      </c>
      <c r="B227" s="6">
        <v>79956337</v>
      </c>
      <c r="C227" s="17" t="s">
        <v>1768</v>
      </c>
      <c r="D227" s="17" t="s">
        <v>207</v>
      </c>
      <c r="E227" s="6">
        <v>3207707633</v>
      </c>
      <c r="F227" s="8" t="s">
        <v>1770</v>
      </c>
      <c r="G227" s="6" t="s">
        <v>1769</v>
      </c>
      <c r="H227" s="7">
        <v>46048</v>
      </c>
      <c r="I227" s="7">
        <v>46342</v>
      </c>
      <c r="J227" t="s">
        <v>125</v>
      </c>
      <c r="K227" s="25" t="s">
        <v>2112</v>
      </c>
    </row>
    <row r="228" spans="1:11" ht="14.4" x14ac:dyDescent="0.3">
      <c r="A228" s="16">
        <v>1</v>
      </c>
      <c r="B228" s="6">
        <v>79793117</v>
      </c>
      <c r="C228" s="17" t="s">
        <v>1033</v>
      </c>
      <c r="D228" s="6" t="s">
        <v>2109</v>
      </c>
      <c r="E228" s="6">
        <v>3504147600</v>
      </c>
      <c r="F228" s="8" t="s">
        <v>1035</v>
      </c>
      <c r="G228" s="12" t="s">
        <v>1034</v>
      </c>
      <c r="H228" s="7">
        <v>46037</v>
      </c>
      <c r="I228" s="7">
        <v>46369</v>
      </c>
      <c r="J228" t="s">
        <v>125</v>
      </c>
      <c r="K228" s="25" t="s">
        <v>2112</v>
      </c>
    </row>
    <row r="229" spans="1:11" ht="14.4" x14ac:dyDescent="0.3">
      <c r="A229" s="16">
        <v>1</v>
      </c>
      <c r="B229" s="17">
        <v>1020716220</v>
      </c>
      <c r="C229" s="17" t="s">
        <v>783</v>
      </c>
      <c r="D229" s="17" t="s">
        <v>299</v>
      </c>
      <c r="E229" s="17">
        <v>3103201521</v>
      </c>
      <c r="F229" s="8" t="s">
        <v>785</v>
      </c>
      <c r="G229" s="17" t="s">
        <v>784</v>
      </c>
      <c r="H229" s="18">
        <v>46031</v>
      </c>
      <c r="I229" s="18">
        <v>46209</v>
      </c>
      <c r="J229" s="19" t="s">
        <v>125</v>
      </c>
      <c r="K229" s="21" t="s">
        <v>2098</v>
      </c>
    </row>
    <row r="230" spans="1:11" ht="14.4" x14ac:dyDescent="0.3">
      <c r="A230" s="16">
        <v>1</v>
      </c>
      <c r="B230" s="6">
        <v>80723272</v>
      </c>
      <c r="C230" s="17" t="s">
        <v>503</v>
      </c>
      <c r="D230" s="6" t="s">
        <v>500</v>
      </c>
      <c r="E230" s="6">
        <v>3118556165</v>
      </c>
      <c r="F230" s="8" t="s">
        <v>505</v>
      </c>
      <c r="G230" s="12" t="s">
        <v>504</v>
      </c>
      <c r="H230" s="7">
        <v>46041</v>
      </c>
      <c r="I230" s="7">
        <v>46387</v>
      </c>
      <c r="J230" t="s">
        <v>125</v>
      </c>
      <c r="K230" s="25" t="s">
        <v>2112</v>
      </c>
    </row>
    <row r="231" spans="1:11" ht="14.4" x14ac:dyDescent="0.3">
      <c r="A231" s="16">
        <v>1</v>
      </c>
      <c r="B231" s="6">
        <v>79646925</v>
      </c>
      <c r="C231" s="17" t="s">
        <v>262</v>
      </c>
      <c r="D231" s="6" t="s">
        <v>587</v>
      </c>
      <c r="E231" s="6">
        <v>3005305868</v>
      </c>
      <c r="F231" s="8" t="s">
        <v>264</v>
      </c>
      <c r="G231" s="12" t="s">
        <v>263</v>
      </c>
      <c r="H231" s="7">
        <v>46036</v>
      </c>
      <c r="I231" s="7">
        <v>46369</v>
      </c>
      <c r="J231" t="s">
        <v>125</v>
      </c>
      <c r="K231" s="25" t="s">
        <v>2112</v>
      </c>
    </row>
    <row r="232" spans="1:11" ht="14.4" x14ac:dyDescent="0.3">
      <c r="A232" s="16">
        <v>1</v>
      </c>
      <c r="B232" s="13">
        <v>79737327</v>
      </c>
      <c r="C232" s="24" t="s">
        <v>1877</v>
      </c>
      <c r="D232" s="6" t="s">
        <v>500</v>
      </c>
      <c r="E232" s="13">
        <v>3154213826</v>
      </c>
      <c r="F232" s="8" t="s">
        <v>1879</v>
      </c>
      <c r="G232" s="6" t="s">
        <v>1878</v>
      </c>
      <c r="H232" s="7">
        <v>46038</v>
      </c>
      <c r="I232" s="7">
        <v>46387</v>
      </c>
      <c r="J232" t="s">
        <v>125</v>
      </c>
      <c r="K232" s="25" t="s">
        <v>2112</v>
      </c>
    </row>
    <row r="233" spans="1:11" ht="14.4" x14ac:dyDescent="0.3">
      <c r="A233" s="16">
        <v>1</v>
      </c>
      <c r="B233" s="6">
        <v>1032433866</v>
      </c>
      <c r="C233" s="17" t="s">
        <v>400</v>
      </c>
      <c r="D233" s="17" t="s">
        <v>1667</v>
      </c>
      <c r="E233" s="6">
        <v>3118221968</v>
      </c>
      <c r="F233" s="8" t="s">
        <v>402</v>
      </c>
      <c r="G233" s="12" t="s">
        <v>401</v>
      </c>
      <c r="H233" s="7">
        <v>46035</v>
      </c>
      <c r="I233" s="7">
        <v>46387</v>
      </c>
      <c r="J233" t="s">
        <v>125</v>
      </c>
      <c r="K233" s="25" t="s">
        <v>2112</v>
      </c>
    </row>
    <row r="234" spans="1:11" ht="14.4" x14ac:dyDescent="0.3">
      <c r="A234" s="16">
        <v>1</v>
      </c>
      <c r="B234" s="17">
        <v>1032405392</v>
      </c>
      <c r="C234" s="17" t="s">
        <v>458</v>
      </c>
      <c r="D234" s="6" t="s">
        <v>270</v>
      </c>
      <c r="E234" s="17">
        <v>3507072865</v>
      </c>
      <c r="F234" s="8" t="s">
        <v>460</v>
      </c>
      <c r="G234" s="23" t="s">
        <v>459</v>
      </c>
      <c r="H234" s="18">
        <v>46045</v>
      </c>
      <c r="I234" s="18">
        <v>46225</v>
      </c>
      <c r="J234" s="19" t="s">
        <v>125</v>
      </c>
      <c r="K234" s="21" t="s">
        <v>2098</v>
      </c>
    </row>
    <row r="235" spans="1:11" ht="14.4" x14ac:dyDescent="0.3">
      <c r="A235" s="16">
        <v>1</v>
      </c>
      <c r="B235" s="6">
        <v>79867042</v>
      </c>
      <c r="C235" s="17" t="s">
        <v>1129</v>
      </c>
      <c r="D235" s="6" t="s">
        <v>434</v>
      </c>
      <c r="E235" s="6">
        <v>3163575233</v>
      </c>
      <c r="F235" s="8" t="s">
        <v>1130</v>
      </c>
      <c r="G235" s="6" t="s">
        <v>20</v>
      </c>
      <c r="H235" s="7" t="s">
        <v>20</v>
      </c>
      <c r="I235" s="7" t="s">
        <v>20</v>
      </c>
      <c r="J235" t="s">
        <v>119</v>
      </c>
      <c r="K235" s="25" t="s">
        <v>2112</v>
      </c>
    </row>
    <row r="236" spans="1:11" ht="14.4" x14ac:dyDescent="0.3">
      <c r="A236" s="16">
        <v>1</v>
      </c>
      <c r="B236" s="6">
        <v>1233512206</v>
      </c>
      <c r="C236" s="17" t="s">
        <v>1916</v>
      </c>
      <c r="D236" s="6" t="s">
        <v>434</v>
      </c>
      <c r="E236" s="6">
        <v>3222171182</v>
      </c>
      <c r="F236" s="8" t="s">
        <v>1917</v>
      </c>
      <c r="G236" s="12" t="s">
        <v>20</v>
      </c>
      <c r="H236" s="7" t="s">
        <v>20</v>
      </c>
      <c r="I236" s="7" t="s">
        <v>20</v>
      </c>
      <c r="J236" t="s">
        <v>119</v>
      </c>
      <c r="K236" s="25" t="s">
        <v>2112</v>
      </c>
    </row>
    <row r="237" spans="1:11" ht="14.4" x14ac:dyDescent="0.3">
      <c r="A237" s="16">
        <v>1</v>
      </c>
      <c r="B237" s="6">
        <v>80060504</v>
      </c>
      <c r="C237" s="17" t="s">
        <v>792</v>
      </c>
      <c r="D237" s="6" t="s">
        <v>587</v>
      </c>
      <c r="E237" s="6">
        <v>3176435060</v>
      </c>
      <c r="F237" s="8" t="s">
        <v>794</v>
      </c>
      <c r="G237" s="6" t="s">
        <v>793</v>
      </c>
      <c r="H237" s="7">
        <v>46037</v>
      </c>
      <c r="I237" s="7">
        <v>46371</v>
      </c>
      <c r="J237" t="s">
        <v>125</v>
      </c>
      <c r="K237" s="25" t="s">
        <v>2112</v>
      </c>
    </row>
    <row r="238" spans="1:11" ht="14.4" x14ac:dyDescent="0.3">
      <c r="A238" s="16">
        <v>1</v>
      </c>
      <c r="B238" s="6">
        <v>80213841</v>
      </c>
      <c r="C238" s="17" t="s">
        <v>932</v>
      </c>
      <c r="D238" s="6" t="s">
        <v>500</v>
      </c>
      <c r="E238" s="6">
        <v>314263028</v>
      </c>
      <c r="F238" s="8" t="s">
        <v>934</v>
      </c>
      <c r="G238" s="12" t="s">
        <v>933</v>
      </c>
      <c r="H238" s="7">
        <v>46031</v>
      </c>
      <c r="I238" s="7">
        <v>46387</v>
      </c>
      <c r="J238" t="s">
        <v>125</v>
      </c>
      <c r="K238" s="25" t="s">
        <v>2112</v>
      </c>
    </row>
    <row r="239" spans="1:11" ht="14.4" x14ac:dyDescent="0.3">
      <c r="A239" s="16">
        <v>1</v>
      </c>
      <c r="B239" s="6">
        <v>1118649429</v>
      </c>
      <c r="C239" s="17" t="s">
        <v>2061</v>
      </c>
      <c r="D239" s="6" t="s">
        <v>285</v>
      </c>
      <c r="E239" s="6">
        <v>3142416752</v>
      </c>
      <c r="F239" s="8" t="s">
        <v>2062</v>
      </c>
      <c r="G239" s="12" t="s">
        <v>20</v>
      </c>
      <c r="H239" s="12" t="s">
        <v>20</v>
      </c>
      <c r="I239" s="12" t="s">
        <v>20</v>
      </c>
      <c r="J239" t="s">
        <v>119</v>
      </c>
      <c r="K239" s="25" t="s">
        <v>2112</v>
      </c>
    </row>
    <row r="240" spans="1:11" ht="14.4" x14ac:dyDescent="0.3">
      <c r="A240" s="16">
        <v>1</v>
      </c>
      <c r="B240" s="6">
        <v>3181809</v>
      </c>
      <c r="C240" s="17" t="s">
        <v>1071</v>
      </c>
      <c r="D240" s="6" t="s">
        <v>500</v>
      </c>
      <c r="E240" s="6">
        <v>3118770630</v>
      </c>
      <c r="F240" s="8" t="s">
        <v>1072</v>
      </c>
      <c r="G240" s="6" t="s">
        <v>2103</v>
      </c>
      <c r="H240" s="7">
        <v>46048</v>
      </c>
      <c r="I240" s="7">
        <v>46387</v>
      </c>
      <c r="J240" t="s">
        <v>125</v>
      </c>
      <c r="K240" s="25" t="s">
        <v>2112</v>
      </c>
    </row>
    <row r="241" spans="1:11" ht="14.4" x14ac:dyDescent="0.3">
      <c r="A241" s="16">
        <v>1</v>
      </c>
      <c r="B241" s="6">
        <v>80075631</v>
      </c>
      <c r="C241" s="17" t="s">
        <v>1569</v>
      </c>
      <c r="D241" s="6" t="s">
        <v>587</v>
      </c>
      <c r="E241" s="6">
        <v>3017960778</v>
      </c>
      <c r="F241" s="8" t="s">
        <v>1571</v>
      </c>
      <c r="G241" s="12" t="s">
        <v>1570</v>
      </c>
      <c r="H241" s="7">
        <v>46042</v>
      </c>
      <c r="I241" s="7">
        <v>46375</v>
      </c>
      <c r="J241" t="s">
        <v>125</v>
      </c>
      <c r="K241" s="25" t="s">
        <v>2112</v>
      </c>
    </row>
    <row r="242" spans="1:11" ht="14.4" x14ac:dyDescent="0.3">
      <c r="A242" s="16">
        <v>1</v>
      </c>
      <c r="B242" s="6">
        <v>1019104675</v>
      </c>
      <c r="C242" s="17" t="s">
        <v>622</v>
      </c>
      <c r="D242" s="6" t="s">
        <v>270</v>
      </c>
      <c r="E242" s="6">
        <v>3102390866</v>
      </c>
      <c r="F242" s="8" t="s">
        <v>624</v>
      </c>
      <c r="G242" s="12" t="s">
        <v>623</v>
      </c>
      <c r="H242" s="7">
        <v>46031</v>
      </c>
      <c r="I242" s="7">
        <v>46264</v>
      </c>
      <c r="J242" t="s">
        <v>125</v>
      </c>
      <c r="K242" s="25" t="s">
        <v>2112</v>
      </c>
    </row>
    <row r="243" spans="1:11" ht="14.4" x14ac:dyDescent="0.3">
      <c r="A243" s="16">
        <v>1</v>
      </c>
      <c r="B243" s="6">
        <v>1015442158</v>
      </c>
      <c r="C243" s="17" t="s">
        <v>1467</v>
      </c>
      <c r="D243" s="6" t="s">
        <v>201</v>
      </c>
      <c r="E243" s="6">
        <v>3118086859</v>
      </c>
      <c r="F243" s="8" t="s">
        <v>1469</v>
      </c>
      <c r="G243" s="12" t="s">
        <v>1468</v>
      </c>
      <c r="H243" s="7">
        <v>46038</v>
      </c>
      <c r="I243" s="7">
        <v>46387</v>
      </c>
      <c r="J243" t="s">
        <v>125</v>
      </c>
      <c r="K243" s="25" t="s">
        <v>2112</v>
      </c>
    </row>
    <row r="244" spans="1:11" ht="14.4" x14ac:dyDescent="0.3">
      <c r="A244" s="16">
        <v>1</v>
      </c>
      <c r="B244" s="6">
        <v>79786845</v>
      </c>
      <c r="C244" s="17" t="s">
        <v>1982</v>
      </c>
      <c r="D244" s="17" t="s">
        <v>1041</v>
      </c>
      <c r="E244" s="6">
        <v>3103097228</v>
      </c>
      <c r="F244" s="8" t="s">
        <v>1984</v>
      </c>
      <c r="G244" s="6" t="s">
        <v>1983</v>
      </c>
      <c r="H244" s="7">
        <v>46042</v>
      </c>
      <c r="I244" s="7">
        <v>46222</v>
      </c>
      <c r="J244" t="s">
        <v>125</v>
      </c>
      <c r="K244" s="25" t="s">
        <v>2112</v>
      </c>
    </row>
    <row r="245" spans="1:11" ht="14.4" x14ac:dyDescent="0.3">
      <c r="A245" s="16">
        <v>1</v>
      </c>
      <c r="B245" s="17">
        <v>80239647</v>
      </c>
      <c r="C245" s="17" t="s">
        <v>868</v>
      </c>
      <c r="D245" s="6" t="s">
        <v>1716</v>
      </c>
      <c r="E245" s="17">
        <v>3102659301</v>
      </c>
      <c r="F245" s="8" t="s">
        <v>869</v>
      </c>
      <c r="G245" s="17" t="s">
        <v>20</v>
      </c>
      <c r="H245" s="18" t="s">
        <v>20</v>
      </c>
      <c r="I245" s="18" t="s">
        <v>20</v>
      </c>
      <c r="J245" s="19" t="s">
        <v>119</v>
      </c>
      <c r="K245" s="22" t="s">
        <v>2098</v>
      </c>
    </row>
    <row r="246" spans="1:11" ht="14.4" x14ac:dyDescent="0.3">
      <c r="A246" s="16">
        <v>1</v>
      </c>
      <c r="B246" s="6">
        <v>13499548</v>
      </c>
      <c r="C246" s="17" t="s">
        <v>2058</v>
      </c>
      <c r="D246" s="6" t="s">
        <v>270</v>
      </c>
      <c r="E246" s="6">
        <v>3124473029</v>
      </c>
      <c r="F246" s="8" t="s">
        <v>2059</v>
      </c>
      <c r="G246" s="12" t="s">
        <v>20</v>
      </c>
      <c r="H246" s="12" t="s">
        <v>20</v>
      </c>
      <c r="I246" s="12" t="s">
        <v>20</v>
      </c>
      <c r="J246" t="s">
        <v>119</v>
      </c>
      <c r="K246" s="25" t="s">
        <v>2112</v>
      </c>
    </row>
    <row r="247" spans="1:11" ht="14.4" x14ac:dyDescent="0.3">
      <c r="A247" s="16">
        <v>1</v>
      </c>
      <c r="B247" s="6">
        <v>19272805</v>
      </c>
      <c r="C247" s="17" t="s">
        <v>1696</v>
      </c>
      <c r="D247" s="6" t="s">
        <v>1698</v>
      </c>
      <c r="E247" s="6">
        <v>3124177877</v>
      </c>
      <c r="F247" s="8" t="s">
        <v>1697</v>
      </c>
      <c r="G247" s="6" t="s">
        <v>20</v>
      </c>
      <c r="H247" s="7" t="s">
        <v>20</v>
      </c>
      <c r="I247" s="7" t="s">
        <v>20</v>
      </c>
      <c r="J247" t="s">
        <v>1280</v>
      </c>
      <c r="K247" s="25" t="s">
        <v>2112</v>
      </c>
    </row>
    <row r="248" spans="1:11" ht="14.4" x14ac:dyDescent="0.3">
      <c r="A248" s="16">
        <v>1</v>
      </c>
      <c r="B248" s="13">
        <v>80791247</v>
      </c>
      <c r="C248" s="24" t="s">
        <v>1833</v>
      </c>
      <c r="D248" s="6" t="s">
        <v>2109</v>
      </c>
      <c r="E248" s="13">
        <v>3225125023</v>
      </c>
      <c r="F248" s="8" t="s">
        <v>1835</v>
      </c>
      <c r="G248" s="6" t="s">
        <v>1834</v>
      </c>
      <c r="H248" s="7">
        <v>46041</v>
      </c>
      <c r="I248" s="7">
        <v>46387</v>
      </c>
      <c r="J248" t="s">
        <v>125</v>
      </c>
      <c r="K248" s="25" t="s">
        <v>2112</v>
      </c>
    </row>
    <row r="249" spans="1:11" ht="14.4" x14ac:dyDescent="0.3">
      <c r="A249" s="16">
        <v>1</v>
      </c>
      <c r="B249" s="6">
        <v>1075624493</v>
      </c>
      <c r="C249" s="17" t="s">
        <v>1597</v>
      </c>
      <c r="D249" s="6" t="s">
        <v>500</v>
      </c>
      <c r="E249" s="6">
        <v>3178933490</v>
      </c>
      <c r="F249" s="8" t="s">
        <v>1599</v>
      </c>
      <c r="G249" s="12" t="s">
        <v>1598</v>
      </c>
      <c r="H249" s="7">
        <v>46038</v>
      </c>
      <c r="I249" s="7">
        <v>46387</v>
      </c>
      <c r="J249" t="s">
        <v>125</v>
      </c>
      <c r="K249" s="25" t="s">
        <v>2112</v>
      </c>
    </row>
    <row r="250" spans="1:11" ht="14.4" x14ac:dyDescent="0.3">
      <c r="A250" s="16">
        <v>1</v>
      </c>
      <c r="B250" s="6">
        <v>1023867746</v>
      </c>
      <c r="C250" s="17" t="s">
        <v>527</v>
      </c>
      <c r="D250" s="6" t="s">
        <v>1338</v>
      </c>
      <c r="E250" s="6">
        <v>3118179706</v>
      </c>
      <c r="F250" s="8" t="s">
        <v>529</v>
      </c>
      <c r="G250" s="12" t="s">
        <v>528</v>
      </c>
      <c r="H250" s="7">
        <v>46039</v>
      </c>
      <c r="I250" s="7">
        <v>46251</v>
      </c>
      <c r="J250" t="s">
        <v>125</v>
      </c>
      <c r="K250" s="25" t="s">
        <v>2112</v>
      </c>
    </row>
    <row r="251" spans="1:11" ht="14.4" x14ac:dyDescent="0.3">
      <c r="A251" s="16">
        <v>1</v>
      </c>
      <c r="B251" s="6">
        <v>19494499</v>
      </c>
      <c r="C251" s="17" t="s">
        <v>1368</v>
      </c>
      <c r="D251" s="17" t="s">
        <v>1041</v>
      </c>
      <c r="E251" s="6">
        <v>3124932667</v>
      </c>
      <c r="F251" s="8" t="s">
        <v>1369</v>
      </c>
      <c r="G251" s="6" t="s">
        <v>20</v>
      </c>
      <c r="H251" s="7" t="s">
        <v>20</v>
      </c>
      <c r="I251" s="7" t="s">
        <v>20</v>
      </c>
      <c r="J251" t="s">
        <v>119</v>
      </c>
      <c r="K251" s="25" t="s">
        <v>2112</v>
      </c>
    </row>
    <row r="252" spans="1:11" ht="14.4" x14ac:dyDescent="0.3">
      <c r="A252" s="16">
        <v>1</v>
      </c>
      <c r="B252" s="6">
        <v>79507738</v>
      </c>
      <c r="C252" s="17" t="s">
        <v>1636</v>
      </c>
      <c r="D252" s="6" t="s">
        <v>201</v>
      </c>
      <c r="E252" s="6">
        <v>3005566126</v>
      </c>
      <c r="F252" s="8" t="s">
        <v>1638</v>
      </c>
      <c r="G252" s="12" t="s">
        <v>1637</v>
      </c>
      <c r="H252" s="7">
        <v>46031</v>
      </c>
      <c r="I252" s="7">
        <v>46387</v>
      </c>
      <c r="J252" t="s">
        <v>125</v>
      </c>
      <c r="K252" s="25" t="s">
        <v>2112</v>
      </c>
    </row>
    <row r="253" spans="1:11" ht="14.4" x14ac:dyDescent="0.3">
      <c r="A253" s="16">
        <v>1</v>
      </c>
      <c r="B253" s="6">
        <v>79923325</v>
      </c>
      <c r="C253" s="17" t="s">
        <v>1736</v>
      </c>
      <c r="D253" s="17" t="s">
        <v>1667</v>
      </c>
      <c r="E253" s="6">
        <v>3192975840</v>
      </c>
      <c r="F253" s="8" t="s">
        <v>1738</v>
      </c>
      <c r="G253" s="6" t="s">
        <v>1737</v>
      </c>
      <c r="H253" s="7">
        <v>46031</v>
      </c>
      <c r="I253" s="7">
        <v>46378</v>
      </c>
      <c r="J253" t="s">
        <v>125</v>
      </c>
      <c r="K253" s="25" t="s">
        <v>2112</v>
      </c>
    </row>
    <row r="254" spans="1:11" ht="14.4" x14ac:dyDescent="0.3">
      <c r="A254" s="16">
        <v>1</v>
      </c>
      <c r="B254" s="6">
        <v>13745497</v>
      </c>
      <c r="C254" s="17" t="s">
        <v>952</v>
      </c>
      <c r="D254" s="6" t="s">
        <v>500</v>
      </c>
      <c r="E254" s="6">
        <v>3168346153</v>
      </c>
      <c r="F254" s="8" t="s">
        <v>954</v>
      </c>
      <c r="G254" s="12" t="s">
        <v>953</v>
      </c>
      <c r="H254" s="7">
        <v>46035</v>
      </c>
      <c r="I254" s="7">
        <v>46387</v>
      </c>
      <c r="J254" t="s">
        <v>125</v>
      </c>
      <c r="K254" s="25" t="s">
        <v>2112</v>
      </c>
    </row>
    <row r="255" spans="1:11" ht="14.4" x14ac:dyDescent="0.3">
      <c r="A255" s="16">
        <v>1</v>
      </c>
      <c r="B255" s="6">
        <v>79637566</v>
      </c>
      <c r="C255" s="17" t="s">
        <v>2077</v>
      </c>
      <c r="D255" s="6" t="s">
        <v>742</v>
      </c>
      <c r="E255" s="6">
        <v>3132375796</v>
      </c>
      <c r="F255" s="8" t="s">
        <v>1268</v>
      </c>
      <c r="G255" s="12" t="s">
        <v>20</v>
      </c>
      <c r="H255" s="12" t="s">
        <v>20</v>
      </c>
      <c r="I255" s="12" t="s">
        <v>20</v>
      </c>
      <c r="J255" s="28" t="s">
        <v>1280</v>
      </c>
      <c r="K255" s="25" t="s">
        <v>2112</v>
      </c>
    </row>
    <row r="256" spans="1:11" ht="14.4" x14ac:dyDescent="0.3">
      <c r="A256" s="16">
        <v>1</v>
      </c>
      <c r="B256" s="6">
        <v>1018493388</v>
      </c>
      <c r="C256" s="17" t="s">
        <v>2040</v>
      </c>
      <c r="D256" s="6" t="s">
        <v>1338</v>
      </c>
      <c r="E256" s="6">
        <v>3102507006</v>
      </c>
      <c r="F256" s="8" t="s">
        <v>2042</v>
      </c>
      <c r="G256" s="6" t="s">
        <v>2041</v>
      </c>
      <c r="H256" s="7">
        <v>46050</v>
      </c>
      <c r="I256" s="7">
        <v>46261</v>
      </c>
      <c r="J256" t="s">
        <v>125</v>
      </c>
      <c r="K256" s="25" t="s">
        <v>2112</v>
      </c>
    </row>
    <row r="257" spans="1:11" ht="14.4" x14ac:dyDescent="0.3">
      <c r="A257" s="16">
        <v>1</v>
      </c>
      <c r="B257" s="6">
        <v>79690499</v>
      </c>
      <c r="C257" s="17" t="s">
        <v>1719</v>
      </c>
      <c r="D257" s="6" t="s">
        <v>201</v>
      </c>
      <c r="E257" s="6">
        <v>3208448671</v>
      </c>
      <c r="F257" s="8" t="s">
        <v>1721</v>
      </c>
      <c r="G257" s="6" t="s">
        <v>1720</v>
      </c>
      <c r="H257" s="7">
        <v>46037</v>
      </c>
      <c r="I257" s="7">
        <v>46387</v>
      </c>
      <c r="J257" t="s">
        <v>125</v>
      </c>
      <c r="K257" s="25" t="s">
        <v>2112</v>
      </c>
    </row>
    <row r="258" spans="1:11" ht="14.4" x14ac:dyDescent="0.3">
      <c r="A258" s="16">
        <v>1</v>
      </c>
      <c r="B258" s="6">
        <v>1057593307</v>
      </c>
      <c r="C258" s="17" t="s">
        <v>167</v>
      </c>
      <c r="D258" s="6" t="s">
        <v>1562</v>
      </c>
      <c r="E258" s="6">
        <v>3183881512</v>
      </c>
      <c r="F258" s="8" t="s">
        <v>169</v>
      </c>
      <c r="G258" s="12" t="s">
        <v>168</v>
      </c>
      <c r="H258" s="7">
        <v>46031</v>
      </c>
      <c r="I258" s="7">
        <v>46387</v>
      </c>
      <c r="J258" t="s">
        <v>125</v>
      </c>
      <c r="K258" s="25" t="s">
        <v>2112</v>
      </c>
    </row>
    <row r="259" spans="1:11" ht="14.4" x14ac:dyDescent="0.3">
      <c r="A259" s="16">
        <v>1</v>
      </c>
      <c r="B259" s="6">
        <v>1018402818</v>
      </c>
      <c r="C259" s="17" t="s">
        <v>183</v>
      </c>
      <c r="D259" s="6" t="s">
        <v>2111</v>
      </c>
      <c r="E259" s="6">
        <v>3153923570</v>
      </c>
      <c r="F259" s="8" t="s">
        <v>185</v>
      </c>
      <c r="G259" s="12" t="s">
        <v>184</v>
      </c>
      <c r="H259" s="7">
        <v>46029</v>
      </c>
      <c r="I259" s="7">
        <v>46362</v>
      </c>
      <c r="J259" t="s">
        <v>125</v>
      </c>
      <c r="K259" s="25" t="s">
        <v>2112</v>
      </c>
    </row>
    <row r="260" spans="1:11" ht="14.4" x14ac:dyDescent="0.3">
      <c r="A260" s="16">
        <v>1</v>
      </c>
      <c r="B260" s="6">
        <v>11204191</v>
      </c>
      <c r="C260" s="17" t="s">
        <v>513</v>
      </c>
      <c r="D260" s="6" t="s">
        <v>1338</v>
      </c>
      <c r="E260" s="6">
        <v>3125349131</v>
      </c>
      <c r="F260" s="8" t="s">
        <v>515</v>
      </c>
      <c r="G260" s="12" t="s">
        <v>514</v>
      </c>
      <c r="H260" s="7">
        <v>46038</v>
      </c>
      <c r="I260" s="7">
        <v>46249</v>
      </c>
      <c r="J260" t="s">
        <v>125</v>
      </c>
      <c r="K260" s="25" t="s">
        <v>2112</v>
      </c>
    </row>
    <row r="261" spans="1:11" ht="14.4" x14ac:dyDescent="0.3">
      <c r="A261" s="16">
        <v>1</v>
      </c>
      <c r="B261" s="6">
        <v>10270105</v>
      </c>
      <c r="C261" s="17" t="s">
        <v>278</v>
      </c>
      <c r="D261" s="6" t="s">
        <v>270</v>
      </c>
      <c r="E261" s="6">
        <v>3002067716</v>
      </c>
      <c r="F261" s="8" t="s">
        <v>279</v>
      </c>
      <c r="G261" s="6" t="s">
        <v>20</v>
      </c>
      <c r="H261" s="7" t="s">
        <v>20</v>
      </c>
      <c r="I261" s="7" t="s">
        <v>20</v>
      </c>
      <c r="J261" t="s">
        <v>119</v>
      </c>
      <c r="K261" s="25" t="s">
        <v>2112</v>
      </c>
    </row>
    <row r="262" spans="1:11" ht="14.4" x14ac:dyDescent="0.3">
      <c r="A262" s="16">
        <v>1</v>
      </c>
      <c r="B262" s="6">
        <v>79754530</v>
      </c>
      <c r="C262" s="17" t="s">
        <v>473</v>
      </c>
      <c r="D262" s="17" t="s">
        <v>207</v>
      </c>
      <c r="E262" s="6">
        <v>3162263936</v>
      </c>
      <c r="F262" s="8" t="s">
        <v>475</v>
      </c>
      <c r="G262" s="12" t="s">
        <v>474</v>
      </c>
      <c r="H262" s="7">
        <v>46037</v>
      </c>
      <c r="I262" s="7">
        <v>46369</v>
      </c>
      <c r="J262" t="s">
        <v>125</v>
      </c>
      <c r="K262" s="25" t="s">
        <v>2112</v>
      </c>
    </row>
    <row r="263" spans="1:11" ht="14.4" x14ac:dyDescent="0.3">
      <c r="A263" s="16">
        <v>1</v>
      </c>
      <c r="B263" s="6">
        <v>11204730</v>
      </c>
      <c r="C263" s="17" t="s">
        <v>718</v>
      </c>
      <c r="D263" s="17" t="s">
        <v>1395</v>
      </c>
      <c r="E263" s="6">
        <v>3003093074</v>
      </c>
      <c r="F263" s="8" t="s">
        <v>719</v>
      </c>
      <c r="G263" s="6" t="s">
        <v>20</v>
      </c>
      <c r="H263" s="7" t="s">
        <v>20</v>
      </c>
      <c r="I263" s="7" t="s">
        <v>20</v>
      </c>
      <c r="J263" t="s">
        <v>119</v>
      </c>
      <c r="K263" s="25" t="s">
        <v>2112</v>
      </c>
    </row>
    <row r="264" spans="1:11" ht="14.4" x14ac:dyDescent="0.3">
      <c r="A264" s="16">
        <v>1</v>
      </c>
      <c r="B264" s="6">
        <v>79798056</v>
      </c>
      <c r="C264" s="17" t="s">
        <v>836</v>
      </c>
      <c r="D264" s="6" t="s">
        <v>1353</v>
      </c>
      <c r="E264" s="6">
        <v>3112816837</v>
      </c>
      <c r="F264" s="8" t="s">
        <v>838</v>
      </c>
      <c r="G264" s="12" t="s">
        <v>837</v>
      </c>
      <c r="H264" s="7">
        <v>46036</v>
      </c>
      <c r="I264" s="7">
        <v>46216</v>
      </c>
      <c r="J264" t="s">
        <v>125</v>
      </c>
      <c r="K264" s="25" t="s">
        <v>2112</v>
      </c>
    </row>
    <row r="265" spans="1:11" ht="14.4" x14ac:dyDescent="0.3">
      <c r="A265" s="16">
        <v>1</v>
      </c>
      <c r="B265" s="17">
        <v>1140821506</v>
      </c>
      <c r="C265" s="17" t="s">
        <v>1084</v>
      </c>
      <c r="D265" s="6" t="s">
        <v>256</v>
      </c>
      <c r="E265" s="17">
        <v>3017541019</v>
      </c>
      <c r="F265" s="8" t="s">
        <v>1086</v>
      </c>
      <c r="G265" s="23" t="s">
        <v>1085</v>
      </c>
      <c r="H265" s="18">
        <v>46030</v>
      </c>
      <c r="I265" s="18">
        <v>46210</v>
      </c>
      <c r="J265" s="19" t="s">
        <v>125</v>
      </c>
      <c r="K265" s="21" t="s">
        <v>2098</v>
      </c>
    </row>
    <row r="266" spans="1:11" ht="14.4" x14ac:dyDescent="0.3">
      <c r="A266" s="16">
        <v>1</v>
      </c>
      <c r="B266" s="17">
        <v>1015407149</v>
      </c>
      <c r="C266" s="17" t="s">
        <v>1787</v>
      </c>
      <c r="D266" s="17" t="s">
        <v>1395</v>
      </c>
      <c r="E266" s="17">
        <v>3046732889</v>
      </c>
      <c r="F266" s="8" t="s">
        <v>1789</v>
      </c>
      <c r="G266" s="17" t="s">
        <v>1788</v>
      </c>
      <c r="H266" s="18">
        <v>46049</v>
      </c>
      <c r="I266" s="18">
        <v>46180</v>
      </c>
      <c r="J266" s="19" t="s">
        <v>125</v>
      </c>
      <c r="K266" s="22" t="s">
        <v>2098</v>
      </c>
    </row>
    <row r="267" spans="1:11" ht="14.4" x14ac:dyDescent="0.3">
      <c r="A267" s="16">
        <v>1</v>
      </c>
      <c r="B267" s="6">
        <v>19226003</v>
      </c>
      <c r="C267" s="17" t="s">
        <v>2082</v>
      </c>
      <c r="D267" s="6" t="s">
        <v>1006</v>
      </c>
      <c r="E267" s="6">
        <v>3107778371</v>
      </c>
      <c r="F267" s="8" t="s">
        <v>2084</v>
      </c>
      <c r="G267" s="6" t="s">
        <v>2083</v>
      </c>
      <c r="H267" s="12" t="s">
        <v>20</v>
      </c>
      <c r="I267" s="12" t="s">
        <v>20</v>
      </c>
      <c r="J267" t="s">
        <v>125</v>
      </c>
      <c r="K267" s="25" t="s">
        <v>2112</v>
      </c>
    </row>
    <row r="268" spans="1:11" ht="14.4" x14ac:dyDescent="0.3">
      <c r="A268" s="16">
        <v>1</v>
      </c>
      <c r="B268" s="6">
        <v>1026271116</v>
      </c>
      <c r="C268" s="17" t="s">
        <v>816</v>
      </c>
      <c r="D268" s="6" t="s">
        <v>270</v>
      </c>
      <c r="E268" s="6">
        <v>3187948753</v>
      </c>
      <c r="F268" s="8" t="s">
        <v>817</v>
      </c>
      <c r="G268" s="6" t="s">
        <v>20</v>
      </c>
      <c r="H268" s="7" t="s">
        <v>20</v>
      </c>
      <c r="I268" s="7" t="s">
        <v>20</v>
      </c>
      <c r="J268" t="s">
        <v>119</v>
      </c>
      <c r="K268" s="25" t="s">
        <v>2112</v>
      </c>
    </row>
    <row r="269" spans="1:11" ht="14.4" x14ac:dyDescent="0.3">
      <c r="A269" s="16">
        <v>1</v>
      </c>
      <c r="B269" s="6">
        <v>94486941</v>
      </c>
      <c r="C269" s="17" t="s">
        <v>1758</v>
      </c>
      <c r="D269" s="17" t="s">
        <v>299</v>
      </c>
      <c r="E269" s="6">
        <v>3108679091</v>
      </c>
      <c r="F269" s="8" t="s">
        <v>1760</v>
      </c>
      <c r="G269" s="6" t="s">
        <v>1759</v>
      </c>
      <c r="H269" s="7">
        <v>46054</v>
      </c>
      <c r="I269" s="7">
        <v>46235</v>
      </c>
      <c r="J269" t="s">
        <v>125</v>
      </c>
      <c r="K269" s="25" t="s">
        <v>2112</v>
      </c>
    </row>
    <row r="270" spans="1:11" ht="14.4" x14ac:dyDescent="0.3">
      <c r="A270" s="16">
        <v>1</v>
      </c>
      <c r="B270" s="6">
        <v>1030579761</v>
      </c>
      <c r="C270" s="17" t="s">
        <v>1371</v>
      </c>
      <c r="D270" s="17" t="s">
        <v>1667</v>
      </c>
      <c r="E270" s="6">
        <v>3168764102</v>
      </c>
      <c r="F270" s="8" t="s">
        <v>1373</v>
      </c>
      <c r="G270" s="12" t="s">
        <v>1372</v>
      </c>
      <c r="H270" s="7">
        <v>46052</v>
      </c>
      <c r="I270" s="7">
        <v>46387</v>
      </c>
      <c r="J270" t="s">
        <v>125</v>
      </c>
      <c r="K270" s="25" t="s">
        <v>2112</v>
      </c>
    </row>
    <row r="271" spans="1:11" ht="14.4" x14ac:dyDescent="0.3">
      <c r="A271" s="16">
        <v>1</v>
      </c>
      <c r="B271" s="13">
        <v>1000522089</v>
      </c>
      <c r="C271" s="24" t="s">
        <v>1902</v>
      </c>
      <c r="D271" s="6" t="s">
        <v>1905</v>
      </c>
      <c r="E271" s="13">
        <v>3204810462</v>
      </c>
      <c r="F271" s="8" t="s">
        <v>1904</v>
      </c>
      <c r="G271" s="6" t="s">
        <v>1903</v>
      </c>
      <c r="H271" s="7">
        <v>46031</v>
      </c>
      <c r="I271" s="7">
        <v>46364</v>
      </c>
      <c r="J271" t="s">
        <v>125</v>
      </c>
      <c r="K271" s="25" t="s">
        <v>2112</v>
      </c>
    </row>
    <row r="272" spans="1:11" ht="14.4" x14ac:dyDescent="0.3">
      <c r="A272" s="16">
        <v>1</v>
      </c>
      <c r="B272" s="6">
        <v>80197126</v>
      </c>
      <c r="C272" s="17" t="s">
        <v>1415</v>
      </c>
      <c r="D272" s="6" t="s">
        <v>1338</v>
      </c>
      <c r="E272" s="6">
        <v>3202098175</v>
      </c>
      <c r="F272" s="8" t="s">
        <v>1417</v>
      </c>
      <c r="G272" s="12" t="s">
        <v>1416</v>
      </c>
      <c r="H272" s="7">
        <v>46048</v>
      </c>
      <c r="I272" s="7">
        <v>46259</v>
      </c>
      <c r="J272" t="s">
        <v>125</v>
      </c>
      <c r="K272" s="25" t="s">
        <v>2112</v>
      </c>
    </row>
    <row r="273" spans="1:11" ht="14.4" x14ac:dyDescent="0.3">
      <c r="A273" s="16">
        <v>1</v>
      </c>
      <c r="B273" s="6">
        <v>79792606</v>
      </c>
      <c r="C273" s="17" t="s">
        <v>1742</v>
      </c>
      <c r="D273" s="6" t="s">
        <v>256</v>
      </c>
      <c r="E273" s="6">
        <v>3006658901</v>
      </c>
      <c r="F273" s="8" t="s">
        <v>1744</v>
      </c>
      <c r="G273" s="6" t="s">
        <v>1743</v>
      </c>
      <c r="H273" s="7">
        <v>46049</v>
      </c>
      <c r="I273" s="7">
        <v>46231</v>
      </c>
      <c r="J273" t="s">
        <v>125</v>
      </c>
      <c r="K273" s="25" t="s">
        <v>2112</v>
      </c>
    </row>
    <row r="274" spans="1:11" ht="14.4" x14ac:dyDescent="0.3">
      <c r="A274" s="16">
        <v>1</v>
      </c>
      <c r="B274" s="6">
        <v>1016019711</v>
      </c>
      <c r="C274" s="17" t="s">
        <v>1360</v>
      </c>
      <c r="D274" s="6" t="s">
        <v>256</v>
      </c>
      <c r="E274" s="6">
        <v>3163210299</v>
      </c>
      <c r="F274" s="8" t="s">
        <v>1362</v>
      </c>
      <c r="G274" s="12" t="s">
        <v>1361</v>
      </c>
      <c r="H274" s="7">
        <v>46048</v>
      </c>
      <c r="I274" s="7">
        <v>46259</v>
      </c>
      <c r="J274" t="s">
        <v>125</v>
      </c>
      <c r="K274" s="25" t="s">
        <v>2112</v>
      </c>
    </row>
    <row r="275" spans="1:11" ht="14.4" x14ac:dyDescent="0.3">
      <c r="A275" s="16">
        <v>1</v>
      </c>
      <c r="B275" s="6">
        <v>1022356860</v>
      </c>
      <c r="C275" s="17" t="s">
        <v>667</v>
      </c>
      <c r="D275" s="6" t="s">
        <v>587</v>
      </c>
      <c r="E275" s="6">
        <v>3004842838</v>
      </c>
      <c r="F275" s="8" t="s">
        <v>669</v>
      </c>
      <c r="G275" s="12" t="s">
        <v>668</v>
      </c>
      <c r="H275" s="7">
        <v>46030</v>
      </c>
      <c r="I275" s="7">
        <v>46363</v>
      </c>
      <c r="J275" t="s">
        <v>125</v>
      </c>
      <c r="K275" s="25" t="s">
        <v>2112</v>
      </c>
    </row>
    <row r="276" spans="1:11" ht="14.4" x14ac:dyDescent="0.3">
      <c r="A276" s="16">
        <v>1</v>
      </c>
      <c r="B276" s="6">
        <v>1110473907</v>
      </c>
      <c r="C276" s="17" t="s">
        <v>1124</v>
      </c>
      <c r="D276" s="6" t="s">
        <v>500</v>
      </c>
      <c r="E276" s="6">
        <v>3014300439</v>
      </c>
      <c r="F276" s="8" t="s">
        <v>1126</v>
      </c>
      <c r="G276" s="12" t="s">
        <v>1125</v>
      </c>
      <c r="H276" s="7">
        <v>46043</v>
      </c>
      <c r="I276" s="7">
        <v>46387</v>
      </c>
      <c r="J276" t="s">
        <v>125</v>
      </c>
      <c r="K276" s="25" t="s">
        <v>2112</v>
      </c>
    </row>
    <row r="277" spans="1:11" ht="14.4" x14ac:dyDescent="0.3">
      <c r="A277" s="16">
        <v>1</v>
      </c>
      <c r="B277" s="6">
        <v>11433116</v>
      </c>
      <c r="C277" s="17" t="s">
        <v>749</v>
      </c>
      <c r="D277" s="6" t="s">
        <v>270</v>
      </c>
      <c r="E277" s="6">
        <v>3123789683</v>
      </c>
      <c r="F277" s="8" t="s">
        <v>750</v>
      </c>
      <c r="G277" s="6" t="s">
        <v>20</v>
      </c>
      <c r="H277" s="7" t="s">
        <v>20</v>
      </c>
      <c r="I277" s="7" t="s">
        <v>20</v>
      </c>
      <c r="J277" t="s">
        <v>119</v>
      </c>
      <c r="K277" s="25" t="s">
        <v>2112</v>
      </c>
    </row>
    <row r="278" spans="1:11" ht="14.4" x14ac:dyDescent="0.3">
      <c r="A278" s="16">
        <v>1</v>
      </c>
      <c r="B278" s="6">
        <v>1018437843</v>
      </c>
      <c r="C278" s="17" t="s">
        <v>1612</v>
      </c>
      <c r="D278" s="6" t="s">
        <v>1041</v>
      </c>
      <c r="E278" s="6">
        <v>3008072126</v>
      </c>
      <c r="F278" s="8" t="s">
        <v>1614</v>
      </c>
      <c r="G278" s="12" t="s">
        <v>1613</v>
      </c>
      <c r="H278" s="7">
        <v>46042</v>
      </c>
      <c r="I278" s="7">
        <v>46223</v>
      </c>
      <c r="J278" t="s">
        <v>125</v>
      </c>
      <c r="K278" s="25" t="s">
        <v>2112</v>
      </c>
    </row>
    <row r="279" spans="1:11" ht="14.4" x14ac:dyDescent="0.3">
      <c r="A279" s="16">
        <v>1</v>
      </c>
      <c r="B279" s="6">
        <v>1033698663</v>
      </c>
      <c r="C279" s="17" t="s">
        <v>1778</v>
      </c>
      <c r="D279" s="6" t="s">
        <v>1702</v>
      </c>
      <c r="E279" s="6">
        <v>3229641950</v>
      </c>
      <c r="F279" s="8" t="s">
        <v>1779</v>
      </c>
      <c r="G279" s="6" t="s">
        <v>20</v>
      </c>
      <c r="H279" s="7" t="s">
        <v>20</v>
      </c>
      <c r="I279" s="7" t="s">
        <v>20</v>
      </c>
      <c r="J279" t="s">
        <v>1280</v>
      </c>
      <c r="K279" s="25" t="s">
        <v>2112</v>
      </c>
    </row>
    <row r="280" spans="1:11" ht="14.4" x14ac:dyDescent="0.3">
      <c r="A280" s="16">
        <v>1</v>
      </c>
      <c r="B280" s="17">
        <v>79290465</v>
      </c>
      <c r="C280" s="17" t="s">
        <v>1380</v>
      </c>
      <c r="D280" s="6" t="s">
        <v>256</v>
      </c>
      <c r="E280" s="17">
        <v>3003117175</v>
      </c>
      <c r="F280" s="8" t="s">
        <v>1381</v>
      </c>
      <c r="G280" s="17" t="s">
        <v>20</v>
      </c>
      <c r="H280" s="18" t="s">
        <v>20</v>
      </c>
      <c r="I280" s="18" t="s">
        <v>20</v>
      </c>
      <c r="J280" s="19" t="s">
        <v>119</v>
      </c>
      <c r="K280" s="21" t="s">
        <v>2098</v>
      </c>
    </row>
    <row r="281" spans="1:11" ht="14.4" x14ac:dyDescent="0.3">
      <c r="A281" s="16">
        <v>1</v>
      </c>
      <c r="B281" s="6">
        <v>53075545</v>
      </c>
      <c r="C281" s="17" t="s">
        <v>478</v>
      </c>
      <c r="D281" s="6" t="s">
        <v>500</v>
      </c>
      <c r="E281" s="6">
        <v>3013397612</v>
      </c>
      <c r="F281" s="8" t="s">
        <v>480</v>
      </c>
      <c r="G281" s="12" t="s">
        <v>479</v>
      </c>
      <c r="H281" s="7">
        <v>46041</v>
      </c>
      <c r="I281" s="7">
        <v>46387</v>
      </c>
      <c r="J281" t="s">
        <v>125</v>
      </c>
      <c r="K281" s="25" t="s">
        <v>2112</v>
      </c>
    </row>
    <row r="282" spans="1:11" ht="14.4" x14ac:dyDescent="0.3">
      <c r="A282" s="16">
        <v>1</v>
      </c>
      <c r="B282" s="6">
        <v>1000008186</v>
      </c>
      <c r="C282" s="17" t="s">
        <v>907</v>
      </c>
      <c r="D282" s="6" t="s">
        <v>2110</v>
      </c>
      <c r="E282" s="6">
        <v>3006087040</v>
      </c>
      <c r="F282" s="8" t="s">
        <v>909</v>
      </c>
      <c r="G282" s="6" t="s">
        <v>908</v>
      </c>
      <c r="H282" s="7">
        <v>46049</v>
      </c>
      <c r="I282" s="7">
        <v>46387</v>
      </c>
      <c r="J282" t="s">
        <v>125</v>
      </c>
      <c r="K282" s="25" t="s">
        <v>2112</v>
      </c>
    </row>
    <row r="283" spans="1:11" ht="14.4" x14ac:dyDescent="0.3">
      <c r="A283" s="16">
        <v>1</v>
      </c>
      <c r="B283" s="6">
        <v>1023893878</v>
      </c>
      <c r="C283" s="17" t="s">
        <v>986</v>
      </c>
      <c r="D283" s="6" t="s">
        <v>270</v>
      </c>
      <c r="E283" s="6">
        <v>3144632678</v>
      </c>
      <c r="F283" s="8" t="s">
        <v>987</v>
      </c>
      <c r="G283" s="6" t="s">
        <v>20</v>
      </c>
      <c r="H283" s="7" t="s">
        <v>20</v>
      </c>
      <c r="I283" s="7" t="s">
        <v>20</v>
      </c>
      <c r="J283" t="s">
        <v>119</v>
      </c>
      <c r="K283" s="25" t="s">
        <v>2112</v>
      </c>
    </row>
    <row r="284" spans="1:11" ht="14.4" x14ac:dyDescent="0.3">
      <c r="A284" s="16">
        <v>1</v>
      </c>
      <c r="B284" s="6">
        <v>275407</v>
      </c>
      <c r="C284" s="17" t="s">
        <v>1281</v>
      </c>
      <c r="D284" s="6" t="s">
        <v>587</v>
      </c>
      <c r="E284" s="6">
        <v>3123879339</v>
      </c>
      <c r="F284" s="8" t="s">
        <v>1283</v>
      </c>
      <c r="G284" s="12" t="s">
        <v>1282</v>
      </c>
      <c r="H284" s="7">
        <v>46041</v>
      </c>
      <c r="I284" s="7">
        <v>46375</v>
      </c>
      <c r="J284" t="s">
        <v>125</v>
      </c>
      <c r="K284" s="25" t="s">
        <v>2112</v>
      </c>
    </row>
    <row r="285" spans="1:11" ht="14.4" x14ac:dyDescent="0.3">
      <c r="A285" s="16">
        <v>1</v>
      </c>
      <c r="B285" s="6">
        <v>1010247161</v>
      </c>
      <c r="C285" s="17" t="s">
        <v>875</v>
      </c>
      <c r="D285" s="17" t="s">
        <v>1395</v>
      </c>
      <c r="E285" s="6">
        <v>3014130619</v>
      </c>
      <c r="F285" s="8" t="s">
        <v>877</v>
      </c>
      <c r="G285" s="12" t="s">
        <v>876</v>
      </c>
      <c r="H285" s="7">
        <v>46043</v>
      </c>
      <c r="I285" s="7">
        <v>46219</v>
      </c>
      <c r="J285" t="s">
        <v>125</v>
      </c>
      <c r="K285" s="25" t="s">
        <v>2112</v>
      </c>
    </row>
    <row r="286" spans="1:11" ht="14.4" x14ac:dyDescent="0.3">
      <c r="A286" s="16">
        <v>1</v>
      </c>
      <c r="B286" s="6">
        <v>1030545762</v>
      </c>
      <c r="C286" s="17" t="s">
        <v>35</v>
      </c>
      <c r="D286" s="6" t="s">
        <v>285</v>
      </c>
      <c r="E286" s="6">
        <v>3105580024</v>
      </c>
      <c r="F286" s="8" t="s">
        <v>37</v>
      </c>
      <c r="G286" s="6" t="s">
        <v>36</v>
      </c>
      <c r="H286" s="7">
        <v>46037</v>
      </c>
      <c r="I286" s="7">
        <v>46387</v>
      </c>
      <c r="J286" s="9" t="s">
        <v>125</v>
      </c>
      <c r="K286" s="25" t="s">
        <v>2112</v>
      </c>
    </row>
    <row r="287" spans="1:11" ht="14.4" x14ac:dyDescent="0.3">
      <c r="A287" s="16">
        <v>1</v>
      </c>
      <c r="B287" s="6">
        <v>67023991</v>
      </c>
      <c r="C287" s="17" t="s">
        <v>745</v>
      </c>
      <c r="D287" s="6" t="s">
        <v>2110</v>
      </c>
      <c r="E287" s="6">
        <v>3214263022</v>
      </c>
      <c r="F287" s="8" t="s">
        <v>747</v>
      </c>
      <c r="G287" s="12" t="s">
        <v>746</v>
      </c>
      <c r="H287" s="7">
        <v>46035</v>
      </c>
      <c r="I287" s="7">
        <v>46387</v>
      </c>
      <c r="J287" t="s">
        <v>125</v>
      </c>
      <c r="K287" s="25" t="s">
        <v>2112</v>
      </c>
    </row>
    <row r="288" spans="1:11" ht="14.4" x14ac:dyDescent="0.3">
      <c r="A288" s="16">
        <v>1</v>
      </c>
      <c r="B288" s="17">
        <v>1020834737</v>
      </c>
      <c r="C288" s="17" t="s">
        <v>539</v>
      </c>
      <c r="D288" s="6" t="s">
        <v>1905</v>
      </c>
      <c r="E288" s="17">
        <v>3176797300</v>
      </c>
      <c r="F288" s="8" t="s">
        <v>541</v>
      </c>
      <c r="G288" s="17" t="s">
        <v>540</v>
      </c>
      <c r="H288" s="18">
        <v>46013</v>
      </c>
      <c r="I288" s="18">
        <v>46224</v>
      </c>
      <c r="J288" s="19" t="s">
        <v>125</v>
      </c>
      <c r="K288" s="21" t="s">
        <v>2098</v>
      </c>
    </row>
    <row r="289" spans="1:11" ht="14.4" x14ac:dyDescent="0.3">
      <c r="A289" s="16">
        <v>1</v>
      </c>
      <c r="B289" s="6">
        <v>1010206263</v>
      </c>
      <c r="C289" s="17" t="s">
        <v>764</v>
      </c>
      <c r="D289" s="6" t="s">
        <v>2110</v>
      </c>
      <c r="E289" s="6">
        <v>3204811196</v>
      </c>
      <c r="F289" s="8" t="s">
        <v>766</v>
      </c>
      <c r="G289" s="12" t="s">
        <v>765</v>
      </c>
      <c r="H289" s="7">
        <v>46036</v>
      </c>
      <c r="I289" s="7">
        <v>46273</v>
      </c>
      <c r="J289" t="s">
        <v>125</v>
      </c>
      <c r="K289" s="25" t="s">
        <v>2112</v>
      </c>
    </row>
    <row r="290" spans="1:11" ht="14.4" x14ac:dyDescent="0.3">
      <c r="A290" s="16">
        <v>1</v>
      </c>
      <c r="B290" s="6">
        <v>1022399279</v>
      </c>
      <c r="C290" s="17" t="s">
        <v>1313</v>
      </c>
      <c r="D290" s="6" t="s">
        <v>325</v>
      </c>
      <c r="E290" s="6">
        <v>3012115899</v>
      </c>
      <c r="F290" s="8" t="s">
        <v>1315</v>
      </c>
      <c r="G290" s="12" t="s">
        <v>1314</v>
      </c>
      <c r="H290" s="7">
        <v>46048</v>
      </c>
      <c r="I290" s="7">
        <v>46290</v>
      </c>
      <c r="J290" t="s">
        <v>125</v>
      </c>
      <c r="K290" s="25" t="s">
        <v>2112</v>
      </c>
    </row>
    <row r="291" spans="1:11" ht="14.4" x14ac:dyDescent="0.3">
      <c r="A291" s="16">
        <v>1</v>
      </c>
      <c r="B291" s="17">
        <v>1022437241</v>
      </c>
      <c r="C291" s="17" t="s">
        <v>1763</v>
      </c>
      <c r="D291" s="17" t="s">
        <v>1041</v>
      </c>
      <c r="E291" s="17">
        <v>3102740524</v>
      </c>
      <c r="F291" s="8" t="s">
        <v>1765</v>
      </c>
      <c r="G291" s="17" t="s">
        <v>1764</v>
      </c>
      <c r="H291" s="18">
        <v>46042</v>
      </c>
      <c r="I291" s="18">
        <v>46222</v>
      </c>
      <c r="J291" s="19" t="s">
        <v>125</v>
      </c>
      <c r="K291" s="22" t="s">
        <v>2098</v>
      </c>
    </row>
    <row r="292" spans="1:11" ht="14.4" x14ac:dyDescent="0.3">
      <c r="A292" s="16">
        <v>1</v>
      </c>
      <c r="B292" s="6">
        <v>1026279388</v>
      </c>
      <c r="C292" s="17" t="s">
        <v>482</v>
      </c>
      <c r="D292" s="6" t="s">
        <v>434</v>
      </c>
      <c r="E292" s="6">
        <v>3012286118</v>
      </c>
      <c r="F292" s="8" t="s">
        <v>484</v>
      </c>
      <c r="G292" s="12" t="s">
        <v>483</v>
      </c>
      <c r="H292" s="7">
        <v>46036</v>
      </c>
      <c r="I292" s="7">
        <v>46387</v>
      </c>
      <c r="J292" t="s">
        <v>125</v>
      </c>
      <c r="K292" s="25" t="s">
        <v>2112</v>
      </c>
    </row>
    <row r="293" spans="1:11" ht="14.4" x14ac:dyDescent="0.3">
      <c r="A293" s="16">
        <v>1</v>
      </c>
      <c r="B293" s="6">
        <v>1020797353</v>
      </c>
      <c r="C293" s="17" t="s">
        <v>97</v>
      </c>
      <c r="D293" s="6" t="s">
        <v>325</v>
      </c>
      <c r="E293" s="6">
        <v>3125877916</v>
      </c>
      <c r="F293" s="8" t="s">
        <v>99</v>
      </c>
      <c r="G293" s="6" t="s">
        <v>98</v>
      </c>
      <c r="H293" s="7">
        <v>46042</v>
      </c>
      <c r="I293" s="7">
        <v>46387</v>
      </c>
      <c r="J293" s="9" t="s">
        <v>125</v>
      </c>
      <c r="K293" s="25" t="s">
        <v>2112</v>
      </c>
    </row>
    <row r="294" spans="1:11" ht="14.4" x14ac:dyDescent="0.3">
      <c r="A294" s="16">
        <v>1</v>
      </c>
      <c r="B294" s="6">
        <v>1010244782</v>
      </c>
      <c r="C294" s="17" t="s">
        <v>340</v>
      </c>
      <c r="D294" s="6" t="s">
        <v>325</v>
      </c>
      <c r="E294" s="6">
        <v>3196717980</v>
      </c>
      <c r="F294" s="8" t="s">
        <v>342</v>
      </c>
      <c r="G294" s="12" t="s">
        <v>341</v>
      </c>
      <c r="H294" s="7">
        <v>46038</v>
      </c>
      <c r="I294" s="7">
        <v>46281</v>
      </c>
      <c r="J294" t="s">
        <v>125</v>
      </c>
      <c r="K294" s="25" t="s">
        <v>2112</v>
      </c>
    </row>
    <row r="295" spans="1:11" ht="14.4" x14ac:dyDescent="0.3">
      <c r="A295" s="16">
        <v>1</v>
      </c>
      <c r="B295" s="6">
        <v>52547327</v>
      </c>
      <c r="C295" s="17" t="s">
        <v>360</v>
      </c>
      <c r="D295" s="6" t="s">
        <v>325</v>
      </c>
      <c r="E295" s="6">
        <v>3158496892</v>
      </c>
      <c r="F295" s="8" t="s">
        <v>362</v>
      </c>
      <c r="G295" s="12" t="s">
        <v>361</v>
      </c>
      <c r="H295" s="7">
        <v>46037</v>
      </c>
      <c r="I295" s="7">
        <v>46387</v>
      </c>
      <c r="J295" t="s">
        <v>125</v>
      </c>
      <c r="K295" s="25" t="s">
        <v>2112</v>
      </c>
    </row>
    <row r="296" spans="1:11" ht="14.4" x14ac:dyDescent="0.3">
      <c r="A296" s="16">
        <v>1</v>
      </c>
      <c r="B296" s="6">
        <v>52707802</v>
      </c>
      <c r="C296" s="17" t="s">
        <v>1529</v>
      </c>
      <c r="D296" s="17" t="s">
        <v>1395</v>
      </c>
      <c r="E296" s="6">
        <v>3008281052</v>
      </c>
      <c r="F296" s="8" t="s">
        <v>1530</v>
      </c>
      <c r="G296" s="6" t="s">
        <v>20</v>
      </c>
      <c r="H296" s="7" t="s">
        <v>20</v>
      </c>
      <c r="I296" s="7" t="s">
        <v>20</v>
      </c>
      <c r="J296" t="s">
        <v>119</v>
      </c>
      <c r="K296" s="25" t="s">
        <v>2112</v>
      </c>
    </row>
    <row r="297" spans="1:11" ht="14.4" x14ac:dyDescent="0.3">
      <c r="A297" s="16">
        <v>1</v>
      </c>
      <c r="B297" s="6">
        <v>1019111965</v>
      </c>
      <c r="C297" s="17" t="s">
        <v>1030</v>
      </c>
      <c r="D297" s="17" t="s">
        <v>299</v>
      </c>
      <c r="E297" s="6">
        <v>3183795565</v>
      </c>
      <c r="F297" s="8" t="s">
        <v>1031</v>
      </c>
      <c r="G297" s="6" t="s">
        <v>20</v>
      </c>
      <c r="H297" s="7" t="s">
        <v>20</v>
      </c>
      <c r="I297" s="7" t="s">
        <v>20</v>
      </c>
      <c r="J297" t="s">
        <v>119</v>
      </c>
      <c r="K297" s="25" t="s">
        <v>2112</v>
      </c>
    </row>
    <row r="298" spans="1:11" ht="14.4" x14ac:dyDescent="0.3">
      <c r="A298" s="16">
        <v>1</v>
      </c>
      <c r="B298" s="17">
        <v>1000604330</v>
      </c>
      <c r="C298" s="17" t="s">
        <v>1038</v>
      </c>
      <c r="D298" s="17" t="s">
        <v>1041</v>
      </c>
      <c r="E298" s="17">
        <v>3042217727</v>
      </c>
      <c r="F298" s="8" t="s">
        <v>1040</v>
      </c>
      <c r="G298" s="23" t="s">
        <v>1039</v>
      </c>
      <c r="H298" s="18">
        <v>46045</v>
      </c>
      <c r="I298" s="18">
        <v>46225</v>
      </c>
      <c r="J298" s="19" t="s">
        <v>125</v>
      </c>
      <c r="K298" s="21" t="s">
        <v>2098</v>
      </c>
    </row>
    <row r="299" spans="1:11" ht="14.4" x14ac:dyDescent="0.3">
      <c r="A299" s="16">
        <v>1</v>
      </c>
      <c r="B299" s="6">
        <v>1018491200</v>
      </c>
      <c r="C299" s="17" t="s">
        <v>1335</v>
      </c>
      <c r="D299" s="6" t="s">
        <v>1338</v>
      </c>
      <c r="E299" s="6">
        <v>3125891253</v>
      </c>
      <c r="F299" s="8" t="s">
        <v>1337</v>
      </c>
      <c r="G299" s="12" t="s">
        <v>1336</v>
      </c>
      <c r="H299" s="7">
        <v>46035</v>
      </c>
      <c r="I299" s="7">
        <v>46246</v>
      </c>
      <c r="J299" t="s">
        <v>125</v>
      </c>
      <c r="K299" s="25" t="s">
        <v>2112</v>
      </c>
    </row>
    <row r="300" spans="1:11" ht="14.4" x14ac:dyDescent="0.3">
      <c r="A300" s="16">
        <v>1</v>
      </c>
      <c r="B300" s="6">
        <v>63560810</v>
      </c>
      <c r="C300" s="17" t="s">
        <v>1554</v>
      </c>
      <c r="D300" s="6" t="s">
        <v>1229</v>
      </c>
      <c r="E300" s="6">
        <v>3166898811</v>
      </c>
      <c r="F300" s="8" t="s">
        <v>1556</v>
      </c>
      <c r="G300" s="12" t="s">
        <v>1555</v>
      </c>
      <c r="H300" s="7">
        <v>46030</v>
      </c>
      <c r="I300" s="7">
        <v>46387</v>
      </c>
      <c r="J300" t="s">
        <v>125</v>
      </c>
      <c r="K300" s="25" t="s">
        <v>2112</v>
      </c>
    </row>
    <row r="301" spans="1:11" ht="14.4" x14ac:dyDescent="0.3">
      <c r="A301" s="16">
        <v>1</v>
      </c>
      <c r="B301" s="6">
        <v>1024496377</v>
      </c>
      <c r="C301" s="17" t="s">
        <v>709</v>
      </c>
      <c r="D301" s="6" t="s">
        <v>325</v>
      </c>
      <c r="E301" s="6">
        <v>3193786568</v>
      </c>
      <c r="F301" s="8" t="s">
        <v>711</v>
      </c>
      <c r="G301" s="12" t="s">
        <v>710</v>
      </c>
      <c r="H301" s="7">
        <v>46048</v>
      </c>
      <c r="I301" s="7">
        <v>46387</v>
      </c>
      <c r="J301" t="s">
        <v>125</v>
      </c>
      <c r="K301" s="25" t="s">
        <v>2112</v>
      </c>
    </row>
    <row r="302" spans="1:11" ht="14.4" x14ac:dyDescent="0.3">
      <c r="A302" s="16">
        <v>1</v>
      </c>
      <c r="B302" s="6">
        <v>1014261209</v>
      </c>
      <c r="C302" s="17" t="s">
        <v>1355</v>
      </c>
      <c r="D302" s="6" t="s">
        <v>2111</v>
      </c>
      <c r="E302" s="6">
        <v>3023851942</v>
      </c>
      <c r="F302" s="8" t="s">
        <v>1357</v>
      </c>
      <c r="G302" s="12" t="s">
        <v>1356</v>
      </c>
      <c r="H302" s="7">
        <v>46036</v>
      </c>
      <c r="I302" s="7">
        <v>46369</v>
      </c>
      <c r="J302" t="s">
        <v>125</v>
      </c>
      <c r="K302" s="25" t="s">
        <v>2112</v>
      </c>
    </row>
    <row r="303" spans="1:11" ht="14.4" x14ac:dyDescent="0.3">
      <c r="A303" s="16">
        <v>1</v>
      </c>
      <c r="B303" s="6">
        <v>1018428215</v>
      </c>
      <c r="C303" s="17" t="s">
        <v>1267</v>
      </c>
      <c r="D303" s="6" t="s">
        <v>742</v>
      </c>
      <c r="E303" s="6">
        <v>3024705162</v>
      </c>
      <c r="F303" s="8" t="s">
        <v>1268</v>
      </c>
      <c r="G303" s="6" t="s">
        <v>20</v>
      </c>
      <c r="H303" s="7" t="s">
        <v>20</v>
      </c>
      <c r="I303" s="7" t="s">
        <v>20</v>
      </c>
      <c r="J303" s="19" t="s">
        <v>1280</v>
      </c>
      <c r="K303" s="25" t="s">
        <v>2112</v>
      </c>
    </row>
    <row r="304" spans="1:11" ht="14.4" x14ac:dyDescent="0.3">
      <c r="A304" s="16">
        <v>1</v>
      </c>
      <c r="B304" s="6">
        <v>1078347237</v>
      </c>
      <c r="C304" s="17" t="s">
        <v>995</v>
      </c>
      <c r="D304" s="6" t="s">
        <v>500</v>
      </c>
      <c r="E304" s="6">
        <v>3015595583</v>
      </c>
      <c r="F304" s="8" t="s">
        <v>997</v>
      </c>
      <c r="G304" s="12" t="s">
        <v>996</v>
      </c>
      <c r="H304" s="7">
        <v>46043</v>
      </c>
      <c r="I304" s="7">
        <v>46387</v>
      </c>
      <c r="J304" t="s">
        <v>125</v>
      </c>
      <c r="K304" s="25" t="s">
        <v>2112</v>
      </c>
    </row>
    <row r="305" spans="1:11" ht="14.4" x14ac:dyDescent="0.3">
      <c r="A305" s="16">
        <v>1</v>
      </c>
      <c r="B305" s="6">
        <v>53047446</v>
      </c>
      <c r="C305" s="17" t="s">
        <v>619</v>
      </c>
      <c r="D305" s="6" t="s">
        <v>2110</v>
      </c>
      <c r="E305" s="6">
        <v>3214141813</v>
      </c>
      <c r="F305" s="8" t="s">
        <v>620</v>
      </c>
      <c r="G305" s="6" t="s">
        <v>20</v>
      </c>
      <c r="H305" s="7" t="s">
        <v>20</v>
      </c>
      <c r="I305" s="7" t="s">
        <v>20</v>
      </c>
      <c r="J305" t="s">
        <v>119</v>
      </c>
      <c r="K305" s="25" t="s">
        <v>2112</v>
      </c>
    </row>
    <row r="306" spans="1:11" ht="14.4" x14ac:dyDescent="0.3">
      <c r="A306" s="16">
        <v>1</v>
      </c>
      <c r="B306" s="13">
        <v>52181754</v>
      </c>
      <c r="C306" s="24" t="s">
        <v>1804</v>
      </c>
      <c r="D306" s="17" t="s">
        <v>1395</v>
      </c>
      <c r="E306" s="13">
        <v>3102953413</v>
      </c>
      <c r="F306" s="8" t="s">
        <v>1806</v>
      </c>
      <c r="G306" s="6" t="s">
        <v>1805</v>
      </c>
      <c r="H306" s="7">
        <v>46031</v>
      </c>
      <c r="I306" s="7">
        <v>46387</v>
      </c>
      <c r="J306" t="s">
        <v>125</v>
      </c>
      <c r="K306" s="25" t="s">
        <v>2112</v>
      </c>
    </row>
    <row r="307" spans="1:11" ht="14.4" x14ac:dyDescent="0.3">
      <c r="A307" s="16">
        <v>1</v>
      </c>
      <c r="B307" s="6">
        <v>1069078793</v>
      </c>
      <c r="C307" s="17" t="s">
        <v>1401</v>
      </c>
      <c r="D307" s="6" t="s">
        <v>325</v>
      </c>
      <c r="E307" s="6">
        <v>3145019361</v>
      </c>
      <c r="F307" s="8" t="s">
        <v>1403</v>
      </c>
      <c r="G307" s="12" t="s">
        <v>1402</v>
      </c>
      <c r="H307" s="7">
        <v>46049</v>
      </c>
      <c r="I307" s="7">
        <v>46291</v>
      </c>
      <c r="J307" t="s">
        <v>125</v>
      </c>
      <c r="K307" s="25" t="s">
        <v>2112</v>
      </c>
    </row>
    <row r="308" spans="1:11" ht="14.4" x14ac:dyDescent="0.3">
      <c r="A308" s="16">
        <v>1</v>
      </c>
      <c r="B308" s="6">
        <v>1026273797</v>
      </c>
      <c r="C308" s="17" t="s">
        <v>2050</v>
      </c>
      <c r="D308" s="6" t="s">
        <v>1843</v>
      </c>
      <c r="E308" s="6">
        <v>3014965324</v>
      </c>
      <c r="F308" s="8" t="s">
        <v>2052</v>
      </c>
      <c r="G308" s="6" t="s">
        <v>2051</v>
      </c>
      <c r="H308" s="7">
        <v>46055</v>
      </c>
      <c r="I308" s="7">
        <v>46235</v>
      </c>
      <c r="J308" t="s">
        <v>125</v>
      </c>
      <c r="K308" s="25" t="s">
        <v>2112</v>
      </c>
    </row>
    <row r="309" spans="1:11" ht="14.4" x14ac:dyDescent="0.3">
      <c r="A309" s="16">
        <v>1</v>
      </c>
      <c r="B309" s="17">
        <v>1014191355</v>
      </c>
      <c r="C309" s="17" t="s">
        <v>227</v>
      </c>
      <c r="D309" s="6" t="s">
        <v>1843</v>
      </c>
      <c r="E309" s="17">
        <v>3202239548</v>
      </c>
      <c r="F309" s="8" t="s">
        <v>229</v>
      </c>
      <c r="G309" s="23" t="s">
        <v>228</v>
      </c>
      <c r="H309" s="18">
        <v>46035</v>
      </c>
      <c r="I309" s="18">
        <v>46247</v>
      </c>
      <c r="J309" s="19" t="s">
        <v>125</v>
      </c>
      <c r="K309" s="22" t="s">
        <v>2098</v>
      </c>
    </row>
    <row r="310" spans="1:11" ht="14.4" x14ac:dyDescent="0.3">
      <c r="A310" s="16">
        <v>1</v>
      </c>
      <c r="B310" s="6">
        <v>19366198</v>
      </c>
      <c r="C310" s="17" t="s">
        <v>1187</v>
      </c>
      <c r="D310" s="6" t="s">
        <v>587</v>
      </c>
      <c r="E310" s="6">
        <v>3112277645</v>
      </c>
      <c r="F310" s="8" t="s">
        <v>1189</v>
      </c>
      <c r="G310" s="12" t="s">
        <v>1188</v>
      </c>
      <c r="H310" s="7">
        <v>46044</v>
      </c>
      <c r="I310" s="7">
        <v>46347</v>
      </c>
      <c r="J310" t="s">
        <v>125</v>
      </c>
      <c r="K310" s="25" t="s">
        <v>2112</v>
      </c>
    </row>
    <row r="311" spans="1:11" ht="14.4" x14ac:dyDescent="0.3">
      <c r="A311" s="16">
        <v>1</v>
      </c>
      <c r="B311" s="6">
        <v>79938373</v>
      </c>
      <c r="C311" s="17" t="s">
        <v>574</v>
      </c>
      <c r="D311" s="6" t="s">
        <v>587</v>
      </c>
      <c r="E311" s="6">
        <v>3015403942</v>
      </c>
      <c r="F311" s="8" t="s">
        <v>576</v>
      </c>
      <c r="G311" s="12" t="s">
        <v>575</v>
      </c>
      <c r="H311" s="7">
        <v>46038</v>
      </c>
      <c r="I311" s="7">
        <v>46387</v>
      </c>
      <c r="J311" t="s">
        <v>125</v>
      </c>
      <c r="K311" s="25" t="s">
        <v>2112</v>
      </c>
    </row>
    <row r="312" spans="1:11" ht="14.4" x14ac:dyDescent="0.3">
      <c r="A312" s="16">
        <v>1</v>
      </c>
      <c r="B312" s="6">
        <v>79881307</v>
      </c>
      <c r="C312" s="17" t="s">
        <v>926</v>
      </c>
      <c r="D312" s="6" t="s">
        <v>270</v>
      </c>
      <c r="E312" s="6">
        <v>3125860568</v>
      </c>
      <c r="F312" s="8" t="s">
        <v>928</v>
      </c>
      <c r="G312" s="12" t="s">
        <v>927</v>
      </c>
      <c r="H312" s="7">
        <v>46045</v>
      </c>
      <c r="I312" s="7">
        <v>46234</v>
      </c>
      <c r="J312" t="s">
        <v>125</v>
      </c>
      <c r="K312" s="25" t="s">
        <v>2112</v>
      </c>
    </row>
    <row r="313" spans="1:11" ht="14.4" x14ac:dyDescent="0.3">
      <c r="A313" s="16">
        <v>1</v>
      </c>
      <c r="B313" s="6">
        <v>6769668</v>
      </c>
      <c r="C313" s="17" t="s">
        <v>852</v>
      </c>
      <c r="D313" s="6" t="s">
        <v>500</v>
      </c>
      <c r="E313" s="6">
        <v>3105680410</v>
      </c>
      <c r="F313" s="8" t="s">
        <v>853</v>
      </c>
      <c r="G313" s="6" t="s">
        <v>20</v>
      </c>
      <c r="H313" s="7" t="s">
        <v>20</v>
      </c>
      <c r="I313" s="7" t="s">
        <v>20</v>
      </c>
      <c r="J313" t="s">
        <v>119</v>
      </c>
      <c r="K313" s="25" t="s">
        <v>2112</v>
      </c>
    </row>
    <row r="314" spans="1:11" ht="14.4" x14ac:dyDescent="0.3">
      <c r="A314" s="16">
        <v>1</v>
      </c>
      <c r="B314" s="6">
        <v>79385393</v>
      </c>
      <c r="C314" s="17" t="s">
        <v>1448</v>
      </c>
      <c r="D314" s="6" t="s">
        <v>434</v>
      </c>
      <c r="E314" s="6">
        <v>3013564276</v>
      </c>
      <c r="F314" s="8" t="s">
        <v>1449</v>
      </c>
      <c r="G314" s="6" t="s">
        <v>20</v>
      </c>
      <c r="H314" s="7" t="s">
        <v>20</v>
      </c>
      <c r="I314" s="7" t="s">
        <v>20</v>
      </c>
      <c r="J314" t="s">
        <v>119</v>
      </c>
      <c r="K314" s="25" t="s">
        <v>2112</v>
      </c>
    </row>
    <row r="315" spans="1:11" ht="14.4" x14ac:dyDescent="0.3">
      <c r="A315" s="16">
        <v>1</v>
      </c>
      <c r="B315" s="6">
        <v>1140882040</v>
      </c>
      <c r="C315" s="17" t="s">
        <v>2064</v>
      </c>
      <c r="D315" s="6" t="s">
        <v>1905</v>
      </c>
      <c r="E315" s="6">
        <v>3016863440</v>
      </c>
      <c r="F315" s="8" t="s">
        <v>2066</v>
      </c>
      <c r="G315" s="12" t="s">
        <v>2065</v>
      </c>
      <c r="H315" s="12">
        <v>46013</v>
      </c>
      <c r="I315" s="12">
        <v>46255</v>
      </c>
      <c r="J315" t="s">
        <v>125</v>
      </c>
      <c r="K315" s="25" t="s">
        <v>2112</v>
      </c>
    </row>
    <row r="316" spans="1:11" ht="14.4" x14ac:dyDescent="0.3">
      <c r="A316" s="16">
        <v>1</v>
      </c>
      <c r="B316" s="6">
        <v>1010243381</v>
      </c>
      <c r="C316" s="17" t="s">
        <v>1259</v>
      </c>
      <c r="D316" s="6" t="s">
        <v>325</v>
      </c>
      <c r="E316" s="6">
        <v>3334004194</v>
      </c>
      <c r="F316" s="8" t="s">
        <v>1261</v>
      </c>
      <c r="G316" s="12" t="s">
        <v>1260</v>
      </c>
      <c r="H316" s="7">
        <v>46055</v>
      </c>
      <c r="I316" s="7">
        <v>46291</v>
      </c>
      <c r="J316" t="s">
        <v>125</v>
      </c>
      <c r="K316" s="25" t="s">
        <v>2112</v>
      </c>
    </row>
    <row r="317" spans="1:11" ht="14.4" x14ac:dyDescent="0.3">
      <c r="A317" s="16">
        <v>1</v>
      </c>
      <c r="B317" s="6">
        <v>1030579980</v>
      </c>
      <c r="C317" s="17" t="s">
        <v>832</v>
      </c>
      <c r="D317" s="6" t="s">
        <v>2109</v>
      </c>
      <c r="E317" s="6">
        <v>3112350620</v>
      </c>
      <c r="F317" s="8" t="s">
        <v>834</v>
      </c>
      <c r="G317" s="12" t="s">
        <v>833</v>
      </c>
      <c r="H317" s="7">
        <v>46042</v>
      </c>
      <c r="I317" s="7">
        <v>46387</v>
      </c>
      <c r="J317" t="s">
        <v>125</v>
      </c>
      <c r="K317" s="25" t="s">
        <v>2112</v>
      </c>
    </row>
    <row r="318" spans="1:11" ht="14.4" x14ac:dyDescent="0.3">
      <c r="A318" s="16">
        <v>1</v>
      </c>
      <c r="B318" s="6">
        <v>1015399199</v>
      </c>
      <c r="C318" s="17" t="s">
        <v>1211</v>
      </c>
      <c r="D318" s="6" t="s">
        <v>1843</v>
      </c>
      <c r="E318" s="6">
        <v>3112896785</v>
      </c>
      <c r="F318" s="8" t="s">
        <v>1213</v>
      </c>
      <c r="G318" s="12" t="s">
        <v>1212</v>
      </c>
      <c r="H318" s="7">
        <v>46028</v>
      </c>
      <c r="I318" s="7">
        <v>46239</v>
      </c>
      <c r="J318" t="s">
        <v>125</v>
      </c>
      <c r="K318" s="25" t="s">
        <v>2112</v>
      </c>
    </row>
    <row r="319" spans="1:11" ht="14.4" x14ac:dyDescent="0.3">
      <c r="A319" s="16">
        <v>1</v>
      </c>
      <c r="B319" s="13">
        <v>7225361</v>
      </c>
      <c r="C319" s="24" t="s">
        <v>1817</v>
      </c>
      <c r="D319" s="6" t="s">
        <v>256</v>
      </c>
      <c r="E319" s="13">
        <v>3125294122</v>
      </c>
      <c r="F319" s="8" t="s">
        <v>1819</v>
      </c>
      <c r="G319" s="6" t="s">
        <v>1818</v>
      </c>
      <c r="H319" s="7">
        <v>46048</v>
      </c>
      <c r="I319" s="7">
        <v>46351</v>
      </c>
      <c r="J319" t="s">
        <v>125</v>
      </c>
      <c r="K319" s="25" t="s">
        <v>2112</v>
      </c>
    </row>
    <row r="320" spans="1:11" ht="14.4" x14ac:dyDescent="0.3">
      <c r="A320" s="16">
        <v>1</v>
      </c>
      <c r="B320" s="6">
        <v>79941715</v>
      </c>
      <c r="C320" s="17" t="s">
        <v>1458</v>
      </c>
      <c r="D320" s="6" t="s">
        <v>201</v>
      </c>
      <c r="E320" s="6">
        <v>3002063453</v>
      </c>
      <c r="F320" s="8" t="s">
        <v>1460</v>
      </c>
      <c r="G320" s="12" t="s">
        <v>1459</v>
      </c>
      <c r="H320" s="7">
        <v>46038</v>
      </c>
      <c r="I320" s="7">
        <v>46387</v>
      </c>
      <c r="J320" t="s">
        <v>125</v>
      </c>
      <c r="K320" s="25" t="s">
        <v>2112</v>
      </c>
    </row>
    <row r="321" spans="1:11" ht="14.4" x14ac:dyDescent="0.3">
      <c r="A321" s="16">
        <v>1</v>
      </c>
      <c r="B321" s="6">
        <v>52710323</v>
      </c>
      <c r="C321" s="17" t="s">
        <v>282</v>
      </c>
      <c r="D321" s="6" t="s">
        <v>285</v>
      </c>
      <c r="E321" s="6">
        <v>3133871937</v>
      </c>
      <c r="F321" s="8" t="s">
        <v>284</v>
      </c>
      <c r="G321" s="12" t="s">
        <v>283</v>
      </c>
      <c r="H321" s="7">
        <v>46031</v>
      </c>
      <c r="I321" s="7">
        <v>46387</v>
      </c>
      <c r="J321" t="s">
        <v>125</v>
      </c>
      <c r="K321" s="25" t="s">
        <v>2112</v>
      </c>
    </row>
    <row r="322" spans="1:11" ht="14.4" x14ac:dyDescent="0.3">
      <c r="A322" s="16">
        <v>1</v>
      </c>
      <c r="B322" s="6">
        <v>1014255328</v>
      </c>
      <c r="C322" s="17" t="s">
        <v>405</v>
      </c>
      <c r="D322" s="6" t="s">
        <v>2111</v>
      </c>
      <c r="E322" s="6">
        <v>3013244204</v>
      </c>
      <c r="F322" s="8" t="s">
        <v>407</v>
      </c>
      <c r="G322" s="12" t="s">
        <v>406</v>
      </c>
      <c r="H322" s="7">
        <v>46035</v>
      </c>
      <c r="I322" s="7">
        <v>46370</v>
      </c>
      <c r="J322" t="s">
        <v>125</v>
      </c>
      <c r="K322" s="25" t="s">
        <v>2112</v>
      </c>
    </row>
    <row r="323" spans="1:11" ht="14.4" x14ac:dyDescent="0.3">
      <c r="A323" s="16">
        <v>1</v>
      </c>
      <c r="B323" s="6">
        <v>51836043</v>
      </c>
      <c r="C323" s="17" t="s">
        <v>1934</v>
      </c>
      <c r="D323" s="6" t="s">
        <v>256</v>
      </c>
      <c r="E323" s="6">
        <v>3123602046</v>
      </c>
      <c r="F323" s="8" t="s">
        <v>1936</v>
      </c>
      <c r="G323" s="12" t="s">
        <v>1935</v>
      </c>
      <c r="H323" s="7">
        <v>46048</v>
      </c>
      <c r="I323" s="7">
        <v>46228</v>
      </c>
      <c r="J323" t="s">
        <v>125</v>
      </c>
      <c r="K323" s="25" t="s">
        <v>2112</v>
      </c>
    </row>
    <row r="324" spans="1:11" ht="14.4" x14ac:dyDescent="0.3">
      <c r="A324" s="16">
        <v>1</v>
      </c>
      <c r="B324" s="6">
        <v>1032444607</v>
      </c>
      <c r="C324" s="17" t="s">
        <v>1946</v>
      </c>
      <c r="D324" s="6" t="s">
        <v>1698</v>
      </c>
      <c r="E324" s="6" t="s">
        <v>20</v>
      </c>
      <c r="F324" s="8" t="s">
        <v>1947</v>
      </c>
      <c r="G324" s="12" t="s">
        <v>20</v>
      </c>
      <c r="H324" s="12" t="s">
        <v>20</v>
      </c>
      <c r="I324" s="12" t="s">
        <v>20</v>
      </c>
      <c r="J324" t="s">
        <v>1280</v>
      </c>
      <c r="K324" s="25" t="s">
        <v>2112</v>
      </c>
    </row>
    <row r="325" spans="1:11" ht="14.4" x14ac:dyDescent="0.3">
      <c r="A325" s="16">
        <v>1</v>
      </c>
      <c r="B325" s="6">
        <v>51974917</v>
      </c>
      <c r="C325" s="17" t="s">
        <v>673</v>
      </c>
      <c r="D325" s="6" t="s">
        <v>500</v>
      </c>
      <c r="E325" s="6">
        <v>3175767854</v>
      </c>
      <c r="F325" s="8" t="s">
        <v>675</v>
      </c>
      <c r="G325" s="6" t="s">
        <v>674</v>
      </c>
      <c r="H325" s="7">
        <v>46044</v>
      </c>
      <c r="I325" s="7">
        <v>46387</v>
      </c>
      <c r="J325" t="s">
        <v>125</v>
      </c>
      <c r="K325" s="25" t="s">
        <v>2112</v>
      </c>
    </row>
    <row r="326" spans="1:11" ht="14.4" x14ac:dyDescent="0.3">
      <c r="A326" s="16">
        <v>1</v>
      </c>
      <c r="B326" s="17">
        <v>37863986</v>
      </c>
      <c r="C326" s="17" t="s">
        <v>1429</v>
      </c>
      <c r="D326" s="6" t="s">
        <v>285</v>
      </c>
      <c r="E326" s="17">
        <v>3142962242</v>
      </c>
      <c r="F326" s="8" t="s">
        <v>1431</v>
      </c>
      <c r="G326" s="23" t="s">
        <v>1430</v>
      </c>
      <c r="H326" s="18">
        <v>46049</v>
      </c>
      <c r="I326" s="18">
        <v>46387</v>
      </c>
      <c r="J326" s="19" t="s">
        <v>125</v>
      </c>
      <c r="K326" s="21" t="s">
        <v>2098</v>
      </c>
    </row>
    <row r="327" spans="1:11" ht="14.4" x14ac:dyDescent="0.3">
      <c r="A327" s="16">
        <v>1</v>
      </c>
      <c r="B327" s="6">
        <v>51655384</v>
      </c>
      <c r="C327" s="17" t="s">
        <v>1183</v>
      </c>
      <c r="D327" s="6" t="s">
        <v>270</v>
      </c>
      <c r="E327" s="6">
        <v>3132946422</v>
      </c>
      <c r="F327" s="8" t="s">
        <v>1185</v>
      </c>
      <c r="G327" s="12" t="s">
        <v>1184</v>
      </c>
      <c r="H327" s="7">
        <v>46049</v>
      </c>
      <c r="I327" s="7">
        <v>46352</v>
      </c>
      <c r="J327" t="s">
        <v>125</v>
      </c>
      <c r="K327" s="25" t="s">
        <v>2112</v>
      </c>
    </row>
    <row r="328" spans="1:11" ht="14.4" x14ac:dyDescent="0.3">
      <c r="A328" s="16">
        <v>1</v>
      </c>
      <c r="B328" s="6">
        <v>52353521</v>
      </c>
      <c r="C328" s="17" t="s">
        <v>1094</v>
      </c>
      <c r="D328" s="6" t="s">
        <v>500</v>
      </c>
      <c r="E328" s="6">
        <v>3008310602</v>
      </c>
      <c r="F328" s="8" t="s">
        <v>1096</v>
      </c>
      <c r="G328" s="12" t="s">
        <v>1095</v>
      </c>
      <c r="H328" s="7">
        <v>46049</v>
      </c>
      <c r="I328" s="7">
        <v>46387</v>
      </c>
      <c r="J328" t="s">
        <v>125</v>
      </c>
      <c r="K328" s="25" t="s">
        <v>2112</v>
      </c>
    </row>
    <row r="329" spans="1:11" ht="14.4" x14ac:dyDescent="0.3">
      <c r="A329" s="16">
        <v>1</v>
      </c>
      <c r="B329" s="6">
        <v>80205861</v>
      </c>
      <c r="C329" s="17" t="s">
        <v>13</v>
      </c>
      <c r="D329" s="6" t="s">
        <v>434</v>
      </c>
      <c r="E329" s="6">
        <v>3004470549</v>
      </c>
      <c r="F329" s="8" t="s">
        <v>2108</v>
      </c>
      <c r="G329" s="6" t="s">
        <v>14</v>
      </c>
      <c r="H329" s="7">
        <v>46035</v>
      </c>
      <c r="I329" s="7">
        <v>46387</v>
      </c>
      <c r="J329" s="9" t="s">
        <v>125</v>
      </c>
      <c r="K329" s="25" t="s">
        <v>2112</v>
      </c>
    </row>
    <row r="330" spans="1:11" ht="14.4" x14ac:dyDescent="0.3">
      <c r="A330" s="16">
        <v>1</v>
      </c>
      <c r="B330" s="6">
        <v>1072656830</v>
      </c>
      <c r="C330" s="17" t="s">
        <v>1538</v>
      </c>
      <c r="D330" s="6" t="s">
        <v>1338</v>
      </c>
      <c r="E330" s="6">
        <v>3150464421</v>
      </c>
      <c r="F330" s="8" t="s">
        <v>1540</v>
      </c>
      <c r="G330" s="12" t="s">
        <v>1539</v>
      </c>
      <c r="H330" s="7">
        <v>46048</v>
      </c>
      <c r="I330" s="7">
        <v>46252</v>
      </c>
      <c r="J330" t="s">
        <v>125</v>
      </c>
      <c r="K330" s="25" t="s">
        <v>2112</v>
      </c>
    </row>
    <row r="331" spans="1:11" ht="14.4" x14ac:dyDescent="0.3">
      <c r="A331" s="16">
        <v>1</v>
      </c>
      <c r="B331" s="6">
        <v>79334791</v>
      </c>
      <c r="C331" s="17" t="s">
        <v>1660</v>
      </c>
      <c r="D331" s="6" t="s">
        <v>434</v>
      </c>
      <c r="E331" s="6">
        <v>3105537440</v>
      </c>
      <c r="F331" s="8" t="s">
        <v>1661</v>
      </c>
      <c r="G331" s="6" t="s">
        <v>20</v>
      </c>
      <c r="H331" s="7" t="s">
        <v>20</v>
      </c>
      <c r="I331" s="7" t="s">
        <v>20</v>
      </c>
      <c r="J331" s="28" t="s">
        <v>119</v>
      </c>
      <c r="K331" s="25" t="s">
        <v>2112</v>
      </c>
    </row>
    <row r="332" spans="1:11" ht="14.4" x14ac:dyDescent="0.3">
      <c r="A332" s="16">
        <v>1</v>
      </c>
      <c r="B332" s="6">
        <v>1015461189</v>
      </c>
      <c r="C332" s="17" t="s">
        <v>594</v>
      </c>
      <c r="D332" s="6" t="s">
        <v>1353</v>
      </c>
      <c r="E332" s="6">
        <v>3106959545</v>
      </c>
      <c r="F332" s="8" t="s">
        <v>596</v>
      </c>
      <c r="G332" s="12" t="s">
        <v>595</v>
      </c>
      <c r="H332" s="7">
        <v>46031</v>
      </c>
      <c r="I332" s="7">
        <v>46211</v>
      </c>
      <c r="J332" t="s">
        <v>125</v>
      </c>
      <c r="K332" s="25" t="s">
        <v>2112</v>
      </c>
    </row>
    <row r="333" spans="1:11" ht="14.4" x14ac:dyDescent="0.3">
      <c r="A333" s="16">
        <v>1</v>
      </c>
      <c r="B333" s="6">
        <v>1030669555</v>
      </c>
      <c r="C333" s="17" t="s">
        <v>547</v>
      </c>
      <c r="D333" s="6" t="s">
        <v>2110</v>
      </c>
      <c r="E333" s="6">
        <v>3142393483</v>
      </c>
      <c r="F333" s="8" t="s">
        <v>549</v>
      </c>
      <c r="G333" s="12" t="s">
        <v>548</v>
      </c>
      <c r="H333" s="7">
        <v>46048</v>
      </c>
      <c r="I333" s="7">
        <v>46387</v>
      </c>
      <c r="J333" t="s">
        <v>125</v>
      </c>
      <c r="K333" s="25" t="s">
        <v>2112</v>
      </c>
    </row>
    <row r="334" spans="1:11" ht="14.4" x14ac:dyDescent="0.3">
      <c r="A334" s="16">
        <v>1</v>
      </c>
      <c r="B334" s="6">
        <v>51769687</v>
      </c>
      <c r="C334" s="17" t="s">
        <v>704</v>
      </c>
      <c r="D334" s="6" t="s">
        <v>500</v>
      </c>
      <c r="E334" s="6">
        <v>3153111493</v>
      </c>
      <c r="F334" s="8" t="s">
        <v>706</v>
      </c>
      <c r="G334" s="12" t="s">
        <v>705</v>
      </c>
      <c r="H334" s="7">
        <v>46049</v>
      </c>
      <c r="I334" s="7">
        <v>46387</v>
      </c>
      <c r="J334" t="s">
        <v>125</v>
      </c>
      <c r="K334" s="25" t="s">
        <v>2112</v>
      </c>
    </row>
    <row r="335" spans="1:11" ht="14.4" x14ac:dyDescent="0.3">
      <c r="A335" s="16">
        <v>1</v>
      </c>
      <c r="B335" s="6">
        <v>52825005</v>
      </c>
      <c r="C335" s="17" t="s">
        <v>384</v>
      </c>
      <c r="D335" s="6" t="s">
        <v>325</v>
      </c>
      <c r="E335" s="6">
        <v>3103237333</v>
      </c>
      <c r="F335" s="8" t="s">
        <v>386</v>
      </c>
      <c r="G335" s="12" t="s">
        <v>385</v>
      </c>
      <c r="H335" s="7">
        <v>46048</v>
      </c>
      <c r="I335" s="7">
        <v>46387</v>
      </c>
      <c r="J335" t="s">
        <v>125</v>
      </c>
      <c r="K335" s="25" t="s">
        <v>2112</v>
      </c>
    </row>
    <row r="336" spans="1:11" ht="14.4" x14ac:dyDescent="0.3">
      <c r="A336" s="16">
        <v>1</v>
      </c>
      <c r="B336" s="17">
        <v>1140882919</v>
      </c>
      <c r="C336" s="17" t="s">
        <v>812</v>
      </c>
      <c r="D336" s="6" t="s">
        <v>270</v>
      </c>
      <c r="E336" s="17">
        <v>3012086860</v>
      </c>
      <c r="F336" s="8" t="s">
        <v>814</v>
      </c>
      <c r="G336" s="17" t="s">
        <v>813</v>
      </c>
      <c r="H336" s="18">
        <v>46044</v>
      </c>
      <c r="I336" s="18">
        <v>46226</v>
      </c>
      <c r="J336" s="19" t="s">
        <v>125</v>
      </c>
      <c r="K336" s="21" t="s">
        <v>2098</v>
      </c>
    </row>
    <row r="337" spans="1:11" ht="14.4" x14ac:dyDescent="0.3">
      <c r="A337" s="16">
        <v>1</v>
      </c>
      <c r="B337" s="6">
        <v>1083000460</v>
      </c>
      <c r="C337" s="17" t="s">
        <v>1322</v>
      </c>
      <c r="D337" s="6" t="s">
        <v>1843</v>
      </c>
      <c r="E337" s="6">
        <v>3008030796</v>
      </c>
      <c r="F337" s="8" t="s">
        <v>1324</v>
      </c>
      <c r="G337" s="12" t="s">
        <v>1323</v>
      </c>
      <c r="H337" s="7">
        <v>46034</v>
      </c>
      <c r="I337" s="7">
        <v>46210</v>
      </c>
      <c r="J337" t="s">
        <v>125</v>
      </c>
      <c r="K337" s="25" t="s">
        <v>2112</v>
      </c>
    </row>
    <row r="338" spans="1:11" ht="14.4" x14ac:dyDescent="0.3">
      <c r="A338" s="16">
        <v>1</v>
      </c>
      <c r="B338" s="6">
        <v>1019132150</v>
      </c>
      <c r="C338" s="17" t="s">
        <v>730</v>
      </c>
      <c r="D338" s="6" t="s">
        <v>256</v>
      </c>
      <c r="E338" s="6">
        <v>3115143524</v>
      </c>
      <c r="F338" s="8" t="s">
        <v>732</v>
      </c>
      <c r="G338" s="12" t="s">
        <v>731</v>
      </c>
      <c r="H338" s="7">
        <v>46041</v>
      </c>
      <c r="I338" s="7">
        <v>46356</v>
      </c>
      <c r="J338" t="s">
        <v>125</v>
      </c>
      <c r="K338" s="25" t="s">
        <v>2112</v>
      </c>
    </row>
    <row r="339" spans="1:11" ht="14.4" x14ac:dyDescent="0.3">
      <c r="A339" s="16">
        <v>1</v>
      </c>
      <c r="B339" s="17">
        <v>1121869677</v>
      </c>
      <c r="C339" s="17" t="s">
        <v>819</v>
      </c>
      <c r="D339" s="6" t="s">
        <v>270</v>
      </c>
      <c r="E339" s="17">
        <v>3212005607</v>
      </c>
      <c r="F339" s="8" t="s">
        <v>821</v>
      </c>
      <c r="G339" s="23" t="s">
        <v>820</v>
      </c>
      <c r="H339" s="18">
        <v>46035</v>
      </c>
      <c r="I339" s="18">
        <v>46216</v>
      </c>
      <c r="J339" s="19" t="s">
        <v>125</v>
      </c>
      <c r="K339" s="21" t="s">
        <v>2098</v>
      </c>
    </row>
    <row r="340" spans="1:11" ht="14.4" x14ac:dyDescent="0.3">
      <c r="A340" s="16">
        <v>1</v>
      </c>
      <c r="B340" s="6">
        <v>79265641</v>
      </c>
      <c r="C340" s="17" t="s">
        <v>936</v>
      </c>
      <c r="D340" s="6" t="s">
        <v>270</v>
      </c>
      <c r="E340" s="6">
        <v>3108078188</v>
      </c>
      <c r="F340" s="8" t="s">
        <v>937</v>
      </c>
      <c r="G340" s="6" t="s">
        <v>20</v>
      </c>
      <c r="H340" s="7" t="s">
        <v>20</v>
      </c>
      <c r="I340" s="7" t="s">
        <v>20</v>
      </c>
      <c r="J340" t="s">
        <v>119</v>
      </c>
      <c r="K340" s="25" t="s">
        <v>2112</v>
      </c>
    </row>
    <row r="341" spans="1:11" ht="14.4" x14ac:dyDescent="0.3">
      <c r="A341" s="16">
        <v>1</v>
      </c>
      <c r="B341" s="17">
        <v>80112042</v>
      </c>
      <c r="C341" s="17" t="s">
        <v>1998</v>
      </c>
      <c r="D341" s="6" t="s">
        <v>1229</v>
      </c>
      <c r="E341" s="17">
        <v>3178728376</v>
      </c>
      <c r="F341" s="8" t="s">
        <v>2000</v>
      </c>
      <c r="G341" s="17" t="s">
        <v>1999</v>
      </c>
      <c r="H341" s="18">
        <v>46041</v>
      </c>
      <c r="I341" s="18">
        <v>46221</v>
      </c>
      <c r="J341" s="31" t="s">
        <v>125</v>
      </c>
      <c r="K341" s="22" t="s">
        <v>2098</v>
      </c>
    </row>
    <row r="342" spans="1:11" ht="14.4" x14ac:dyDescent="0.3">
      <c r="A342" s="16">
        <v>1</v>
      </c>
      <c r="B342" s="13">
        <v>1023890368</v>
      </c>
      <c r="C342" s="24" t="s">
        <v>1889</v>
      </c>
      <c r="D342" s="6" t="s">
        <v>256</v>
      </c>
      <c r="E342" s="13">
        <v>3142722271</v>
      </c>
      <c r="F342" s="8" t="s">
        <v>1891</v>
      </c>
      <c r="G342" s="6" t="s">
        <v>1890</v>
      </c>
      <c r="H342" s="7">
        <v>46042</v>
      </c>
      <c r="I342" s="7">
        <v>46345</v>
      </c>
      <c r="J342" t="s">
        <v>125</v>
      </c>
      <c r="K342" s="25" t="s">
        <v>2112</v>
      </c>
    </row>
    <row r="343" spans="1:11" ht="14.4" x14ac:dyDescent="0.3">
      <c r="A343" s="16">
        <v>1</v>
      </c>
      <c r="B343" s="6">
        <v>52028400</v>
      </c>
      <c r="C343" s="17" t="s">
        <v>855</v>
      </c>
      <c r="D343" s="6" t="s">
        <v>500</v>
      </c>
      <c r="E343" s="6">
        <v>3123500023</v>
      </c>
      <c r="F343" s="8" t="s">
        <v>857</v>
      </c>
      <c r="G343" s="12" t="s">
        <v>856</v>
      </c>
      <c r="H343" s="7">
        <v>46037</v>
      </c>
      <c r="I343" s="7">
        <v>46387</v>
      </c>
      <c r="J343" t="s">
        <v>125</v>
      </c>
      <c r="K343" s="25" t="s">
        <v>2112</v>
      </c>
    </row>
    <row r="344" spans="1:11" ht="14.4" x14ac:dyDescent="0.3">
      <c r="A344" s="16">
        <v>1</v>
      </c>
      <c r="B344" s="6">
        <v>1104068630</v>
      </c>
      <c r="C344" s="17" t="s">
        <v>91</v>
      </c>
      <c r="D344" s="6" t="s">
        <v>325</v>
      </c>
      <c r="E344" s="6">
        <v>3125332732</v>
      </c>
      <c r="F344" s="8" t="s">
        <v>93</v>
      </c>
      <c r="G344" s="6" t="s">
        <v>92</v>
      </c>
      <c r="H344" s="7">
        <v>46035</v>
      </c>
      <c r="I344" s="7">
        <v>46387</v>
      </c>
      <c r="J344" s="9" t="s">
        <v>125</v>
      </c>
      <c r="K344" s="25" t="s">
        <v>2112</v>
      </c>
    </row>
    <row r="345" spans="1:11" ht="14.4" x14ac:dyDescent="0.3">
      <c r="A345" s="16">
        <v>1</v>
      </c>
      <c r="B345" s="6">
        <v>52259108</v>
      </c>
      <c r="C345" s="17" t="s">
        <v>366</v>
      </c>
      <c r="D345" s="6" t="s">
        <v>325</v>
      </c>
      <c r="E345" s="6">
        <v>3124472917</v>
      </c>
      <c r="F345" s="8" t="s">
        <v>368</v>
      </c>
      <c r="G345" s="12" t="s">
        <v>367</v>
      </c>
      <c r="H345" s="7">
        <v>46041</v>
      </c>
      <c r="I345" s="7">
        <v>46387</v>
      </c>
      <c r="J345" t="s">
        <v>125</v>
      </c>
      <c r="K345" s="25" t="s">
        <v>2112</v>
      </c>
    </row>
    <row r="346" spans="1:11" ht="14.4" x14ac:dyDescent="0.3">
      <c r="A346" s="16">
        <v>1</v>
      </c>
      <c r="B346" s="17">
        <v>1090334186</v>
      </c>
      <c r="C346" s="17" t="s">
        <v>331</v>
      </c>
      <c r="D346" s="17" t="s">
        <v>207</v>
      </c>
      <c r="E346" s="17">
        <v>3202513080</v>
      </c>
      <c r="F346" s="8" t="s">
        <v>333</v>
      </c>
      <c r="G346" s="23" t="s">
        <v>332</v>
      </c>
      <c r="H346" s="18">
        <v>46031</v>
      </c>
      <c r="I346" s="18">
        <v>46211</v>
      </c>
      <c r="J346" s="19" t="s">
        <v>125</v>
      </c>
      <c r="K346" s="21" t="s">
        <v>2098</v>
      </c>
    </row>
    <row r="347" spans="1:11" ht="14.4" x14ac:dyDescent="0.3">
      <c r="A347" s="16">
        <v>1</v>
      </c>
      <c r="B347" s="6">
        <v>10305307</v>
      </c>
      <c r="C347" s="17" t="s">
        <v>885</v>
      </c>
      <c r="D347" s="6" t="s">
        <v>201</v>
      </c>
      <c r="E347" s="6">
        <v>3167222810</v>
      </c>
      <c r="F347" s="8" t="s">
        <v>887</v>
      </c>
      <c r="G347" s="12" t="s">
        <v>886</v>
      </c>
      <c r="H347" s="7">
        <v>46032</v>
      </c>
      <c r="I347" s="7">
        <v>46387</v>
      </c>
      <c r="J347" t="s">
        <v>125</v>
      </c>
      <c r="K347" s="25" t="s">
        <v>2112</v>
      </c>
    </row>
    <row r="348" spans="1:11" ht="14.4" x14ac:dyDescent="0.3">
      <c r="A348" s="16">
        <v>1</v>
      </c>
      <c r="B348" s="6">
        <v>80504271</v>
      </c>
      <c r="C348" s="17" t="s">
        <v>2005</v>
      </c>
      <c r="D348" s="6" t="s">
        <v>270</v>
      </c>
      <c r="E348" s="6">
        <v>3105507306</v>
      </c>
      <c r="F348" s="8" t="s">
        <v>2006</v>
      </c>
      <c r="G348" s="6" t="s">
        <v>20</v>
      </c>
      <c r="H348" s="6" t="s">
        <v>20</v>
      </c>
      <c r="I348" s="6" t="s">
        <v>20</v>
      </c>
      <c r="J348" s="28" t="s">
        <v>119</v>
      </c>
      <c r="K348" s="25" t="s">
        <v>2112</v>
      </c>
    </row>
    <row r="349" spans="1:11" ht="14.4" x14ac:dyDescent="0.3">
      <c r="A349" s="16">
        <v>1</v>
      </c>
      <c r="B349" s="6">
        <v>91492909</v>
      </c>
      <c r="C349" s="17" t="s">
        <v>1506</v>
      </c>
      <c r="D349" s="6" t="s">
        <v>500</v>
      </c>
      <c r="E349" s="6">
        <v>3057363503</v>
      </c>
      <c r="F349" s="8" t="s">
        <v>1508</v>
      </c>
      <c r="G349" s="12" t="s">
        <v>1507</v>
      </c>
      <c r="H349" s="7">
        <v>46045</v>
      </c>
      <c r="I349" s="7">
        <v>46284</v>
      </c>
      <c r="J349" t="s">
        <v>125</v>
      </c>
      <c r="K349" s="25" t="s">
        <v>2112</v>
      </c>
    </row>
    <row r="350" spans="1:11" ht="14.4" x14ac:dyDescent="0.3">
      <c r="A350" s="16">
        <v>1</v>
      </c>
      <c r="B350" s="6">
        <v>79751974</v>
      </c>
      <c r="C350" s="17" t="s">
        <v>19</v>
      </c>
      <c r="D350" s="6" t="s">
        <v>434</v>
      </c>
      <c r="E350" s="6">
        <v>3108061470</v>
      </c>
      <c r="F350" s="8" t="s">
        <v>21</v>
      </c>
      <c r="G350" s="6" t="s">
        <v>20</v>
      </c>
      <c r="H350" s="7" t="s">
        <v>20</v>
      </c>
      <c r="I350" s="7" t="s">
        <v>20</v>
      </c>
      <c r="J350" t="s">
        <v>119</v>
      </c>
      <c r="K350" s="25" t="s">
        <v>2112</v>
      </c>
    </row>
    <row r="351" spans="1:11" ht="14.4" x14ac:dyDescent="0.3">
      <c r="A351" s="16">
        <v>1</v>
      </c>
      <c r="B351" s="6">
        <v>1101754110</v>
      </c>
      <c r="C351" s="17" t="s">
        <v>161</v>
      </c>
      <c r="D351" s="6" t="s">
        <v>1562</v>
      </c>
      <c r="E351" s="6">
        <v>3175339549</v>
      </c>
      <c r="F351" s="8" t="s">
        <v>163</v>
      </c>
      <c r="G351" s="12" t="s">
        <v>162</v>
      </c>
      <c r="H351" s="7">
        <v>46029</v>
      </c>
      <c r="I351" s="7">
        <v>46387</v>
      </c>
      <c r="J351" t="s">
        <v>125</v>
      </c>
      <c r="K351" s="25" t="s">
        <v>2112</v>
      </c>
    </row>
    <row r="352" spans="1:11" ht="14.4" x14ac:dyDescent="0.3">
      <c r="A352" s="16">
        <v>1</v>
      </c>
      <c r="B352" s="6">
        <v>1032406226</v>
      </c>
      <c r="C352" s="17" t="s">
        <v>1957</v>
      </c>
      <c r="D352" s="6" t="s">
        <v>1960</v>
      </c>
      <c r="E352" s="6">
        <v>3142744046</v>
      </c>
      <c r="F352" s="8" t="s">
        <v>1959</v>
      </c>
      <c r="G352" s="12" t="s">
        <v>1958</v>
      </c>
      <c r="H352" s="12">
        <v>46042</v>
      </c>
      <c r="I352" s="12">
        <v>46375</v>
      </c>
      <c r="J352" t="s">
        <v>125</v>
      </c>
      <c r="K352" s="25" t="s">
        <v>2112</v>
      </c>
    </row>
    <row r="353" spans="1:11" ht="14.4" x14ac:dyDescent="0.3">
      <c r="A353" s="16">
        <v>1</v>
      </c>
      <c r="B353" s="6">
        <v>115068646</v>
      </c>
      <c r="C353" s="17" t="s">
        <v>53</v>
      </c>
      <c r="D353" s="6" t="s">
        <v>1338</v>
      </c>
      <c r="E353" s="6">
        <v>3163490223</v>
      </c>
      <c r="F353" s="8" t="s">
        <v>55</v>
      </c>
      <c r="G353" s="6" t="s">
        <v>54</v>
      </c>
      <c r="H353" s="7">
        <v>46035</v>
      </c>
      <c r="I353" s="7">
        <v>46246</v>
      </c>
      <c r="J353" s="9" t="s">
        <v>125</v>
      </c>
      <c r="K353" s="25" t="s">
        <v>2112</v>
      </c>
    </row>
    <row r="354" spans="1:11" ht="14.4" x14ac:dyDescent="0.3">
      <c r="A354" s="16">
        <v>1</v>
      </c>
      <c r="B354" s="6">
        <v>1023943099</v>
      </c>
      <c r="C354" s="17" t="s">
        <v>640</v>
      </c>
      <c r="D354" s="6" t="s">
        <v>500</v>
      </c>
      <c r="E354" s="6">
        <v>3118215076</v>
      </c>
      <c r="F354" s="8" t="s">
        <v>642</v>
      </c>
      <c r="G354" s="12" t="s">
        <v>641</v>
      </c>
      <c r="H354" s="7">
        <v>46035</v>
      </c>
      <c r="I354" s="7">
        <v>46387</v>
      </c>
      <c r="J354" t="s">
        <v>125</v>
      </c>
      <c r="K354" s="25" t="s">
        <v>2112</v>
      </c>
    </row>
    <row r="355" spans="1:11" ht="14.4" x14ac:dyDescent="0.3">
      <c r="A355" s="16">
        <v>1</v>
      </c>
      <c r="B355" s="6">
        <v>53021213</v>
      </c>
      <c r="C355" s="17" t="s">
        <v>916</v>
      </c>
      <c r="D355" s="6" t="s">
        <v>500</v>
      </c>
      <c r="E355" s="6">
        <v>3137297394</v>
      </c>
      <c r="F355" s="8" t="s">
        <v>918</v>
      </c>
      <c r="G355" s="12" t="s">
        <v>917</v>
      </c>
      <c r="H355" s="7">
        <v>46029</v>
      </c>
      <c r="I355" s="7">
        <v>46053</v>
      </c>
      <c r="J355" t="s">
        <v>125</v>
      </c>
      <c r="K355" s="25" t="s">
        <v>2112</v>
      </c>
    </row>
    <row r="356" spans="1:11" ht="14.4" x14ac:dyDescent="0.3">
      <c r="A356" s="16">
        <v>1</v>
      </c>
      <c r="B356" s="13">
        <v>1000000381</v>
      </c>
      <c r="C356" s="24" t="s">
        <v>1809</v>
      </c>
      <c r="D356" s="6" t="s">
        <v>500</v>
      </c>
      <c r="E356" s="13">
        <v>3106872952</v>
      </c>
      <c r="F356" s="8" t="s">
        <v>1811</v>
      </c>
      <c r="G356" s="6" t="s">
        <v>1810</v>
      </c>
      <c r="H356" s="7">
        <v>46054</v>
      </c>
      <c r="I356" s="7">
        <v>46387</v>
      </c>
      <c r="J356" t="s">
        <v>125</v>
      </c>
      <c r="K356" s="25" t="s">
        <v>2112</v>
      </c>
    </row>
    <row r="357" spans="1:11" ht="14.4" x14ac:dyDescent="0.3">
      <c r="A357" s="16">
        <v>1</v>
      </c>
      <c r="B357" s="6">
        <v>37863889</v>
      </c>
      <c r="C357" s="17" t="s">
        <v>1172</v>
      </c>
      <c r="D357" s="17" t="s">
        <v>2011</v>
      </c>
      <c r="E357" s="6">
        <v>3123512363</v>
      </c>
      <c r="F357" s="8" t="s">
        <v>1174</v>
      </c>
      <c r="G357" s="12" t="s">
        <v>1173</v>
      </c>
      <c r="H357" s="7">
        <v>46036</v>
      </c>
      <c r="I357" s="7">
        <v>46387</v>
      </c>
      <c r="J357" t="s">
        <v>125</v>
      </c>
      <c r="K357" s="25" t="s">
        <v>2112</v>
      </c>
    </row>
    <row r="358" spans="1:11" ht="14.4" x14ac:dyDescent="0.3">
      <c r="A358" s="16">
        <v>1</v>
      </c>
      <c r="B358" s="6">
        <v>51736627</v>
      </c>
      <c r="C358" s="17" t="s">
        <v>1180</v>
      </c>
      <c r="D358" s="6" t="s">
        <v>270</v>
      </c>
      <c r="E358" s="6">
        <v>3132613176</v>
      </c>
      <c r="F358" s="8" t="s">
        <v>1181</v>
      </c>
      <c r="G358" s="6" t="s">
        <v>20</v>
      </c>
      <c r="H358" s="7" t="s">
        <v>20</v>
      </c>
      <c r="I358" s="7" t="s">
        <v>20</v>
      </c>
      <c r="J358" t="s">
        <v>119</v>
      </c>
      <c r="K358" s="25" t="s">
        <v>2112</v>
      </c>
    </row>
    <row r="359" spans="1:11" ht="14.4" x14ac:dyDescent="0.3">
      <c r="A359" s="16">
        <v>1</v>
      </c>
      <c r="B359" s="6">
        <v>1026263191</v>
      </c>
      <c r="C359" s="17" t="s">
        <v>449</v>
      </c>
      <c r="D359" s="6" t="s">
        <v>270</v>
      </c>
      <c r="E359" s="6">
        <v>3185570652</v>
      </c>
      <c r="F359" s="8" t="s">
        <v>451</v>
      </c>
      <c r="G359" s="12" t="s">
        <v>450</v>
      </c>
      <c r="H359" s="7">
        <v>46048</v>
      </c>
      <c r="I359" s="7">
        <v>46353</v>
      </c>
      <c r="J359" t="s">
        <v>125</v>
      </c>
      <c r="K359" s="25" t="s">
        <v>2112</v>
      </c>
    </row>
    <row r="360" spans="1:11" ht="14.4" x14ac:dyDescent="0.3">
      <c r="A360" s="16">
        <v>1</v>
      </c>
      <c r="B360" s="17">
        <v>53178070</v>
      </c>
      <c r="C360" s="17" t="s">
        <v>1098</v>
      </c>
      <c r="D360" s="17" t="s">
        <v>299</v>
      </c>
      <c r="E360" s="17">
        <v>3015419453</v>
      </c>
      <c r="F360" s="8" t="s">
        <v>1100</v>
      </c>
      <c r="G360" s="17" t="s">
        <v>1099</v>
      </c>
      <c r="H360" s="18">
        <v>46035</v>
      </c>
      <c r="I360" s="18">
        <v>46203</v>
      </c>
      <c r="J360" s="29" t="s">
        <v>125</v>
      </c>
      <c r="K360" s="21" t="s">
        <v>2098</v>
      </c>
    </row>
    <row r="361" spans="1:11" ht="14.4" x14ac:dyDescent="0.3">
      <c r="A361" s="16">
        <v>1</v>
      </c>
      <c r="B361" s="6">
        <v>1053838523</v>
      </c>
      <c r="C361" s="17" t="s">
        <v>1405</v>
      </c>
      <c r="D361" s="6" t="s">
        <v>256</v>
      </c>
      <c r="E361" s="6">
        <v>3165329202</v>
      </c>
      <c r="F361" s="8" t="s">
        <v>1407</v>
      </c>
      <c r="G361" s="12" t="s">
        <v>1406</v>
      </c>
      <c r="H361" s="7">
        <v>46048</v>
      </c>
      <c r="I361" s="7">
        <v>46228</v>
      </c>
      <c r="J361" t="s">
        <v>125</v>
      </c>
      <c r="K361" s="25" t="s">
        <v>2112</v>
      </c>
    </row>
    <row r="362" spans="1:11" ht="14.4" x14ac:dyDescent="0.3">
      <c r="A362" s="16">
        <v>1</v>
      </c>
      <c r="B362" s="17">
        <v>52453674</v>
      </c>
      <c r="C362" s="17" t="s">
        <v>635</v>
      </c>
      <c r="D362" s="6" t="s">
        <v>1353</v>
      </c>
      <c r="E362" s="17">
        <v>3112023325</v>
      </c>
      <c r="F362" s="8" t="s">
        <v>637</v>
      </c>
      <c r="G362" s="23" t="s">
        <v>636</v>
      </c>
      <c r="H362" s="18">
        <v>46035</v>
      </c>
      <c r="I362" s="18">
        <v>46215</v>
      </c>
      <c r="J362" s="19" t="s">
        <v>125</v>
      </c>
      <c r="K362" s="21" t="s">
        <v>2098</v>
      </c>
    </row>
    <row r="363" spans="1:11" ht="14.4" x14ac:dyDescent="0.3">
      <c r="A363" s="16">
        <v>1</v>
      </c>
      <c r="B363" s="6">
        <v>1049616323</v>
      </c>
      <c r="C363" s="17" t="s">
        <v>590</v>
      </c>
      <c r="D363" s="6" t="s">
        <v>1843</v>
      </c>
      <c r="E363" s="6">
        <v>3004886701</v>
      </c>
      <c r="F363" s="8" t="s">
        <v>592</v>
      </c>
      <c r="G363" s="12" t="s">
        <v>591</v>
      </c>
      <c r="H363" s="7">
        <v>46028</v>
      </c>
      <c r="I363" s="7">
        <v>46270</v>
      </c>
      <c r="J363" t="s">
        <v>125</v>
      </c>
      <c r="K363" s="25" t="s">
        <v>2112</v>
      </c>
    </row>
    <row r="364" spans="1:11" ht="14.4" x14ac:dyDescent="0.3">
      <c r="A364" s="16">
        <v>1</v>
      </c>
      <c r="B364" s="6">
        <v>1032395549</v>
      </c>
      <c r="C364" s="17" t="s">
        <v>77</v>
      </c>
      <c r="D364" s="6" t="s">
        <v>587</v>
      </c>
      <c r="E364" s="6">
        <v>3166262024</v>
      </c>
      <c r="F364" s="8" t="s">
        <v>79</v>
      </c>
      <c r="G364" s="6" t="s">
        <v>78</v>
      </c>
      <c r="H364" s="7">
        <v>46036</v>
      </c>
      <c r="I364" s="7">
        <v>46370</v>
      </c>
      <c r="J364" s="9" t="s">
        <v>125</v>
      </c>
      <c r="K364" s="25" t="s">
        <v>2112</v>
      </c>
    </row>
    <row r="365" spans="1:11" ht="14.4" x14ac:dyDescent="0.3">
      <c r="A365" s="16">
        <v>1</v>
      </c>
      <c r="B365" s="6">
        <v>79609619</v>
      </c>
      <c r="C365" s="17" t="s">
        <v>1148</v>
      </c>
      <c r="D365" s="6" t="s">
        <v>500</v>
      </c>
      <c r="E365" s="6">
        <v>3222674965</v>
      </c>
      <c r="F365" s="8" t="s">
        <v>1150</v>
      </c>
      <c r="G365" s="12" t="s">
        <v>1149</v>
      </c>
      <c r="H365" s="7">
        <v>46048</v>
      </c>
      <c r="I365" s="7">
        <v>46387</v>
      </c>
      <c r="J365" t="s">
        <v>125</v>
      </c>
      <c r="K365" s="25" t="s">
        <v>2112</v>
      </c>
    </row>
    <row r="366" spans="1:11" ht="14.4" x14ac:dyDescent="0.3">
      <c r="A366" s="16">
        <v>1</v>
      </c>
      <c r="B366" s="6">
        <v>11350393</v>
      </c>
      <c r="C366" s="17" t="s">
        <v>431</v>
      </c>
      <c r="D366" s="6" t="s">
        <v>434</v>
      </c>
      <c r="E366" s="6">
        <v>3046650488</v>
      </c>
      <c r="F366" s="8" t="s">
        <v>433</v>
      </c>
      <c r="G366" s="12" t="s">
        <v>432</v>
      </c>
      <c r="H366" s="7">
        <v>46031</v>
      </c>
      <c r="I366" s="7">
        <v>46387</v>
      </c>
      <c r="J366" t="s">
        <v>125</v>
      </c>
      <c r="K366" s="25" t="s">
        <v>2112</v>
      </c>
    </row>
    <row r="367" spans="1:11" ht="14.4" x14ac:dyDescent="0.3">
      <c r="A367" s="16">
        <v>1</v>
      </c>
      <c r="B367" s="6">
        <v>1010169744</v>
      </c>
      <c r="C367" s="17" t="s">
        <v>1326</v>
      </c>
      <c r="D367" s="6" t="s">
        <v>1006</v>
      </c>
      <c r="E367" s="6">
        <v>3105543461</v>
      </c>
      <c r="F367" s="8" t="s">
        <v>1328</v>
      </c>
      <c r="G367" s="12" t="s">
        <v>1327</v>
      </c>
      <c r="H367" s="7">
        <v>46028</v>
      </c>
      <c r="I367" s="7">
        <v>46387</v>
      </c>
      <c r="J367" t="s">
        <v>125</v>
      </c>
      <c r="K367" s="25" t="s">
        <v>2112</v>
      </c>
    </row>
    <row r="368" spans="1:11" ht="14.4" x14ac:dyDescent="0.3">
      <c r="A368" s="16">
        <v>1</v>
      </c>
      <c r="B368" s="6">
        <v>1030623154</v>
      </c>
      <c r="C368" s="17" t="s">
        <v>1474</v>
      </c>
      <c r="D368" s="6" t="s">
        <v>285</v>
      </c>
      <c r="E368" s="6">
        <v>3125667339</v>
      </c>
      <c r="F368" s="8" t="s">
        <v>1475</v>
      </c>
      <c r="G368" s="6" t="s">
        <v>20</v>
      </c>
      <c r="H368" s="7" t="s">
        <v>20</v>
      </c>
      <c r="I368" s="7" t="s">
        <v>20</v>
      </c>
      <c r="J368" t="s">
        <v>119</v>
      </c>
      <c r="K368" s="25" t="s">
        <v>2112</v>
      </c>
    </row>
    <row r="369" spans="1:11" ht="14.4" x14ac:dyDescent="0.3">
      <c r="A369" s="16">
        <v>1</v>
      </c>
      <c r="B369" s="6">
        <v>1032475428</v>
      </c>
      <c r="C369" s="17" t="s">
        <v>1411</v>
      </c>
      <c r="D369" s="6" t="s">
        <v>1338</v>
      </c>
      <c r="E369" s="6">
        <v>3003593799</v>
      </c>
      <c r="F369" s="8" t="s">
        <v>1413</v>
      </c>
      <c r="G369" s="12" t="s">
        <v>1412</v>
      </c>
      <c r="H369" s="7">
        <v>46050</v>
      </c>
      <c r="I369" s="7">
        <v>46261</v>
      </c>
      <c r="J369" t="s">
        <v>125</v>
      </c>
      <c r="K369" s="25" t="s">
        <v>2112</v>
      </c>
    </row>
    <row r="370" spans="1:11" ht="14.4" x14ac:dyDescent="0.3">
      <c r="A370" s="16">
        <v>1</v>
      </c>
      <c r="B370" s="6">
        <v>1000596077</v>
      </c>
      <c r="C370" s="17" t="s">
        <v>944</v>
      </c>
      <c r="D370" s="6" t="s">
        <v>201</v>
      </c>
      <c r="E370" s="6">
        <v>3197033980</v>
      </c>
      <c r="F370" s="8" t="s">
        <v>946</v>
      </c>
      <c r="G370" s="12" t="s">
        <v>945</v>
      </c>
      <c r="H370" s="7">
        <v>46035</v>
      </c>
      <c r="I370" s="7">
        <v>46387</v>
      </c>
      <c r="J370" s="30" t="s">
        <v>125</v>
      </c>
      <c r="K370" s="25" t="s">
        <v>2112</v>
      </c>
    </row>
    <row r="371" spans="1:11" ht="14.4" x14ac:dyDescent="0.3">
      <c r="A371" s="16">
        <v>1</v>
      </c>
      <c r="B371" s="6">
        <v>1085296515</v>
      </c>
      <c r="C371" s="17" t="s">
        <v>1626</v>
      </c>
      <c r="D371" s="17" t="s">
        <v>207</v>
      </c>
      <c r="E371" s="6">
        <v>3017269448</v>
      </c>
      <c r="F371" s="8" t="s">
        <v>1628</v>
      </c>
      <c r="G371" s="6" t="s">
        <v>1627</v>
      </c>
      <c r="H371" s="7">
        <v>46036</v>
      </c>
      <c r="I371" s="7">
        <v>46216</v>
      </c>
      <c r="J371" t="s">
        <v>125</v>
      </c>
      <c r="K371" s="25" t="s">
        <v>2112</v>
      </c>
    </row>
    <row r="372" spans="1:11" ht="14.4" x14ac:dyDescent="0.3">
      <c r="A372" s="16">
        <v>1</v>
      </c>
      <c r="B372" s="6">
        <v>79950133</v>
      </c>
      <c r="C372" s="17" t="s">
        <v>561</v>
      </c>
      <c r="D372" s="6" t="s">
        <v>742</v>
      </c>
      <c r="E372" s="6">
        <v>3407192209</v>
      </c>
      <c r="F372" s="8" t="s">
        <v>563</v>
      </c>
      <c r="G372" s="12" t="s">
        <v>562</v>
      </c>
      <c r="H372" s="7">
        <v>46042</v>
      </c>
      <c r="I372" s="7">
        <v>46387</v>
      </c>
      <c r="J372" t="s">
        <v>125</v>
      </c>
      <c r="K372" s="25" t="s">
        <v>2112</v>
      </c>
    </row>
    <row r="373" spans="1:11" ht="14.4" x14ac:dyDescent="0.3">
      <c r="A373" s="16">
        <v>1</v>
      </c>
      <c r="B373" s="6">
        <v>79737240</v>
      </c>
      <c r="C373" s="17" t="s">
        <v>2036</v>
      </c>
      <c r="D373" s="17" t="s">
        <v>1667</v>
      </c>
      <c r="E373" s="6">
        <v>3044423154</v>
      </c>
      <c r="F373" s="8" t="s">
        <v>2038</v>
      </c>
      <c r="G373" s="6" t="s">
        <v>2037</v>
      </c>
      <c r="H373" s="7">
        <v>46045</v>
      </c>
      <c r="I373" s="7">
        <v>46387</v>
      </c>
      <c r="J373" t="s">
        <v>125</v>
      </c>
      <c r="K373" s="25" t="s">
        <v>2112</v>
      </c>
    </row>
    <row r="374" spans="1:11" ht="14.4" x14ac:dyDescent="0.3">
      <c r="A374" s="16">
        <v>1</v>
      </c>
      <c r="B374" s="17">
        <v>1018494285</v>
      </c>
      <c r="C374" s="17" t="s">
        <v>158</v>
      </c>
      <c r="D374" s="6" t="s">
        <v>201</v>
      </c>
      <c r="E374" s="17">
        <v>3143377910</v>
      </c>
      <c r="F374" s="8" t="s">
        <v>159</v>
      </c>
      <c r="G374" s="17" t="s">
        <v>2102</v>
      </c>
      <c r="H374" s="18">
        <v>46040</v>
      </c>
      <c r="I374" s="18">
        <v>46130</v>
      </c>
      <c r="J374" s="19" t="s">
        <v>125</v>
      </c>
      <c r="K374" s="21" t="s">
        <v>2098</v>
      </c>
    </row>
    <row r="375" spans="1:11" ht="14.4" x14ac:dyDescent="0.3">
      <c r="A375" s="16">
        <v>1</v>
      </c>
      <c r="B375" s="6">
        <v>79756400</v>
      </c>
      <c r="C375" s="17" t="s">
        <v>1672</v>
      </c>
      <c r="D375" s="6" t="s">
        <v>1338</v>
      </c>
      <c r="E375" s="6">
        <v>3505400355</v>
      </c>
      <c r="F375" s="8" t="s">
        <v>1673</v>
      </c>
      <c r="G375" s="6" t="s">
        <v>2104</v>
      </c>
      <c r="H375" s="7">
        <v>46106</v>
      </c>
      <c r="I375" s="7">
        <v>46387</v>
      </c>
      <c r="J375" t="s">
        <v>125</v>
      </c>
      <c r="K375" s="25" t="s">
        <v>2112</v>
      </c>
    </row>
    <row r="376" spans="1:11" ht="14.4" x14ac:dyDescent="0.3">
      <c r="A376" s="16">
        <v>1</v>
      </c>
      <c r="B376" s="6">
        <v>91523898</v>
      </c>
      <c r="C376" s="17" t="s">
        <v>1709</v>
      </c>
      <c r="D376" s="6" t="s">
        <v>1698</v>
      </c>
      <c r="E376" s="6">
        <v>3166972207</v>
      </c>
      <c r="F376" s="8" t="s">
        <v>1710</v>
      </c>
      <c r="G376" s="6" t="s">
        <v>20</v>
      </c>
      <c r="H376" s="7" t="s">
        <v>20</v>
      </c>
      <c r="I376" s="7" t="s">
        <v>20</v>
      </c>
      <c r="J376" t="s">
        <v>1280</v>
      </c>
      <c r="K376" s="25" t="s">
        <v>2112</v>
      </c>
    </row>
    <row r="377" spans="1:11" ht="14.4" x14ac:dyDescent="0.3">
      <c r="A377" s="16">
        <v>1</v>
      </c>
      <c r="B377" s="6">
        <v>1018477650</v>
      </c>
      <c r="C377" s="17" t="s">
        <v>1049</v>
      </c>
      <c r="D377" s="6" t="s">
        <v>201</v>
      </c>
      <c r="E377" s="6">
        <v>3013099446</v>
      </c>
      <c r="F377" s="8" t="s">
        <v>1051</v>
      </c>
      <c r="G377" s="6" t="s">
        <v>1050</v>
      </c>
      <c r="H377" s="7">
        <v>46031</v>
      </c>
      <c r="I377" s="7">
        <v>46387</v>
      </c>
      <c r="J377" t="s">
        <v>125</v>
      </c>
      <c r="K377" s="25" t="s">
        <v>2112</v>
      </c>
    </row>
    <row r="378" spans="1:11" ht="14.4" x14ac:dyDescent="0.3">
      <c r="A378" s="16">
        <v>1</v>
      </c>
      <c r="B378" s="6">
        <v>35530221</v>
      </c>
      <c r="C378" s="17" t="s">
        <v>267</v>
      </c>
      <c r="D378" s="6" t="s">
        <v>270</v>
      </c>
      <c r="E378" s="6">
        <v>3172705684</v>
      </c>
      <c r="F378" s="8" t="s">
        <v>269</v>
      </c>
      <c r="G378" s="6" t="s">
        <v>268</v>
      </c>
      <c r="H378" s="7">
        <v>46041</v>
      </c>
      <c r="I378" s="7">
        <v>46222</v>
      </c>
      <c r="J378" t="s">
        <v>125</v>
      </c>
      <c r="K378" s="25" t="s">
        <v>2112</v>
      </c>
    </row>
    <row r="379" spans="1:11" ht="14.4" x14ac:dyDescent="0.3">
      <c r="A379" s="16">
        <v>1</v>
      </c>
      <c r="B379" s="6">
        <v>41939388</v>
      </c>
      <c r="C379" s="17" t="s">
        <v>211</v>
      </c>
      <c r="D379" s="6" t="s">
        <v>201</v>
      </c>
      <c r="E379" s="6">
        <v>3154453730</v>
      </c>
      <c r="F379" s="8" t="s">
        <v>213</v>
      </c>
      <c r="G379" s="12" t="s">
        <v>212</v>
      </c>
      <c r="H379" s="7">
        <v>46031</v>
      </c>
      <c r="I379" s="7">
        <v>46387</v>
      </c>
      <c r="J379" t="s">
        <v>125</v>
      </c>
      <c r="K379" s="25" t="s">
        <v>2112</v>
      </c>
    </row>
    <row r="380" spans="1:11" ht="14.4" x14ac:dyDescent="0.3">
      <c r="A380" s="16">
        <v>1</v>
      </c>
      <c r="B380" s="17">
        <v>1075282666</v>
      </c>
      <c r="C380" s="17" t="s">
        <v>659</v>
      </c>
      <c r="D380" s="6" t="s">
        <v>256</v>
      </c>
      <c r="E380" s="17">
        <v>3166559929</v>
      </c>
      <c r="F380" s="8" t="s">
        <v>661</v>
      </c>
      <c r="G380" s="23" t="s">
        <v>660</v>
      </c>
      <c r="H380" s="18">
        <v>46031</v>
      </c>
      <c r="I380" s="18">
        <v>46211</v>
      </c>
      <c r="J380" s="19" t="s">
        <v>125</v>
      </c>
      <c r="K380" s="21" t="s">
        <v>2098</v>
      </c>
    </row>
    <row r="381" spans="1:11" ht="14.4" x14ac:dyDescent="0.3">
      <c r="A381" s="16">
        <v>1</v>
      </c>
      <c r="B381" s="6">
        <v>1019060772</v>
      </c>
      <c r="C381" s="17" t="s">
        <v>571</v>
      </c>
      <c r="D381" s="17" t="s">
        <v>299</v>
      </c>
      <c r="E381" s="6">
        <v>3212564943</v>
      </c>
      <c r="F381" s="8" t="s">
        <v>572</v>
      </c>
      <c r="G381" s="12" t="s">
        <v>357</v>
      </c>
      <c r="H381" s="7">
        <v>46042</v>
      </c>
      <c r="I381" s="7">
        <v>46387</v>
      </c>
      <c r="J381" t="s">
        <v>125</v>
      </c>
      <c r="K381" s="25" t="s">
        <v>2112</v>
      </c>
    </row>
    <row r="382" spans="1:11" ht="14.4" x14ac:dyDescent="0.3">
      <c r="A382" s="16">
        <v>1</v>
      </c>
      <c r="B382" s="6">
        <v>1010235400</v>
      </c>
      <c r="C382" s="17" t="s">
        <v>1950</v>
      </c>
      <c r="D382" s="6" t="s">
        <v>500</v>
      </c>
      <c r="E382" s="6">
        <v>155443425</v>
      </c>
      <c r="F382" s="8" t="s">
        <v>1952</v>
      </c>
      <c r="G382" s="12" t="s">
        <v>1951</v>
      </c>
      <c r="H382" s="12">
        <v>46055</v>
      </c>
      <c r="I382" s="12">
        <v>46387</v>
      </c>
      <c r="J382" t="s">
        <v>125</v>
      </c>
      <c r="K382" s="25" t="s">
        <v>2112</v>
      </c>
    </row>
    <row r="383" spans="1:11" ht="14.4" x14ac:dyDescent="0.3">
      <c r="A383" s="16">
        <v>1</v>
      </c>
      <c r="B383" s="13">
        <v>1020750683</v>
      </c>
      <c r="C383" s="24" t="s">
        <v>1881</v>
      </c>
      <c r="D383" s="6" t="s">
        <v>1843</v>
      </c>
      <c r="E383" s="13">
        <v>3126861297</v>
      </c>
      <c r="F383" s="8" t="s">
        <v>1883</v>
      </c>
      <c r="G383" s="6" t="s">
        <v>1882</v>
      </c>
      <c r="H383" s="7">
        <v>46051</v>
      </c>
      <c r="I383" s="7">
        <v>46262</v>
      </c>
      <c r="J383" t="s">
        <v>125</v>
      </c>
      <c r="K383" s="25" t="s">
        <v>2112</v>
      </c>
    </row>
    <row r="384" spans="1:11" ht="14.4" x14ac:dyDescent="0.3">
      <c r="A384" s="16">
        <v>1</v>
      </c>
      <c r="B384" s="6">
        <v>5292411</v>
      </c>
      <c r="C384" s="17" t="s">
        <v>249</v>
      </c>
      <c r="D384" s="6" t="s">
        <v>201</v>
      </c>
      <c r="E384" s="6">
        <v>3204777719</v>
      </c>
      <c r="F384" s="8" t="s">
        <v>251</v>
      </c>
      <c r="G384" s="6" t="s">
        <v>250</v>
      </c>
      <c r="H384" s="7">
        <v>46036</v>
      </c>
      <c r="I384" s="7">
        <v>46387</v>
      </c>
      <c r="J384" t="s">
        <v>125</v>
      </c>
      <c r="K384" s="25" t="s">
        <v>2112</v>
      </c>
    </row>
    <row r="385" spans="1:11" ht="14.4" x14ac:dyDescent="0.3">
      <c r="A385" s="16">
        <v>1</v>
      </c>
      <c r="B385" s="6">
        <v>19325842</v>
      </c>
      <c r="C385" s="17" t="s">
        <v>626</v>
      </c>
      <c r="D385" s="6" t="s">
        <v>1562</v>
      </c>
      <c r="E385" s="6">
        <v>3192146582</v>
      </c>
      <c r="F385" s="8" t="s">
        <v>628</v>
      </c>
      <c r="G385" s="12" t="s">
        <v>627</v>
      </c>
      <c r="H385" s="7">
        <v>46031</v>
      </c>
      <c r="I385" s="7">
        <v>46387</v>
      </c>
      <c r="J385" t="s">
        <v>125</v>
      </c>
      <c r="K385" s="25" t="s">
        <v>2112</v>
      </c>
    </row>
    <row r="386" spans="1:11" ht="14.4" x14ac:dyDescent="0.3">
      <c r="A386" s="16">
        <v>1</v>
      </c>
      <c r="B386" s="6">
        <v>1013577285</v>
      </c>
      <c r="C386" s="17" t="s">
        <v>1606</v>
      </c>
      <c r="D386" s="6" t="s">
        <v>587</v>
      </c>
      <c r="E386" s="6">
        <v>3014438578</v>
      </c>
      <c r="F386" s="8" t="s">
        <v>1608</v>
      </c>
      <c r="G386" s="12" t="s">
        <v>1607</v>
      </c>
      <c r="H386" s="7">
        <v>46036</v>
      </c>
      <c r="I386" s="7">
        <v>46369</v>
      </c>
      <c r="J386" t="s">
        <v>125</v>
      </c>
      <c r="K386" s="25" t="s">
        <v>2112</v>
      </c>
    </row>
    <row r="387" spans="1:11" ht="14.4" x14ac:dyDescent="0.3">
      <c r="A387" s="16">
        <v>1</v>
      </c>
      <c r="B387" s="17">
        <v>91110560</v>
      </c>
      <c r="C387" s="17" t="s">
        <v>2008</v>
      </c>
      <c r="D387" s="17" t="s">
        <v>2011</v>
      </c>
      <c r="E387" s="24">
        <v>3168685422</v>
      </c>
      <c r="F387" s="8" t="s">
        <v>2010</v>
      </c>
      <c r="G387" s="23" t="s">
        <v>2009</v>
      </c>
      <c r="H387" s="18">
        <v>46030</v>
      </c>
      <c r="I387" s="18">
        <v>46387</v>
      </c>
      <c r="J387" s="19" t="s">
        <v>125</v>
      </c>
      <c r="K387" s="22" t="s">
        <v>2098</v>
      </c>
    </row>
    <row r="388" spans="1:11" ht="14.4" x14ac:dyDescent="0.3">
      <c r="A388" s="16">
        <v>1</v>
      </c>
      <c r="B388" s="6">
        <v>1103095276</v>
      </c>
      <c r="C388" s="17" t="s">
        <v>1994</v>
      </c>
      <c r="D388" s="6" t="s">
        <v>1905</v>
      </c>
      <c r="E388" s="6">
        <v>3014977779</v>
      </c>
      <c r="F388" s="8" t="s">
        <v>1995</v>
      </c>
      <c r="G388" s="6" t="s">
        <v>88</v>
      </c>
      <c r="H388" s="7">
        <v>46142</v>
      </c>
      <c r="I388" s="7">
        <v>46255</v>
      </c>
      <c r="J388" t="s">
        <v>125</v>
      </c>
      <c r="K388" s="25" t="s">
        <v>2112</v>
      </c>
    </row>
    <row r="389" spans="1:11" ht="14.4" x14ac:dyDescent="0.3">
      <c r="A389" s="16">
        <v>1</v>
      </c>
      <c r="B389" s="6">
        <v>50939844</v>
      </c>
      <c r="C389" s="17" t="s">
        <v>535</v>
      </c>
      <c r="D389" s="6" t="s">
        <v>270</v>
      </c>
      <c r="E389" s="6">
        <v>3006677111</v>
      </c>
      <c r="F389" s="8" t="s">
        <v>537</v>
      </c>
      <c r="G389" s="12" t="s">
        <v>536</v>
      </c>
      <c r="H389" s="7">
        <v>46042</v>
      </c>
      <c r="I389" s="7">
        <v>46342</v>
      </c>
      <c r="J389" t="s">
        <v>125</v>
      </c>
      <c r="K389" s="25" t="s">
        <v>2112</v>
      </c>
    </row>
    <row r="390" spans="1:11" ht="14.4" x14ac:dyDescent="0.3">
      <c r="A390" s="16">
        <v>1</v>
      </c>
      <c r="B390" s="6">
        <v>228042</v>
      </c>
      <c r="C390" s="17" t="s">
        <v>688</v>
      </c>
      <c r="D390" s="6" t="s">
        <v>2109</v>
      </c>
      <c r="E390" s="6">
        <v>3132090951</v>
      </c>
      <c r="F390" s="8" t="s">
        <v>690</v>
      </c>
      <c r="G390" s="12" t="s">
        <v>689</v>
      </c>
      <c r="H390" s="7">
        <v>46038</v>
      </c>
      <c r="I390" s="7">
        <v>46387</v>
      </c>
      <c r="J390" t="s">
        <v>125</v>
      </c>
      <c r="K390" s="25" t="s">
        <v>2112</v>
      </c>
    </row>
    <row r="391" spans="1:11" ht="14.4" x14ac:dyDescent="0.3">
      <c r="A391" s="16">
        <v>1</v>
      </c>
      <c r="B391" s="6">
        <v>1026274713</v>
      </c>
      <c r="C391" s="17" t="s">
        <v>2071</v>
      </c>
      <c r="D391" s="6" t="s">
        <v>500</v>
      </c>
      <c r="E391" s="6">
        <v>3043783737</v>
      </c>
      <c r="F391" s="8" t="s">
        <v>2072</v>
      </c>
      <c r="G391" s="12" t="s">
        <v>297</v>
      </c>
      <c r="H391" s="7">
        <v>46226</v>
      </c>
      <c r="I391" s="7">
        <v>46387</v>
      </c>
      <c r="J391" t="s">
        <v>125</v>
      </c>
      <c r="K391" s="25" t="s">
        <v>2112</v>
      </c>
    </row>
    <row r="392" spans="1:11" ht="14.4" x14ac:dyDescent="0.3">
      <c r="A392" s="16">
        <v>1</v>
      </c>
      <c r="B392" s="6">
        <v>43877882</v>
      </c>
      <c r="C392" s="17" t="s">
        <v>1254</v>
      </c>
      <c r="D392" s="6" t="s">
        <v>201</v>
      </c>
      <c r="E392" s="6">
        <v>3146620821</v>
      </c>
      <c r="F392" s="8" t="s">
        <v>1256</v>
      </c>
      <c r="G392" s="12" t="s">
        <v>1255</v>
      </c>
      <c r="H392" s="7">
        <v>46029</v>
      </c>
      <c r="I392" s="7">
        <v>46387</v>
      </c>
      <c r="J392" t="s">
        <v>125</v>
      </c>
      <c r="K392" s="25" t="s">
        <v>2112</v>
      </c>
    </row>
    <row r="393" spans="1:11" ht="14.4" x14ac:dyDescent="0.3">
      <c r="A393" s="16">
        <v>1</v>
      </c>
      <c r="B393" s="6">
        <v>79328182</v>
      </c>
      <c r="C393" s="17" t="s">
        <v>735</v>
      </c>
      <c r="D393" s="6" t="s">
        <v>587</v>
      </c>
      <c r="E393" s="6">
        <v>3166210717</v>
      </c>
      <c r="F393" s="8" t="s">
        <v>737</v>
      </c>
      <c r="G393" s="12" t="s">
        <v>736</v>
      </c>
      <c r="H393" s="7">
        <v>46035</v>
      </c>
      <c r="I393" s="7">
        <v>46379</v>
      </c>
      <c r="J393" t="s">
        <v>125</v>
      </c>
      <c r="K393" s="25" t="s">
        <v>2112</v>
      </c>
    </row>
    <row r="394" spans="1:11" ht="14.4" x14ac:dyDescent="0.3">
      <c r="A394" s="16">
        <v>1</v>
      </c>
      <c r="B394" s="6">
        <v>79979675</v>
      </c>
      <c r="C394" s="17" t="s">
        <v>287</v>
      </c>
      <c r="D394" s="6" t="s">
        <v>201</v>
      </c>
      <c r="E394" s="6">
        <v>3004729310</v>
      </c>
      <c r="F394" s="8" t="s">
        <v>288</v>
      </c>
      <c r="G394" s="6" t="s">
        <v>20</v>
      </c>
      <c r="H394" s="7" t="s">
        <v>20</v>
      </c>
      <c r="I394" s="7" t="s">
        <v>20</v>
      </c>
      <c r="J394" t="s">
        <v>119</v>
      </c>
      <c r="K394" s="25" t="s">
        <v>2112</v>
      </c>
    </row>
    <row r="395" spans="1:11" ht="14.4" x14ac:dyDescent="0.3">
      <c r="A395" s="16">
        <v>1</v>
      </c>
      <c r="B395" s="6">
        <v>79773343</v>
      </c>
      <c r="C395" s="17" t="s">
        <v>239</v>
      </c>
      <c r="D395" s="6" t="s">
        <v>434</v>
      </c>
      <c r="E395" s="6">
        <v>3007889782</v>
      </c>
      <c r="F395" s="8" t="s">
        <v>241</v>
      </c>
      <c r="G395" s="6" t="s">
        <v>240</v>
      </c>
      <c r="H395" s="7">
        <v>46041</v>
      </c>
      <c r="I395" s="7">
        <v>46387</v>
      </c>
      <c r="J395" t="s">
        <v>125</v>
      </c>
      <c r="K395" s="25" t="s">
        <v>2112</v>
      </c>
    </row>
    <row r="396" spans="1:11" ht="14.4" x14ac:dyDescent="0.3">
      <c r="A396" s="16">
        <v>1</v>
      </c>
      <c r="B396" s="6">
        <v>79873343</v>
      </c>
      <c r="C396" s="17" t="s">
        <v>239</v>
      </c>
      <c r="D396" s="6" t="s">
        <v>434</v>
      </c>
      <c r="E396" s="6">
        <v>3007889782</v>
      </c>
      <c r="F396" s="8" t="s">
        <v>260</v>
      </c>
      <c r="G396" s="6" t="s">
        <v>240</v>
      </c>
      <c r="H396" s="7">
        <v>46041</v>
      </c>
      <c r="I396" s="7">
        <v>46387</v>
      </c>
      <c r="J396" t="s">
        <v>125</v>
      </c>
      <c r="K396" s="25" t="s">
        <v>2112</v>
      </c>
    </row>
    <row r="397" spans="1:11" ht="14.4" x14ac:dyDescent="0.3">
      <c r="A397" s="16">
        <v>1</v>
      </c>
      <c r="B397" s="6">
        <v>1136879147</v>
      </c>
      <c r="C397" s="17" t="s">
        <v>2054</v>
      </c>
      <c r="D397" s="6" t="s">
        <v>500</v>
      </c>
      <c r="E397" s="6">
        <v>3183907063</v>
      </c>
      <c r="F397" s="8" t="s">
        <v>2056</v>
      </c>
      <c r="G397" s="6" t="s">
        <v>2055</v>
      </c>
      <c r="H397" s="7">
        <v>46174</v>
      </c>
      <c r="I397" s="7">
        <v>46387</v>
      </c>
      <c r="J397" t="s">
        <v>125</v>
      </c>
      <c r="K397" s="25" t="s">
        <v>2112</v>
      </c>
    </row>
    <row r="398" spans="1:11" ht="14.4" x14ac:dyDescent="0.3">
      <c r="A398" s="16">
        <v>1</v>
      </c>
      <c r="B398" s="6">
        <v>53167119</v>
      </c>
      <c r="C398" s="17" t="s">
        <v>1376</v>
      </c>
      <c r="D398" s="6" t="s">
        <v>1006</v>
      </c>
      <c r="E398" s="6">
        <v>3005054691</v>
      </c>
      <c r="F398" s="8" t="s">
        <v>1378</v>
      </c>
      <c r="G398" s="12" t="s">
        <v>1377</v>
      </c>
      <c r="H398" s="7">
        <v>46051</v>
      </c>
      <c r="I398" s="7">
        <v>46384</v>
      </c>
      <c r="J398" t="s">
        <v>125</v>
      </c>
      <c r="K398" s="25" t="s">
        <v>2112</v>
      </c>
    </row>
    <row r="399" spans="1:11" ht="14.4" x14ac:dyDescent="0.3">
      <c r="A399" s="16">
        <v>1</v>
      </c>
      <c r="B399" s="6">
        <v>52308946</v>
      </c>
      <c r="C399" s="17" t="s">
        <v>1700</v>
      </c>
      <c r="D399" s="6" t="s">
        <v>1702</v>
      </c>
      <c r="E399" s="6">
        <v>3228970040</v>
      </c>
      <c r="F399" s="8" t="s">
        <v>1701</v>
      </c>
      <c r="G399" s="6" t="s">
        <v>20</v>
      </c>
      <c r="H399" s="7" t="s">
        <v>20</v>
      </c>
      <c r="I399" s="7" t="s">
        <v>20</v>
      </c>
      <c r="J399" t="s">
        <v>1280</v>
      </c>
      <c r="K399" s="25" t="s">
        <v>2112</v>
      </c>
    </row>
    <row r="400" spans="1:11" ht="14.4" x14ac:dyDescent="0.3">
      <c r="A400" s="16">
        <v>1</v>
      </c>
      <c r="B400" s="6">
        <v>65709742</v>
      </c>
      <c r="C400" s="17" t="s">
        <v>193</v>
      </c>
      <c r="D400" s="6" t="s">
        <v>201</v>
      </c>
      <c r="E400" s="6">
        <v>3045519277</v>
      </c>
      <c r="F400" s="8" t="s">
        <v>195</v>
      </c>
      <c r="G400" s="6" t="s">
        <v>194</v>
      </c>
      <c r="H400" s="7">
        <v>46042</v>
      </c>
      <c r="I400" s="7">
        <v>46387</v>
      </c>
      <c r="J400" t="s">
        <v>125</v>
      </c>
      <c r="K400" s="25" t="s">
        <v>2112</v>
      </c>
    </row>
    <row r="401" spans="1:11" ht="14.4" x14ac:dyDescent="0.3">
      <c r="A401" s="16">
        <v>1</v>
      </c>
      <c r="B401" s="17">
        <v>1030543652</v>
      </c>
      <c r="C401" s="17" t="s">
        <v>871</v>
      </c>
      <c r="D401" s="6" t="s">
        <v>285</v>
      </c>
      <c r="E401" s="17">
        <v>3014400686</v>
      </c>
      <c r="F401" s="8" t="s">
        <v>873</v>
      </c>
      <c r="G401" s="23" t="s">
        <v>872</v>
      </c>
      <c r="H401" s="18">
        <v>46028</v>
      </c>
      <c r="I401" s="18">
        <v>46230</v>
      </c>
      <c r="J401" s="19" t="s">
        <v>125</v>
      </c>
      <c r="K401" s="22" t="s">
        <v>2098</v>
      </c>
    </row>
    <row r="402" spans="1:11" ht="14.4" x14ac:dyDescent="0.3">
      <c r="A402" s="16">
        <v>1</v>
      </c>
      <c r="B402" s="6">
        <v>1020833621</v>
      </c>
      <c r="C402" s="17" t="s">
        <v>644</v>
      </c>
      <c r="D402" s="17" t="s">
        <v>299</v>
      </c>
      <c r="E402" s="6">
        <v>3106183500</v>
      </c>
      <c r="F402" s="8" t="s">
        <v>646</v>
      </c>
      <c r="G402" s="6" t="s">
        <v>645</v>
      </c>
      <c r="H402" s="7">
        <v>46031</v>
      </c>
      <c r="I402" s="7">
        <v>46387</v>
      </c>
      <c r="J402" t="s">
        <v>125</v>
      </c>
      <c r="K402" s="25" t="s">
        <v>2112</v>
      </c>
    </row>
    <row r="403" spans="1:11" ht="14.4" x14ac:dyDescent="0.3">
      <c r="A403" s="16">
        <v>1</v>
      </c>
      <c r="B403" s="6">
        <v>1018493253</v>
      </c>
      <c r="C403" s="17" t="s">
        <v>1264</v>
      </c>
      <c r="D403" s="6" t="s">
        <v>500</v>
      </c>
      <c r="E403" s="6">
        <v>3245841183</v>
      </c>
      <c r="F403" s="8" t="s">
        <v>1265</v>
      </c>
      <c r="G403" s="12" t="s">
        <v>263</v>
      </c>
      <c r="H403" s="7">
        <v>46041</v>
      </c>
      <c r="I403" s="7">
        <v>46387</v>
      </c>
      <c r="J403" t="s">
        <v>125</v>
      </c>
      <c r="K403" s="25" t="s">
        <v>2112</v>
      </c>
    </row>
    <row r="404" spans="1:11" ht="14.4" x14ac:dyDescent="0.3">
      <c r="A404" s="16">
        <v>1</v>
      </c>
      <c r="B404" s="6">
        <v>1022421202</v>
      </c>
      <c r="C404" s="17" t="s">
        <v>1392</v>
      </c>
      <c r="D404" s="17" t="s">
        <v>1395</v>
      </c>
      <c r="E404" s="6">
        <v>3124309082</v>
      </c>
      <c r="F404" s="8" t="s">
        <v>1394</v>
      </c>
      <c r="G404" s="12" t="s">
        <v>1393</v>
      </c>
      <c r="H404" s="7">
        <v>46048</v>
      </c>
      <c r="I404" s="7">
        <v>46228</v>
      </c>
      <c r="J404" t="s">
        <v>125</v>
      </c>
      <c r="K404" s="25" t="s">
        <v>2112</v>
      </c>
    </row>
    <row r="405" spans="1:11" ht="14.4" x14ac:dyDescent="0.3">
      <c r="A405" s="16">
        <v>1</v>
      </c>
      <c r="B405" s="6">
        <v>53066202</v>
      </c>
      <c r="C405" s="17" t="s">
        <v>468</v>
      </c>
      <c r="D405" s="6" t="s">
        <v>500</v>
      </c>
      <c r="E405" s="6">
        <v>3002619924</v>
      </c>
      <c r="F405" s="8" t="s">
        <v>470</v>
      </c>
      <c r="G405" s="12" t="s">
        <v>469</v>
      </c>
      <c r="H405" s="7">
        <v>46041</v>
      </c>
      <c r="I405" s="7">
        <v>46387</v>
      </c>
      <c r="J405" t="s">
        <v>125</v>
      </c>
      <c r="K405" s="25" t="s">
        <v>2112</v>
      </c>
    </row>
    <row r="406" spans="1:11" ht="14.4" x14ac:dyDescent="0.3">
      <c r="A406" s="16">
        <v>1</v>
      </c>
      <c r="B406" s="13">
        <v>1049794506</v>
      </c>
      <c r="C406" s="24" t="s">
        <v>1828</v>
      </c>
      <c r="D406" s="6" t="s">
        <v>1006</v>
      </c>
      <c r="E406" s="13">
        <v>31339999368</v>
      </c>
      <c r="F406" s="8" t="s">
        <v>1830</v>
      </c>
      <c r="G406" s="6" t="s">
        <v>1829</v>
      </c>
      <c r="H406" s="7">
        <v>46050</v>
      </c>
      <c r="I406" s="7">
        <v>46387</v>
      </c>
      <c r="J406" t="s">
        <v>125</v>
      </c>
      <c r="K406" s="25" t="s">
        <v>2112</v>
      </c>
    </row>
    <row r="407" spans="1:11" ht="14.4" x14ac:dyDescent="0.3">
      <c r="A407" s="16">
        <v>1</v>
      </c>
      <c r="B407" s="6">
        <v>1019111258</v>
      </c>
      <c r="C407" s="17" t="s">
        <v>1419</v>
      </c>
      <c r="D407" s="6" t="s">
        <v>1338</v>
      </c>
      <c r="E407" s="6">
        <v>3167697896</v>
      </c>
      <c r="F407" s="8" t="s">
        <v>1421</v>
      </c>
      <c r="G407" s="12" t="s">
        <v>1420</v>
      </c>
      <c r="H407" s="7">
        <v>46050</v>
      </c>
      <c r="I407" s="7">
        <v>46261</v>
      </c>
      <c r="J407" t="s">
        <v>125</v>
      </c>
      <c r="K407" s="25" t="s">
        <v>2112</v>
      </c>
    </row>
    <row r="408" spans="1:11" ht="14.4" x14ac:dyDescent="0.3">
      <c r="A408" s="16">
        <v>1</v>
      </c>
      <c r="B408" s="6">
        <v>1026302740</v>
      </c>
      <c r="C408" s="17" t="s">
        <v>1057</v>
      </c>
      <c r="D408" s="6" t="s">
        <v>1006</v>
      </c>
      <c r="E408" s="6">
        <v>3226346627</v>
      </c>
      <c r="F408" s="8" t="s">
        <v>1059</v>
      </c>
      <c r="G408" s="12" t="s">
        <v>1058</v>
      </c>
      <c r="H408" s="7">
        <v>46035</v>
      </c>
      <c r="I408" s="7">
        <v>46387</v>
      </c>
      <c r="J408" t="s">
        <v>125</v>
      </c>
      <c r="K408" s="25" t="s">
        <v>2112</v>
      </c>
    </row>
    <row r="409" spans="1:11" ht="14.4" x14ac:dyDescent="0.3">
      <c r="A409" s="16">
        <v>1</v>
      </c>
      <c r="B409" s="17">
        <v>1000284442</v>
      </c>
      <c r="C409" s="17" t="s">
        <v>1748</v>
      </c>
      <c r="D409" s="17" t="s">
        <v>1395</v>
      </c>
      <c r="E409" s="17">
        <v>3058723948</v>
      </c>
      <c r="F409" s="8" t="s">
        <v>1750</v>
      </c>
      <c r="G409" s="17" t="s">
        <v>1749</v>
      </c>
      <c r="H409" s="18">
        <v>46048</v>
      </c>
      <c r="I409" s="18">
        <v>46229</v>
      </c>
      <c r="J409" s="19" t="s">
        <v>125</v>
      </c>
      <c r="K409" s="21" t="s">
        <v>2098</v>
      </c>
    </row>
    <row r="410" spans="1:11" ht="14.4" x14ac:dyDescent="0.3">
      <c r="A410" s="16">
        <v>1</v>
      </c>
      <c r="B410" s="6">
        <v>80003738</v>
      </c>
      <c r="C410" s="17" t="s">
        <v>120</v>
      </c>
      <c r="D410" s="6" t="s">
        <v>1229</v>
      </c>
      <c r="E410" s="6">
        <v>3003626509</v>
      </c>
      <c r="F410" s="8" t="s">
        <v>122</v>
      </c>
      <c r="G410" s="12" t="s">
        <v>121</v>
      </c>
      <c r="H410" s="7">
        <v>46035</v>
      </c>
      <c r="I410" s="7">
        <v>46277</v>
      </c>
      <c r="J410" t="s">
        <v>125</v>
      </c>
      <c r="K410" s="25" t="s">
        <v>2112</v>
      </c>
    </row>
    <row r="411" spans="1:11" ht="14.4" x14ac:dyDescent="0.3">
      <c r="A411" s="16">
        <v>1</v>
      </c>
      <c r="B411" s="6">
        <v>91495511</v>
      </c>
      <c r="C411" s="17" t="s">
        <v>2106</v>
      </c>
      <c r="D411" s="6" t="s">
        <v>201</v>
      </c>
      <c r="E411" s="6">
        <v>3163208044</v>
      </c>
      <c r="F411" s="8" t="s">
        <v>753</v>
      </c>
      <c r="G411" s="6" t="s">
        <v>2105</v>
      </c>
      <c r="H411" s="7">
        <v>46048</v>
      </c>
      <c r="I411" s="7">
        <v>46387</v>
      </c>
      <c r="J411" t="s">
        <v>125</v>
      </c>
      <c r="K411" s="25" t="s">
        <v>2112</v>
      </c>
    </row>
    <row r="412" spans="1:11" ht="14.4" x14ac:dyDescent="0.3">
      <c r="A412" s="16">
        <v>1</v>
      </c>
      <c r="B412" s="17">
        <v>1016036999</v>
      </c>
      <c r="C412" s="17" t="s">
        <v>1502</v>
      </c>
      <c r="D412" s="17" t="s">
        <v>1041</v>
      </c>
      <c r="E412" s="17">
        <v>3143216258</v>
      </c>
      <c r="F412" s="8" t="s">
        <v>1504</v>
      </c>
      <c r="G412" s="23" t="s">
        <v>1503</v>
      </c>
      <c r="H412" s="18">
        <v>46045</v>
      </c>
      <c r="I412" s="18">
        <v>46226</v>
      </c>
      <c r="J412" s="19" t="s">
        <v>125</v>
      </c>
      <c r="K412" s="22" t="s">
        <v>2098</v>
      </c>
    </row>
    <row r="413" spans="1:11" ht="14.4" x14ac:dyDescent="0.3">
      <c r="A413" s="16">
        <v>1</v>
      </c>
      <c r="B413" s="6">
        <v>80850767</v>
      </c>
      <c r="C413" s="17" t="s">
        <v>351</v>
      </c>
      <c r="D413" s="6" t="s">
        <v>2109</v>
      </c>
      <c r="E413" s="6">
        <v>3004400752</v>
      </c>
      <c r="F413" s="8" t="s">
        <v>353</v>
      </c>
      <c r="G413" s="12" t="s">
        <v>352</v>
      </c>
      <c r="H413" s="7">
        <v>46044</v>
      </c>
      <c r="I413" s="7">
        <v>46372</v>
      </c>
      <c r="J413" t="s">
        <v>125</v>
      </c>
      <c r="K413" s="25" t="s">
        <v>2112</v>
      </c>
    </row>
    <row r="414" spans="1:11" ht="14.4" x14ac:dyDescent="0.3">
      <c r="A414" s="16">
        <v>1</v>
      </c>
      <c r="B414" s="17">
        <v>40046195</v>
      </c>
      <c r="C414" s="17" t="s">
        <v>204</v>
      </c>
      <c r="D414" s="17" t="s">
        <v>207</v>
      </c>
      <c r="E414" s="17">
        <v>3002165953</v>
      </c>
      <c r="F414" s="8" t="s">
        <v>206</v>
      </c>
      <c r="G414" s="23" t="s">
        <v>205</v>
      </c>
      <c r="H414" s="18">
        <v>46036</v>
      </c>
      <c r="I414" s="18">
        <v>46217</v>
      </c>
      <c r="J414" s="19" t="s">
        <v>125</v>
      </c>
      <c r="K414" s="21" t="s">
        <v>2098</v>
      </c>
    </row>
    <row r="415" spans="1:11" ht="14.4" x14ac:dyDescent="0.3">
      <c r="A415" s="16">
        <v>1</v>
      </c>
      <c r="B415" s="13">
        <v>1018501304</v>
      </c>
      <c r="C415" s="24" t="s">
        <v>1885</v>
      </c>
      <c r="D415" s="6" t="s">
        <v>500</v>
      </c>
      <c r="E415" s="13">
        <v>3215215543</v>
      </c>
      <c r="F415" s="8" t="s">
        <v>1887</v>
      </c>
      <c r="G415" s="6" t="s">
        <v>1886</v>
      </c>
      <c r="H415" s="7">
        <v>46050</v>
      </c>
      <c r="I415" s="7">
        <v>46387</v>
      </c>
      <c r="J415" s="30" t="s">
        <v>125</v>
      </c>
      <c r="K415" s="25" t="s">
        <v>2112</v>
      </c>
    </row>
    <row r="416" spans="1:11" ht="14.4" x14ac:dyDescent="0.3">
      <c r="A416" s="16">
        <v>1</v>
      </c>
      <c r="B416" s="6">
        <v>52985421</v>
      </c>
      <c r="C416" s="17" t="s">
        <v>379</v>
      </c>
      <c r="D416" s="6" t="s">
        <v>325</v>
      </c>
      <c r="E416" s="6">
        <v>3004085894</v>
      </c>
      <c r="F416" s="8" t="s">
        <v>381</v>
      </c>
      <c r="G416" s="12" t="s">
        <v>380</v>
      </c>
      <c r="H416" s="7">
        <v>46050</v>
      </c>
      <c r="I416" s="7">
        <v>46387</v>
      </c>
      <c r="J416" t="s">
        <v>125</v>
      </c>
      <c r="K416" s="25" t="s">
        <v>2112</v>
      </c>
    </row>
    <row r="417" spans="1:11" ht="14.4" x14ac:dyDescent="0.3">
      <c r="A417" s="16">
        <v>1</v>
      </c>
      <c r="B417" s="6">
        <v>1073152672</v>
      </c>
      <c r="C417" s="17" t="s">
        <v>846</v>
      </c>
      <c r="D417" s="17" t="s">
        <v>2011</v>
      </c>
      <c r="E417" s="6">
        <v>3102543144</v>
      </c>
      <c r="F417" s="8" t="s">
        <v>848</v>
      </c>
      <c r="G417" s="12" t="s">
        <v>847</v>
      </c>
      <c r="H417" s="7">
        <v>46038</v>
      </c>
      <c r="I417" s="7">
        <v>46387</v>
      </c>
      <c r="J417" t="s">
        <v>125</v>
      </c>
      <c r="K417" s="25" t="s">
        <v>2112</v>
      </c>
    </row>
    <row r="418" spans="1:11" ht="14.4" x14ac:dyDescent="0.3">
      <c r="A418" s="16">
        <v>1</v>
      </c>
      <c r="B418" s="17">
        <v>1006881475</v>
      </c>
      <c r="C418" s="17" t="s">
        <v>1969</v>
      </c>
      <c r="D418" s="6" t="s">
        <v>1229</v>
      </c>
      <c r="E418" s="24">
        <v>3157187705</v>
      </c>
      <c r="F418" s="8" t="s">
        <v>1971</v>
      </c>
      <c r="G418" s="17" t="s">
        <v>1970</v>
      </c>
      <c r="H418" s="18">
        <v>46048</v>
      </c>
      <c r="I418" s="18">
        <v>46387</v>
      </c>
      <c r="J418" s="19" t="s">
        <v>125</v>
      </c>
      <c r="K418" s="21" t="s">
        <v>2098</v>
      </c>
    </row>
    <row r="419" spans="1:11" ht="14.4" x14ac:dyDescent="0.3">
      <c r="A419" s="16">
        <v>1</v>
      </c>
      <c r="B419" s="6">
        <v>1032472599</v>
      </c>
      <c r="C419" s="17" t="s">
        <v>135</v>
      </c>
      <c r="D419" s="6" t="s">
        <v>1229</v>
      </c>
      <c r="E419" s="6">
        <v>3166351003</v>
      </c>
      <c r="F419" s="8" t="s">
        <v>137</v>
      </c>
      <c r="G419" s="12" t="s">
        <v>136</v>
      </c>
      <c r="H419" s="7">
        <v>46031</v>
      </c>
      <c r="I419" s="7">
        <v>46387</v>
      </c>
      <c r="J419" s="30" t="s">
        <v>125</v>
      </c>
      <c r="K419" s="25" t="s">
        <v>2112</v>
      </c>
    </row>
    <row r="420" spans="1:11" ht="14.4" x14ac:dyDescent="0.3">
      <c r="A420" s="16">
        <v>1</v>
      </c>
      <c r="B420" s="6">
        <v>1001299742</v>
      </c>
      <c r="C420" s="17" t="s">
        <v>1304</v>
      </c>
      <c r="D420" s="6" t="s">
        <v>500</v>
      </c>
      <c r="E420" s="6">
        <v>3167568586</v>
      </c>
      <c r="F420" s="8" t="s">
        <v>1306</v>
      </c>
      <c r="G420" s="12" t="s">
        <v>1305</v>
      </c>
      <c r="H420" s="7">
        <v>46038</v>
      </c>
      <c r="I420" s="7">
        <v>46387</v>
      </c>
      <c r="J420" t="s">
        <v>125</v>
      </c>
      <c r="K420" s="25" t="s">
        <v>2112</v>
      </c>
    </row>
    <row r="421" spans="1:11" ht="14.4" x14ac:dyDescent="0.3">
      <c r="A421" s="16">
        <v>1</v>
      </c>
      <c r="B421" s="6">
        <v>1026264243</v>
      </c>
      <c r="C421" s="17" t="s">
        <v>1930</v>
      </c>
      <c r="D421" s="6" t="s">
        <v>256</v>
      </c>
      <c r="E421" s="6">
        <v>3196783827</v>
      </c>
      <c r="F421" s="8" t="s">
        <v>1932</v>
      </c>
      <c r="G421" s="12" t="s">
        <v>1931</v>
      </c>
      <c r="H421" s="7">
        <v>46042</v>
      </c>
      <c r="I421" s="7">
        <v>46345</v>
      </c>
      <c r="J421" t="s">
        <v>125</v>
      </c>
      <c r="K421" s="25" t="s">
        <v>2112</v>
      </c>
    </row>
    <row r="422" spans="1:11" ht="14.4" x14ac:dyDescent="0.3">
      <c r="A422" s="16">
        <v>1</v>
      </c>
      <c r="B422" s="6">
        <v>74282260</v>
      </c>
      <c r="C422" s="17" t="s">
        <v>1573</v>
      </c>
      <c r="D422" s="6" t="s">
        <v>270</v>
      </c>
      <c r="E422" s="6">
        <v>3103296374</v>
      </c>
      <c r="F422" s="8" t="s">
        <v>1574</v>
      </c>
      <c r="G422" s="6" t="s">
        <v>20</v>
      </c>
      <c r="H422" s="7" t="s">
        <v>20</v>
      </c>
      <c r="I422" s="7" t="s">
        <v>20</v>
      </c>
      <c r="J422" t="s">
        <v>119</v>
      </c>
      <c r="K422" s="25" t="s">
        <v>2112</v>
      </c>
    </row>
    <row r="423" spans="1:11" ht="14.4" x14ac:dyDescent="0.3">
      <c r="A423" s="16">
        <v>1</v>
      </c>
      <c r="B423" s="6">
        <v>52821918</v>
      </c>
      <c r="C423" s="17" t="s">
        <v>1053</v>
      </c>
      <c r="D423" s="6" t="s">
        <v>201</v>
      </c>
      <c r="E423" s="6">
        <v>3187954073</v>
      </c>
      <c r="F423" s="8" t="s">
        <v>1055</v>
      </c>
      <c r="G423" s="12" t="s">
        <v>1054</v>
      </c>
      <c r="H423" s="7">
        <v>46042</v>
      </c>
      <c r="I423" s="7">
        <v>46387</v>
      </c>
      <c r="J423" t="s">
        <v>125</v>
      </c>
      <c r="K423" s="25" t="s">
        <v>2112</v>
      </c>
    </row>
    <row r="424" spans="1:11" ht="14.4" x14ac:dyDescent="0.3">
      <c r="A424" s="16">
        <v>1</v>
      </c>
      <c r="B424" s="6">
        <v>52267468</v>
      </c>
      <c r="C424" s="17" t="s">
        <v>508</v>
      </c>
      <c r="D424" s="6" t="s">
        <v>500</v>
      </c>
      <c r="E424" s="6">
        <v>3112711276</v>
      </c>
      <c r="F424" s="8" t="s">
        <v>510</v>
      </c>
      <c r="G424" s="12" t="s">
        <v>509</v>
      </c>
      <c r="H424" s="7">
        <v>46036</v>
      </c>
      <c r="I424" s="7">
        <v>46278</v>
      </c>
      <c r="J424" t="s">
        <v>125</v>
      </c>
      <c r="K424" s="25" t="s">
        <v>2112</v>
      </c>
    </row>
    <row r="425" spans="1:11" ht="14.4" x14ac:dyDescent="0.3">
      <c r="A425" s="16">
        <v>1</v>
      </c>
      <c r="B425" s="6">
        <v>1077086276</v>
      </c>
      <c r="C425" s="17" t="s">
        <v>152</v>
      </c>
      <c r="D425" s="6" t="s">
        <v>500</v>
      </c>
      <c r="E425" s="6">
        <v>3024069280</v>
      </c>
      <c r="F425" s="8" t="s">
        <v>154</v>
      </c>
      <c r="G425" s="12" t="s">
        <v>153</v>
      </c>
      <c r="H425" s="7">
        <v>46035</v>
      </c>
      <c r="I425" s="7">
        <v>46387</v>
      </c>
      <c r="J425" s="30" t="s">
        <v>125</v>
      </c>
      <c r="K425" s="25" t="s">
        <v>2112</v>
      </c>
    </row>
    <row r="426" spans="1:11" ht="14.4" x14ac:dyDescent="0.3">
      <c r="A426" s="16">
        <v>1</v>
      </c>
      <c r="B426" s="6">
        <v>79945548</v>
      </c>
      <c r="C426" s="17" t="s">
        <v>1397</v>
      </c>
      <c r="D426" s="17" t="s">
        <v>1395</v>
      </c>
      <c r="E426" s="6">
        <v>3005504707</v>
      </c>
      <c r="F426" s="8" t="s">
        <v>1399</v>
      </c>
      <c r="G426" s="12" t="s">
        <v>1398</v>
      </c>
      <c r="H426" s="7">
        <v>46051</v>
      </c>
      <c r="I426" s="7">
        <v>46387</v>
      </c>
      <c r="J426" t="s">
        <v>125</v>
      </c>
      <c r="K426" s="25" t="s">
        <v>2112</v>
      </c>
    </row>
    <row r="427" spans="1:11" ht="14.4" x14ac:dyDescent="0.3">
      <c r="A427" s="16">
        <v>1</v>
      </c>
      <c r="B427" s="6">
        <v>1022332783</v>
      </c>
      <c r="C427" s="17" t="s">
        <v>497</v>
      </c>
      <c r="D427" s="6" t="s">
        <v>500</v>
      </c>
      <c r="E427" s="6">
        <v>3174017065</v>
      </c>
      <c r="F427" s="8" t="s">
        <v>499</v>
      </c>
      <c r="G427" s="12" t="s">
        <v>498</v>
      </c>
      <c r="H427" s="7">
        <v>46045</v>
      </c>
      <c r="I427" s="7">
        <v>46387</v>
      </c>
      <c r="J427" t="s">
        <v>125</v>
      </c>
      <c r="K427" s="25" t="s">
        <v>2112</v>
      </c>
    </row>
    <row r="428" spans="1:11" ht="14.4" x14ac:dyDescent="0.3">
      <c r="A428" s="16">
        <v>1</v>
      </c>
      <c r="B428" s="6">
        <v>79926309</v>
      </c>
      <c r="C428" s="17" t="s">
        <v>1545</v>
      </c>
      <c r="D428" s="6" t="s">
        <v>500</v>
      </c>
      <c r="E428" s="6">
        <v>3202725249</v>
      </c>
      <c r="F428" s="8" t="s">
        <v>1547</v>
      </c>
      <c r="G428" s="12" t="s">
        <v>1546</v>
      </c>
      <c r="H428" s="7">
        <v>46030</v>
      </c>
      <c r="I428" s="7">
        <v>46387</v>
      </c>
      <c r="J428" t="s">
        <v>125</v>
      </c>
      <c r="K428" s="25" t="s">
        <v>2112</v>
      </c>
    </row>
    <row r="429" spans="1:11" ht="14.4" x14ac:dyDescent="0.3">
      <c r="A429" s="16">
        <v>1</v>
      </c>
      <c r="B429" s="6">
        <v>79908099</v>
      </c>
      <c r="C429" s="17" t="s">
        <v>756</v>
      </c>
      <c r="D429" s="6" t="s">
        <v>325</v>
      </c>
      <c r="E429" s="6">
        <v>3012386108</v>
      </c>
      <c r="F429" s="8" t="s">
        <v>758</v>
      </c>
      <c r="G429" s="12" t="s">
        <v>757</v>
      </c>
      <c r="H429" s="7">
        <v>46045</v>
      </c>
      <c r="I429" s="7">
        <v>46387</v>
      </c>
      <c r="J429" t="s">
        <v>125</v>
      </c>
      <c r="K429" s="25" t="s">
        <v>2112</v>
      </c>
    </row>
    <row r="430" spans="1:11" ht="14.4" x14ac:dyDescent="0.3">
      <c r="A430" s="16">
        <v>1</v>
      </c>
      <c r="B430" s="6">
        <v>79244560</v>
      </c>
      <c r="C430" s="17" t="s">
        <v>1513</v>
      </c>
      <c r="D430" s="6" t="s">
        <v>270</v>
      </c>
      <c r="E430" s="6">
        <v>3205349671</v>
      </c>
      <c r="F430" s="8" t="s">
        <v>1515</v>
      </c>
      <c r="G430" s="12" t="s">
        <v>1514</v>
      </c>
      <c r="H430" s="7">
        <v>46041</v>
      </c>
      <c r="I430" s="7">
        <v>46343</v>
      </c>
      <c r="J430" t="s">
        <v>125</v>
      </c>
      <c r="K430" s="25" t="s">
        <v>2112</v>
      </c>
    </row>
    <row r="431" spans="1:11" ht="14.4" x14ac:dyDescent="0.3">
      <c r="A431" s="16">
        <v>1</v>
      </c>
      <c r="B431" s="6">
        <v>79698622</v>
      </c>
      <c r="C431" s="17" t="s">
        <v>2074</v>
      </c>
      <c r="D431" s="6" t="s">
        <v>742</v>
      </c>
      <c r="E431" s="6">
        <v>3168952676</v>
      </c>
      <c r="F431" s="8" t="s">
        <v>1268</v>
      </c>
      <c r="G431" s="12" t="s">
        <v>20</v>
      </c>
      <c r="H431" s="12" t="s">
        <v>20</v>
      </c>
      <c r="I431" s="12" t="s">
        <v>20</v>
      </c>
      <c r="J431" s="28" t="s">
        <v>1280</v>
      </c>
      <c r="K431" s="25" t="s">
        <v>2112</v>
      </c>
    </row>
    <row r="432" spans="1:11" ht="14.4" x14ac:dyDescent="0.3">
      <c r="A432" s="16">
        <v>1</v>
      </c>
      <c r="B432" s="17">
        <v>80897139</v>
      </c>
      <c r="C432" s="17" t="s">
        <v>1176</v>
      </c>
      <c r="D432" s="6" t="s">
        <v>1338</v>
      </c>
      <c r="E432" s="17">
        <v>3213046961</v>
      </c>
      <c r="F432" s="8" t="s">
        <v>1178</v>
      </c>
      <c r="G432" s="17" t="s">
        <v>1177</v>
      </c>
      <c r="H432" s="18">
        <v>46036</v>
      </c>
      <c r="I432" s="18">
        <v>46282</v>
      </c>
      <c r="J432" s="19" t="s">
        <v>125</v>
      </c>
      <c r="K432" s="21" t="s">
        <v>2098</v>
      </c>
    </row>
    <row r="433" spans="1:11" ht="14.4" x14ac:dyDescent="0.3">
      <c r="A433" s="16">
        <v>1</v>
      </c>
      <c r="B433" s="6">
        <v>1015402271</v>
      </c>
      <c r="C433" s="17" t="s">
        <v>1350</v>
      </c>
      <c r="D433" s="6" t="s">
        <v>1353</v>
      </c>
      <c r="E433" s="6">
        <v>3138846265</v>
      </c>
      <c r="F433" s="8" t="s">
        <v>1352</v>
      </c>
      <c r="G433" s="12" t="s">
        <v>1351</v>
      </c>
      <c r="H433" s="7">
        <v>46050</v>
      </c>
      <c r="I433" s="7">
        <v>46230</v>
      </c>
      <c r="J433" t="s">
        <v>125</v>
      </c>
      <c r="K433" s="25" t="s">
        <v>2112</v>
      </c>
    </row>
    <row r="434" spans="1:11" ht="14.4" x14ac:dyDescent="0.3">
      <c r="A434" s="16">
        <v>1</v>
      </c>
      <c r="B434" s="24">
        <v>1014260067</v>
      </c>
      <c r="C434" s="24" t="s">
        <v>1894</v>
      </c>
      <c r="D434" s="17" t="s">
        <v>1041</v>
      </c>
      <c r="E434" s="24">
        <v>3057090104</v>
      </c>
      <c r="F434" s="8" t="s">
        <v>1896</v>
      </c>
      <c r="G434" s="17" t="s">
        <v>1895</v>
      </c>
      <c r="H434" s="18">
        <v>46051</v>
      </c>
      <c r="I434" s="18">
        <v>46231</v>
      </c>
      <c r="J434" s="19" t="s">
        <v>125</v>
      </c>
      <c r="K434" s="22" t="s">
        <v>2098</v>
      </c>
    </row>
    <row r="435" spans="1:11" ht="14.4" x14ac:dyDescent="0.3">
      <c r="A435" s="16">
        <v>1</v>
      </c>
      <c r="B435" s="6">
        <v>46672265</v>
      </c>
      <c r="C435" s="17" t="s">
        <v>1438</v>
      </c>
      <c r="D435" s="6" t="s">
        <v>500</v>
      </c>
      <c r="E435" s="6">
        <v>3138894458</v>
      </c>
      <c r="F435" s="8" t="s">
        <v>1440</v>
      </c>
      <c r="G435" s="12" t="s">
        <v>1439</v>
      </c>
      <c r="H435" s="7">
        <v>46055</v>
      </c>
      <c r="I435" s="7">
        <v>46387</v>
      </c>
      <c r="J435" t="s">
        <v>125</v>
      </c>
      <c r="K435" s="25" t="s">
        <v>2112</v>
      </c>
    </row>
    <row r="436" spans="1:11" ht="14.4" x14ac:dyDescent="0.3">
      <c r="A436" s="16">
        <v>1</v>
      </c>
      <c r="B436" s="6">
        <v>24731198</v>
      </c>
      <c r="C436" s="17" t="s">
        <v>1061</v>
      </c>
      <c r="D436" s="6" t="s">
        <v>500</v>
      </c>
      <c r="E436" s="6">
        <v>3102982496</v>
      </c>
      <c r="F436" s="8" t="s">
        <v>1063</v>
      </c>
      <c r="G436" s="6" t="s">
        <v>1062</v>
      </c>
      <c r="H436" s="7">
        <v>46036</v>
      </c>
      <c r="I436" s="7">
        <v>46387</v>
      </c>
      <c r="J436" t="s">
        <v>125</v>
      </c>
      <c r="K436" s="25" t="s">
        <v>2112</v>
      </c>
    </row>
    <row r="437" spans="1:11" ht="14.4" x14ac:dyDescent="0.3">
      <c r="A437" s="16">
        <v>1</v>
      </c>
      <c r="B437" s="13">
        <v>52961559</v>
      </c>
      <c r="C437" s="24" t="s">
        <v>1898</v>
      </c>
      <c r="D437" s="6" t="s">
        <v>1825</v>
      </c>
      <c r="E437" s="13">
        <v>3184016976</v>
      </c>
      <c r="F437" s="8" t="s">
        <v>1900</v>
      </c>
      <c r="G437" s="6" t="s">
        <v>1899</v>
      </c>
      <c r="H437" s="7">
        <v>46055</v>
      </c>
      <c r="I437" s="7">
        <v>46387</v>
      </c>
      <c r="J437" t="s">
        <v>125</v>
      </c>
      <c r="K437" s="25" t="s">
        <v>2112</v>
      </c>
    </row>
    <row r="438" spans="1:11" ht="14.4" x14ac:dyDescent="0.3">
      <c r="A438" s="16">
        <v>1</v>
      </c>
      <c r="B438" s="17">
        <v>1012330327</v>
      </c>
      <c r="C438" s="17" t="s">
        <v>714</v>
      </c>
      <c r="D438" s="6" t="s">
        <v>500</v>
      </c>
      <c r="E438" s="17">
        <v>3223664247</v>
      </c>
      <c r="F438" s="8" t="s">
        <v>716</v>
      </c>
      <c r="G438" s="23" t="s">
        <v>715</v>
      </c>
      <c r="H438" s="18">
        <v>46030</v>
      </c>
      <c r="I438" s="18">
        <v>46387</v>
      </c>
      <c r="J438" s="31" t="s">
        <v>125</v>
      </c>
      <c r="K438" s="21" t="s">
        <v>2098</v>
      </c>
    </row>
    <row r="439" spans="1:11" ht="14.4" x14ac:dyDescent="0.3">
      <c r="A439" s="16">
        <v>1</v>
      </c>
      <c r="B439" s="6">
        <v>1020722791</v>
      </c>
      <c r="C439" s="17" t="s">
        <v>768</v>
      </c>
      <c r="D439" s="6" t="s">
        <v>434</v>
      </c>
      <c r="E439" s="6">
        <v>3194507035</v>
      </c>
      <c r="F439" s="8" t="s">
        <v>770</v>
      </c>
      <c r="G439" s="12" t="s">
        <v>769</v>
      </c>
      <c r="H439" s="7">
        <v>46043</v>
      </c>
      <c r="I439" s="7">
        <v>46387</v>
      </c>
      <c r="J439" s="30" t="s">
        <v>125</v>
      </c>
      <c r="K439" s="25" t="s">
        <v>2112</v>
      </c>
    </row>
    <row r="440" spans="1:11" ht="14.4" x14ac:dyDescent="0.3">
      <c r="A440" s="16">
        <v>1</v>
      </c>
      <c r="B440" s="6">
        <v>1072072690</v>
      </c>
      <c r="C440" s="17" t="s">
        <v>1008</v>
      </c>
      <c r="D440" s="6" t="s">
        <v>256</v>
      </c>
      <c r="E440" s="6">
        <v>3112795171</v>
      </c>
      <c r="F440" s="8" t="s">
        <v>1010</v>
      </c>
      <c r="G440" s="12" t="s">
        <v>1009</v>
      </c>
      <c r="H440" s="7">
        <v>46048</v>
      </c>
      <c r="I440" s="7">
        <v>46351</v>
      </c>
      <c r="J440" t="s">
        <v>125</v>
      </c>
      <c r="K440" s="25" t="s">
        <v>2112</v>
      </c>
    </row>
    <row r="441" spans="1:11" ht="14.4" x14ac:dyDescent="0.3">
      <c r="A441" s="16">
        <v>1</v>
      </c>
      <c r="B441" s="6">
        <v>1023010822</v>
      </c>
      <c r="C441" s="17" t="s">
        <v>1655</v>
      </c>
      <c r="D441" s="6" t="s">
        <v>500</v>
      </c>
      <c r="E441" s="6">
        <v>3195746054</v>
      </c>
      <c r="F441" s="8" t="s">
        <v>1657</v>
      </c>
      <c r="G441" s="6" t="s">
        <v>1656</v>
      </c>
      <c r="H441" s="7">
        <v>46055</v>
      </c>
      <c r="I441" s="7">
        <v>46387</v>
      </c>
      <c r="J441" t="s">
        <v>125</v>
      </c>
      <c r="K441" s="25" t="s">
        <v>2112</v>
      </c>
    </row>
    <row r="442" spans="1:11" ht="14.4" x14ac:dyDescent="0.3">
      <c r="A442" s="16">
        <v>1</v>
      </c>
      <c r="B442" s="13">
        <v>1032396574</v>
      </c>
      <c r="C442" s="24" t="s">
        <v>1840</v>
      </c>
      <c r="D442" s="6" t="s">
        <v>1843</v>
      </c>
      <c r="E442" s="13">
        <v>3138742147</v>
      </c>
      <c r="F442" s="8" t="s">
        <v>1842</v>
      </c>
      <c r="G442" s="6" t="s">
        <v>1841</v>
      </c>
      <c r="H442" s="7">
        <v>46031</v>
      </c>
      <c r="I442" s="7">
        <v>46242</v>
      </c>
      <c r="J442" t="s">
        <v>125</v>
      </c>
      <c r="K442" s="25" t="s">
        <v>2112</v>
      </c>
    </row>
    <row r="443" spans="1:11" ht="14.4" x14ac:dyDescent="0.3">
      <c r="A443" s="16">
        <v>1</v>
      </c>
      <c r="B443" s="6">
        <v>52725553</v>
      </c>
      <c r="C443" s="17" t="s">
        <v>322</v>
      </c>
      <c r="D443" s="6" t="s">
        <v>325</v>
      </c>
      <c r="E443" s="6">
        <v>3004771471</v>
      </c>
      <c r="F443" s="8" t="s">
        <v>324</v>
      </c>
      <c r="G443" s="12" t="s">
        <v>323</v>
      </c>
      <c r="H443" s="7">
        <v>46030</v>
      </c>
      <c r="I443" s="7">
        <v>46387</v>
      </c>
      <c r="J443" s="30" t="s">
        <v>125</v>
      </c>
      <c r="K443" s="25" t="s">
        <v>2112</v>
      </c>
    </row>
    <row r="444" spans="1:11" ht="14.4" x14ac:dyDescent="0.3">
      <c r="A444" s="16">
        <v>1</v>
      </c>
      <c r="B444" s="13">
        <v>52916128</v>
      </c>
      <c r="C444" s="24" t="s">
        <v>1861</v>
      </c>
      <c r="D444" s="6" t="s">
        <v>742</v>
      </c>
      <c r="E444" s="13">
        <v>3213134770</v>
      </c>
      <c r="F444" s="8" t="s">
        <v>1862</v>
      </c>
      <c r="G444" s="6" t="s">
        <v>20</v>
      </c>
      <c r="H444" s="7" t="s">
        <v>20</v>
      </c>
      <c r="I444" s="7" t="s">
        <v>20</v>
      </c>
      <c r="J444" s="30" t="s">
        <v>1280</v>
      </c>
      <c r="K444" s="25" t="s">
        <v>2112</v>
      </c>
    </row>
    <row r="445" spans="1:11" ht="14.4" x14ac:dyDescent="0.3">
      <c r="A445" s="16">
        <v>1</v>
      </c>
      <c r="B445" s="6">
        <v>30393634</v>
      </c>
      <c r="C445" s="17" t="s">
        <v>556</v>
      </c>
      <c r="D445" s="6" t="s">
        <v>1843</v>
      </c>
      <c r="E445" s="6">
        <v>3176685571</v>
      </c>
      <c r="F445" s="8" t="s">
        <v>558</v>
      </c>
      <c r="G445" s="12" t="s">
        <v>557</v>
      </c>
      <c r="H445" s="7">
        <v>46038</v>
      </c>
      <c r="I445" s="7">
        <v>46371</v>
      </c>
      <c r="J445" t="s">
        <v>125</v>
      </c>
      <c r="K445" s="25" t="s">
        <v>2112</v>
      </c>
    </row>
    <row r="446" spans="1:11" ht="14.4" x14ac:dyDescent="0.3">
      <c r="A446"/>
      <c r="B446"/>
      <c r="C446"/>
      <c r="D446"/>
      <c r="E446"/>
      <c r="F446"/>
      <c r="G446"/>
      <c r="H446"/>
      <c r="I446"/>
      <c r="J446"/>
      <c r="K446"/>
    </row>
    <row r="447" spans="1:11" ht="14.4" x14ac:dyDescent="0.3">
      <c r="A447"/>
      <c r="B447"/>
      <c r="C447"/>
      <c r="D447"/>
      <c r="E447"/>
      <c r="F447"/>
      <c r="G447"/>
      <c r="H447"/>
      <c r="I447"/>
      <c r="J447"/>
      <c r="K447"/>
    </row>
    <row r="448" spans="1:11" ht="14.4" x14ac:dyDescent="0.3">
      <c r="A448"/>
      <c r="B448"/>
      <c r="C448"/>
      <c r="D448"/>
      <c r="E448"/>
      <c r="F448"/>
      <c r="G448"/>
      <c r="H448"/>
      <c r="I448"/>
      <c r="J448"/>
      <c r="K448"/>
    </row>
    <row r="449" spans="1:11" ht="14.4" x14ac:dyDescent="0.3">
      <c r="A449"/>
      <c r="B449"/>
      <c r="C449"/>
      <c r="D449"/>
      <c r="E449"/>
      <c r="F449"/>
      <c r="G449"/>
      <c r="H449"/>
      <c r="I449"/>
      <c r="J449"/>
      <c r="K449"/>
    </row>
    <row r="450" spans="1:11" ht="14.4" x14ac:dyDescent="0.3">
      <c r="A450"/>
      <c r="B450"/>
      <c r="C450"/>
      <c r="D450"/>
      <c r="E450"/>
      <c r="F450"/>
      <c r="G450"/>
      <c r="H450"/>
      <c r="I450"/>
      <c r="J450"/>
      <c r="K450"/>
    </row>
    <row r="451" spans="1:11" ht="14.4" x14ac:dyDescent="0.3">
      <c r="A451"/>
      <c r="B451"/>
      <c r="C451"/>
      <c r="D451"/>
      <c r="E451"/>
      <c r="F451"/>
      <c r="G451"/>
      <c r="H451"/>
      <c r="I451"/>
      <c r="J451"/>
      <c r="K451"/>
    </row>
    <row r="452" spans="1:11" ht="14.4" x14ac:dyDescent="0.3">
      <c r="A452"/>
      <c r="B452"/>
      <c r="C452"/>
      <c r="D452"/>
      <c r="E452"/>
      <c r="F452"/>
      <c r="G452"/>
      <c r="H452"/>
      <c r="I452"/>
      <c r="J452"/>
      <c r="K452"/>
    </row>
    <row r="453" spans="1:11" ht="14.4" x14ac:dyDescent="0.3">
      <c r="A453"/>
      <c r="B453"/>
      <c r="C453"/>
      <c r="D453"/>
      <c r="E453"/>
      <c r="F453"/>
      <c r="G453"/>
      <c r="H453"/>
      <c r="I453"/>
      <c r="J453"/>
      <c r="K453"/>
    </row>
    <row r="454" spans="1:11" ht="14.4" x14ac:dyDescent="0.3">
      <c r="A454"/>
      <c r="B454"/>
      <c r="C454"/>
      <c r="D454"/>
      <c r="E454"/>
      <c r="F454"/>
      <c r="G454"/>
      <c r="H454"/>
      <c r="I454"/>
      <c r="J454"/>
      <c r="K454"/>
    </row>
    <row r="455" spans="1:11" ht="14.4" x14ac:dyDescent="0.3">
      <c r="A455"/>
      <c r="B455"/>
      <c r="C455"/>
      <c r="D455"/>
      <c r="E455"/>
      <c r="F455"/>
      <c r="G455"/>
      <c r="H455"/>
      <c r="I455"/>
      <c r="J455"/>
      <c r="K455"/>
    </row>
    <row r="456" spans="1:11" ht="14.4" x14ac:dyDescent="0.3">
      <c r="A456"/>
      <c r="B456"/>
      <c r="C456"/>
      <c r="D456"/>
      <c r="E456"/>
      <c r="F456"/>
      <c r="G456"/>
      <c r="H456"/>
      <c r="I456"/>
      <c r="J456"/>
      <c r="K456"/>
    </row>
    <row r="457" spans="1:11" ht="14.4" x14ac:dyDescent="0.3">
      <c r="A457"/>
      <c r="B457"/>
      <c r="C457"/>
      <c r="D457"/>
      <c r="E457"/>
      <c r="F457"/>
      <c r="G457"/>
      <c r="H457"/>
      <c r="I457"/>
      <c r="J457"/>
      <c r="K457"/>
    </row>
    <row r="458" spans="1:11" ht="14.4" x14ac:dyDescent="0.3">
      <c r="A458"/>
      <c r="B458"/>
      <c r="C458"/>
      <c r="D458"/>
      <c r="E458"/>
      <c r="F458"/>
      <c r="G458"/>
      <c r="H458"/>
      <c r="I458"/>
      <c r="J458"/>
      <c r="K458"/>
    </row>
    <row r="459" spans="1:11" ht="14.4" x14ac:dyDescent="0.3">
      <c r="A459"/>
      <c r="B459"/>
      <c r="C459"/>
      <c r="D459"/>
      <c r="E459"/>
      <c r="F459"/>
      <c r="G459"/>
      <c r="H459"/>
      <c r="I459"/>
      <c r="J459"/>
      <c r="K459"/>
    </row>
    <row r="460" spans="1:11" ht="14.4" x14ac:dyDescent="0.3">
      <c r="A460"/>
      <c r="B460"/>
      <c r="C460"/>
      <c r="D460"/>
      <c r="E460"/>
      <c r="F460"/>
      <c r="G460"/>
      <c r="H460"/>
      <c r="I460"/>
      <c r="J460"/>
      <c r="K460"/>
    </row>
    <row r="461" spans="1:11" ht="14.4" x14ac:dyDescent="0.3">
      <c r="A461"/>
      <c r="B461"/>
      <c r="C461"/>
      <c r="D461"/>
      <c r="E461"/>
      <c r="F461"/>
      <c r="G461"/>
      <c r="H461"/>
      <c r="I461"/>
      <c r="J461"/>
      <c r="K461"/>
    </row>
    <row r="462" spans="1:11" ht="14.4" x14ac:dyDescent="0.3">
      <c r="A462"/>
      <c r="B462"/>
      <c r="C462"/>
      <c r="D462"/>
      <c r="E462"/>
      <c r="F462"/>
      <c r="G462"/>
      <c r="H462"/>
      <c r="I462"/>
      <c r="J462"/>
      <c r="K462"/>
    </row>
    <row r="463" spans="1:11" ht="14.4" x14ac:dyDescent="0.3">
      <c r="A463"/>
      <c r="B463"/>
      <c r="C463"/>
      <c r="D463"/>
      <c r="E463"/>
      <c r="F463"/>
      <c r="G463"/>
      <c r="H463"/>
      <c r="I463"/>
      <c r="J463"/>
      <c r="K463"/>
    </row>
    <row r="464" spans="1:11" ht="14.4" x14ac:dyDescent="0.3">
      <c r="A464"/>
      <c r="B464"/>
      <c r="C464"/>
      <c r="D464"/>
      <c r="E464"/>
      <c r="F464"/>
      <c r="G464"/>
      <c r="H464"/>
      <c r="I464"/>
      <c r="J464"/>
      <c r="K464"/>
    </row>
    <row r="465" spans="1:11" ht="14.4" x14ac:dyDescent="0.3">
      <c r="A465"/>
      <c r="B465"/>
      <c r="C465"/>
      <c r="D465"/>
      <c r="E465"/>
      <c r="F465"/>
      <c r="G465"/>
      <c r="H465"/>
      <c r="I465"/>
      <c r="J465"/>
      <c r="K465"/>
    </row>
    <row r="466" spans="1:11" ht="14.4" x14ac:dyDescent="0.3">
      <c r="A466"/>
      <c r="B466"/>
      <c r="C466"/>
      <c r="D466"/>
      <c r="E466"/>
      <c r="F466"/>
      <c r="G466"/>
      <c r="H466"/>
      <c r="I466"/>
      <c r="J466"/>
      <c r="K466"/>
    </row>
    <row r="467" spans="1:11" ht="14.4" x14ac:dyDescent="0.3">
      <c r="A467"/>
      <c r="B467"/>
      <c r="C467"/>
      <c r="D467"/>
      <c r="E467"/>
      <c r="F467"/>
      <c r="G467"/>
      <c r="H467"/>
      <c r="I467"/>
      <c r="J467"/>
      <c r="K467"/>
    </row>
    <row r="468" spans="1:11" ht="14.4" x14ac:dyDescent="0.3">
      <c r="A468"/>
      <c r="B468"/>
      <c r="C468"/>
      <c r="D468"/>
      <c r="E468"/>
      <c r="F468"/>
      <c r="G468"/>
      <c r="H468"/>
      <c r="I468"/>
      <c r="J468"/>
      <c r="K468"/>
    </row>
    <row r="469" spans="1:11" ht="14.4" x14ac:dyDescent="0.3">
      <c r="A469"/>
      <c r="B469"/>
      <c r="C469"/>
      <c r="D469"/>
      <c r="E469"/>
      <c r="F469"/>
      <c r="G469"/>
      <c r="H469"/>
      <c r="I469"/>
      <c r="J469"/>
      <c r="K469"/>
    </row>
    <row r="470" spans="1:11" ht="14.4" x14ac:dyDescent="0.3">
      <c r="A470"/>
      <c r="B470"/>
      <c r="C470"/>
      <c r="D470"/>
      <c r="E470"/>
      <c r="F470"/>
      <c r="G470"/>
      <c r="H470"/>
      <c r="I470"/>
      <c r="J470"/>
      <c r="K470"/>
    </row>
    <row r="471" spans="1:11" ht="14.4" x14ac:dyDescent="0.3">
      <c r="A471"/>
      <c r="B471"/>
      <c r="C471"/>
      <c r="D471"/>
      <c r="E471"/>
      <c r="F471"/>
      <c r="G471"/>
      <c r="H471"/>
      <c r="I471"/>
      <c r="J471"/>
      <c r="K471"/>
    </row>
    <row r="472" spans="1:11" ht="14.4" x14ac:dyDescent="0.3">
      <c r="A472"/>
      <c r="B472"/>
      <c r="C472"/>
      <c r="D472"/>
      <c r="E472"/>
      <c r="F472"/>
      <c r="G472"/>
      <c r="H472"/>
      <c r="I472"/>
      <c r="J472"/>
      <c r="K472"/>
    </row>
    <row r="473" spans="1:11" ht="14.4" x14ac:dyDescent="0.3">
      <c r="A473"/>
      <c r="B473"/>
      <c r="C473"/>
      <c r="D473"/>
      <c r="E473"/>
      <c r="F473"/>
      <c r="G473"/>
      <c r="H473"/>
      <c r="I473"/>
      <c r="J473"/>
      <c r="K473"/>
    </row>
    <row r="474" spans="1:11" ht="14.4" x14ac:dyDescent="0.3">
      <c r="A474"/>
      <c r="B474"/>
      <c r="C474"/>
      <c r="D474"/>
      <c r="E474"/>
      <c r="F474"/>
      <c r="G474"/>
      <c r="H474"/>
      <c r="I474"/>
      <c r="J474"/>
      <c r="K474"/>
    </row>
    <row r="475" spans="1:11" ht="14.4" x14ac:dyDescent="0.3">
      <c r="A475"/>
      <c r="B475"/>
      <c r="C475"/>
      <c r="D475"/>
      <c r="E475"/>
      <c r="F475"/>
      <c r="G475"/>
      <c r="H475"/>
      <c r="I475"/>
      <c r="J475"/>
      <c r="K475"/>
    </row>
    <row r="476" spans="1:11" ht="14.4" x14ac:dyDescent="0.3">
      <c r="A476"/>
      <c r="B476"/>
      <c r="C476"/>
      <c r="D476"/>
      <c r="E476"/>
      <c r="F476"/>
      <c r="G476"/>
      <c r="H476"/>
      <c r="I476"/>
      <c r="J476"/>
      <c r="K476"/>
    </row>
    <row r="477" spans="1:11" ht="14.4" x14ac:dyDescent="0.3">
      <c r="A477"/>
      <c r="B477"/>
      <c r="C477"/>
      <c r="D477"/>
      <c r="E477"/>
      <c r="F477"/>
      <c r="G477"/>
      <c r="H477"/>
      <c r="I477"/>
      <c r="J477"/>
      <c r="K477"/>
    </row>
    <row r="478" spans="1:11" ht="14.4" x14ac:dyDescent="0.3">
      <c r="A478"/>
      <c r="B478"/>
      <c r="C478"/>
      <c r="D478"/>
      <c r="E478"/>
      <c r="F478"/>
      <c r="G478"/>
      <c r="H478"/>
      <c r="I478"/>
      <c r="J478"/>
      <c r="K478"/>
    </row>
    <row r="479" spans="1:11" ht="14.4" x14ac:dyDescent="0.3">
      <c r="A479"/>
      <c r="B479"/>
      <c r="C479"/>
      <c r="D479"/>
      <c r="E479"/>
      <c r="F479"/>
      <c r="G479"/>
      <c r="H479"/>
      <c r="I479"/>
      <c r="J479"/>
      <c r="K479"/>
    </row>
    <row r="480" spans="1:11" ht="14.4" x14ac:dyDescent="0.3">
      <c r="A480"/>
      <c r="B480"/>
      <c r="C480"/>
      <c r="D480"/>
      <c r="E480"/>
      <c r="F480"/>
      <c r="G480"/>
      <c r="H480"/>
      <c r="I480"/>
      <c r="J480"/>
      <c r="K480"/>
    </row>
    <row r="481" spans="1:11" ht="14.4" x14ac:dyDescent="0.3">
      <c r="A481"/>
      <c r="B481"/>
      <c r="C481"/>
      <c r="D481"/>
      <c r="E481"/>
      <c r="F481"/>
      <c r="G481"/>
      <c r="H481"/>
      <c r="I481"/>
      <c r="J481"/>
      <c r="K481"/>
    </row>
    <row r="482" spans="1:11" ht="14.4" x14ac:dyDescent="0.3">
      <c r="A482"/>
      <c r="B482"/>
      <c r="C482"/>
      <c r="D482"/>
      <c r="E482"/>
      <c r="F482"/>
      <c r="G482"/>
      <c r="H482"/>
      <c r="I482"/>
      <c r="J482"/>
      <c r="K482"/>
    </row>
    <row r="483" spans="1:11" ht="14.4" x14ac:dyDescent="0.3">
      <c r="A483"/>
      <c r="B483"/>
      <c r="C483"/>
      <c r="D483"/>
      <c r="E483"/>
      <c r="F483"/>
      <c r="G483"/>
      <c r="H483"/>
      <c r="I483"/>
      <c r="J483"/>
      <c r="K483"/>
    </row>
    <row r="484" spans="1:11" ht="14.4" x14ac:dyDescent="0.3">
      <c r="A484"/>
      <c r="B484"/>
      <c r="C484"/>
      <c r="D484"/>
      <c r="E484"/>
      <c r="F484"/>
      <c r="G484"/>
      <c r="H484"/>
      <c r="I484"/>
      <c r="J484"/>
      <c r="K484"/>
    </row>
    <row r="485" spans="1:11" ht="14.4" x14ac:dyDescent="0.3">
      <c r="A485"/>
      <c r="B485"/>
      <c r="C485"/>
      <c r="D485"/>
      <c r="E485"/>
      <c r="F485"/>
      <c r="G485"/>
      <c r="H485"/>
      <c r="I485"/>
      <c r="J485"/>
      <c r="K485"/>
    </row>
    <row r="486" spans="1:11" ht="14.4" x14ac:dyDescent="0.3">
      <c r="A486"/>
      <c r="B486"/>
      <c r="C486"/>
      <c r="D486"/>
      <c r="E486"/>
      <c r="F486"/>
      <c r="G486"/>
      <c r="H486"/>
      <c r="I486"/>
      <c r="J486"/>
      <c r="K486"/>
    </row>
    <row r="487" spans="1:11" ht="14.4" x14ac:dyDescent="0.3">
      <c r="A487"/>
      <c r="B487"/>
      <c r="C487"/>
      <c r="D487"/>
      <c r="E487"/>
      <c r="F487"/>
      <c r="G487"/>
      <c r="H487"/>
      <c r="I487"/>
      <c r="J487"/>
      <c r="K487"/>
    </row>
    <row r="488" spans="1:11" ht="14.4" x14ac:dyDescent="0.3">
      <c r="A488"/>
      <c r="B488"/>
      <c r="C488"/>
      <c r="D488"/>
      <c r="E488"/>
      <c r="F488"/>
      <c r="G488"/>
      <c r="H488"/>
      <c r="I488"/>
      <c r="J488"/>
      <c r="K488"/>
    </row>
    <row r="489" spans="1:11" ht="14.4" x14ac:dyDescent="0.3">
      <c r="A489"/>
      <c r="B489"/>
      <c r="C489"/>
      <c r="D489"/>
      <c r="E489"/>
      <c r="F489"/>
      <c r="G489"/>
      <c r="H489"/>
      <c r="I489"/>
      <c r="J489"/>
      <c r="K489"/>
    </row>
  </sheetData>
  <mergeCells count="1">
    <mergeCell ref="A3:K4"/>
  </mergeCells>
  <conditionalFormatting sqref="B8:B445">
    <cfRule type="duplicateValues" dxfId="20" priority="1"/>
  </conditionalFormatting>
  <hyperlinks>
    <hyperlink ref="F350" r:id="rId1"/>
    <hyperlink ref="F189" r:id="rId2"/>
    <hyperlink ref="F106" r:id="rId3"/>
    <hyperlink ref="F286" r:id="rId4"/>
    <hyperlink ref="F35" r:id="rId5"/>
    <hyperlink ref="F353" r:id="rId6"/>
    <hyperlink ref="F133" r:id="rId7"/>
    <hyperlink ref="F129" r:id="rId8"/>
    <hyperlink ref="F126" r:id="rId9"/>
    <hyperlink ref="F364" r:id="rId10"/>
    <hyperlink ref="F193" r:id="rId11"/>
    <hyperlink ref="F22" r:id="rId12"/>
    <hyperlink ref="F344" r:id="rId13"/>
    <hyperlink ref="F293" r:id="rId14"/>
    <hyperlink ref="F61" r:id="rId15"/>
    <hyperlink ref="F160" r:id="rId16"/>
    <hyperlink ref="F375" r:id="rId17"/>
    <hyperlink ref="F50" r:id="rId18"/>
    <hyperlink ref="F441" r:id="rId19"/>
    <hyperlink ref="F331" r:id="rId20"/>
    <hyperlink ref="F182" r:id="rId21"/>
    <hyperlink ref="F79" r:id="rId22"/>
    <hyperlink ref="F247" r:id="rId23"/>
    <hyperlink ref="F399" r:id="rId24"/>
    <hyperlink ref="F169" r:id="rId25"/>
    <hyperlink ref="F376" r:id="rId26"/>
    <hyperlink ref="F39" r:id="rId27"/>
    <hyperlink ref="F257" r:id="rId28"/>
    <hyperlink ref="F273" r:id="rId29"/>
    <hyperlink ref="F409" r:id="rId30"/>
    <hyperlink ref="F178" r:id="rId31"/>
    <hyperlink ref="F227" r:id="rId32"/>
    <hyperlink ref="F291" r:id="rId33"/>
    <hyperlink ref="F269" r:id="rId34"/>
    <hyperlink ref="F225" r:id="rId35"/>
    <hyperlink ref="F279" r:id="rId36"/>
    <hyperlink ref="F128" r:id="rId37"/>
    <hyperlink ref="F266" r:id="rId38"/>
    <hyperlink ref="F221" r:id="rId39"/>
    <hyperlink ref="F131" r:id="rId40"/>
    <hyperlink ref="F306" r:id="rId41"/>
    <hyperlink ref="F356" r:id="rId42"/>
    <hyperlink ref="F406" r:id="rId43"/>
    <hyperlink ref="F248" r:id="rId44"/>
    <hyperlink ref="F442" r:id="rId45" display="yulli.cardenas@contraloriabogota.gov.co"/>
    <hyperlink ref="F32" r:id="rId46" display="adriana.bello@contraloriabogota.gov.co"/>
    <hyperlink ref="F213" r:id="rId47" display="jeison.santos@contraloriabogota.gov.co"/>
    <hyperlink ref="F107" r:id="rId48" display="cindy.valderrama@contraloriabogota.gov.co"/>
    <hyperlink ref="F444" r:id="rId49"/>
    <hyperlink ref="F148" r:id="rId50"/>
    <hyperlink ref="F71" r:id="rId51"/>
    <hyperlink ref="F177" r:id="rId52"/>
    <hyperlink ref="F415" r:id="rId53"/>
    <hyperlink ref="F342" r:id="rId54"/>
    <hyperlink ref="F434" r:id="rId55"/>
    <hyperlink ref="F437" r:id="rId56"/>
    <hyperlink ref="F271" r:id="rId57"/>
    <hyperlink ref="F220" r:id="rId58"/>
    <hyperlink ref="F143" r:id="rId59"/>
    <hyperlink ref="F236" r:id="rId60"/>
    <hyperlink ref="F224" r:id="rId61"/>
    <hyperlink ref="F421" r:id="rId62"/>
    <hyperlink ref="F323" r:id="rId63"/>
    <hyperlink ref="F81" r:id="rId64"/>
    <hyperlink ref="F324" r:id="rId65"/>
    <hyperlink ref="F382" r:id="rId66"/>
    <hyperlink ref="F206" r:id="rId67"/>
    <hyperlink ref="F352" r:id="rId68"/>
    <hyperlink ref="F180" r:id="rId69"/>
    <hyperlink ref="F165" r:id="rId70"/>
    <hyperlink ref="F256" r:id="rId71"/>
    <hyperlink ref="F49" r:id="rId72"/>
    <hyperlink ref="F329" r:id="rId73"/>
  </hyperlinks>
  <pageMargins left="0.7" right="0.7" top="0.75" bottom="0.75" header="0.3" footer="0.3"/>
  <pageSetup paperSize="9" orientation="portrait" r:id="rId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O26"/>
  <sheetViews>
    <sheetView zoomScale="90" zoomScaleNormal="90" workbookViewId="0">
      <pane ySplit="7" topLeftCell="A8" activePane="bottomLeft" state="frozen"/>
      <selection pane="bottomLeft" activeCell="D8" sqref="D8"/>
    </sheetView>
  </sheetViews>
  <sheetFormatPr baseColWidth="10" defaultColWidth="9.109375" defaultRowHeight="13.8" x14ac:dyDescent="0.25"/>
  <cols>
    <col min="1" max="1" width="8.44140625" style="14" customWidth="1"/>
    <col min="2" max="3" width="13" style="14" bestFit="1" customWidth="1"/>
    <col min="4" max="4" width="19" style="14" bestFit="1" customWidth="1"/>
    <col min="5" max="5" width="19" style="14" customWidth="1"/>
    <col min="6" max="6" width="20.21875" style="14" bestFit="1" customWidth="1"/>
    <col min="7" max="7" width="12.21875" style="14" bestFit="1" customWidth="1"/>
    <col min="8" max="8" width="137.6640625" style="11" bestFit="1" customWidth="1"/>
    <col min="9" max="16384" width="9.109375" style="11"/>
  </cols>
  <sheetData>
    <row r="3" spans="1:15" customFormat="1" ht="14.4" x14ac:dyDescent="0.3">
      <c r="A3" s="42" t="s">
        <v>2122</v>
      </c>
      <c r="B3" s="42"/>
      <c r="C3" s="42"/>
      <c r="D3" s="42"/>
      <c r="E3" s="42"/>
      <c r="F3" s="42"/>
      <c r="G3" s="42"/>
    </row>
    <row r="4" spans="1:15" x14ac:dyDescent="0.25">
      <c r="A4" s="42"/>
      <c r="B4" s="42"/>
      <c r="C4" s="42"/>
      <c r="D4" s="42"/>
      <c r="E4" s="42"/>
      <c r="F4" s="42"/>
      <c r="G4" s="42"/>
    </row>
    <row r="7" spans="1:15" customFormat="1" ht="14.4" x14ac:dyDescent="0.3">
      <c r="A7" s="1" t="s">
        <v>2116</v>
      </c>
      <c r="B7" s="1" t="s">
        <v>2118</v>
      </c>
      <c r="C7" s="1" t="s">
        <v>2117</v>
      </c>
      <c r="D7" s="1" t="s">
        <v>2119</v>
      </c>
      <c r="E7" s="1" t="s">
        <v>2153</v>
      </c>
      <c r="F7" s="1" t="s">
        <v>2120</v>
      </c>
      <c r="G7" s="1" t="s">
        <v>2121</v>
      </c>
      <c r="H7" s="32" t="s">
        <v>2151</v>
      </c>
    </row>
    <row r="8" spans="1:15" customFormat="1" ht="15" customHeight="1" x14ac:dyDescent="0.3">
      <c r="A8" s="5">
        <f t="shared" ref="A8:A9" si="0">ROW()-7</f>
        <v>1</v>
      </c>
      <c r="B8" s="5" t="s">
        <v>2123</v>
      </c>
      <c r="C8" s="5"/>
      <c r="D8" s="6"/>
      <c r="E8" s="5" t="s">
        <v>129</v>
      </c>
      <c r="F8" s="6" t="s">
        <v>38</v>
      </c>
      <c r="G8" s="5">
        <v>1030545762</v>
      </c>
      <c r="H8" s="11" t="str">
        <f>CONCATENATE("INSERT INTO `parqueadero`.`patineta` (`",$A$7,"`, `",$B$7,"`, `",$C$7,"`, `",$D$7,"`, `",$E$7,"`, `",$F$7,"`, `",$G$7,"`) VALUES ('",A8,"','",B8,"','",C8,"','",D8,"','",E8,"','",F8,"','",G8,"');" )</f>
        <v>INSERT INTO `parqueadero`.`patineta` (`Oid`, `Codigo_Interno`, `Serial`, `Marca`, `Tipo`, `Color`, `IdConductor`) VALUES ('1','PAT-001','','','ELÉCTRICO','VERDE','1030545762');</v>
      </c>
    </row>
    <row r="9" spans="1:15" x14ac:dyDescent="0.25">
      <c r="A9" s="5">
        <f t="shared" si="0"/>
        <v>2</v>
      </c>
      <c r="B9" s="5" t="s">
        <v>2124</v>
      </c>
      <c r="C9" s="5"/>
      <c r="D9" s="6" t="s">
        <v>156</v>
      </c>
      <c r="E9" s="5" t="s">
        <v>129</v>
      </c>
      <c r="F9" s="6" t="s">
        <v>157</v>
      </c>
      <c r="G9" s="5">
        <v>1077086276</v>
      </c>
      <c r="H9" s="11" t="str">
        <f t="shared" ref="H9:H26" si="1">CONCATENATE("INSERT INTO `parqueadero`.`patineta` (`",$A$7,"`, `",$B$7,"`, `",$C$7,"`, `",$D$7,"`, `",$E$7,"`, `",$F$7,"`, `",$G$7,"`) VALUES ('",A9,"','",B9,"','",C9,"','",D9,"','",E9,"','",F9,"','",G9,"');" )</f>
        <v>INSERT INTO `parqueadero`.`patineta` (`Oid`, `Codigo_Interno`, `Serial`, `Marca`, `Tipo`, `Color`, `IdConductor`) VALUES ('2','PAT-002','','SCOOP','ELÉCTRICO','NEGRA','1077086276');</v>
      </c>
    </row>
    <row r="10" spans="1:15" x14ac:dyDescent="0.25">
      <c r="A10" s="5">
        <f t="shared" ref="A10" si="2">ROW()-7</f>
        <v>3</v>
      </c>
      <c r="B10" s="5" t="s">
        <v>2125</v>
      </c>
      <c r="C10" s="5"/>
      <c r="D10" s="6" t="s">
        <v>408</v>
      </c>
      <c r="E10" s="5" t="s">
        <v>129</v>
      </c>
      <c r="F10" s="6" t="s">
        <v>18</v>
      </c>
      <c r="G10" s="5">
        <v>1014255328</v>
      </c>
      <c r="H10" s="11" t="str">
        <f t="shared" si="1"/>
        <v>INSERT INTO `parqueadero`.`patineta` (`Oid`, `Codigo_Interno`, `Serial`, `Marca`, `Tipo`, `Color`, `IdConductor`) VALUES ('3','PAT-003','','WOLKSWAGEN','ELÉCTRICO','AZUL','1014255328');</v>
      </c>
    </row>
    <row r="11" spans="1:15" x14ac:dyDescent="0.25">
      <c r="A11" s="5">
        <f t="shared" ref="A11" si="3">ROW()-7</f>
        <v>4</v>
      </c>
      <c r="B11" s="5" t="s">
        <v>2126</v>
      </c>
      <c r="C11" s="5"/>
      <c r="D11" s="6" t="s">
        <v>1175</v>
      </c>
      <c r="E11" s="5" t="s">
        <v>129</v>
      </c>
      <c r="F11" s="6" t="s">
        <v>24</v>
      </c>
      <c r="G11" s="5">
        <v>37863889</v>
      </c>
      <c r="H11" s="11" t="str">
        <f t="shared" si="1"/>
        <v>INSERT INTO `parqueadero`.`patineta` (`Oid`, `Codigo_Interno`, `Serial`, `Marca`, `Tipo`, `Color`, `IdConductor`) VALUES ('4','PAT-004','','NINEBOT','ELÉCTRICO','NEGRO','37863889');</v>
      </c>
    </row>
    <row r="12" spans="1:15" x14ac:dyDescent="0.25">
      <c r="A12" s="5">
        <f t="shared" ref="A12:A14" si="4">ROW()-7</f>
        <v>5</v>
      </c>
      <c r="B12" s="5" t="s">
        <v>2127</v>
      </c>
      <c r="C12" s="5"/>
      <c r="D12" s="6" t="s">
        <v>1298</v>
      </c>
      <c r="E12" s="5" t="s">
        <v>129</v>
      </c>
      <c r="F12" s="6" t="s">
        <v>1299</v>
      </c>
      <c r="G12" s="5">
        <v>79920331</v>
      </c>
      <c r="H12" s="11" t="str">
        <f t="shared" si="1"/>
        <v>INSERT INTO `parqueadero`.`patineta` (`Oid`, `Codigo_Interno`, `Serial`, `Marca`, `Tipo`, `Color`, `IdConductor`) VALUES ('5','PAT-005','','MOBULAA','ELÉCTRICO','NEGRO Y ROJO','79920331');</v>
      </c>
    </row>
    <row r="13" spans="1:15" x14ac:dyDescent="0.25">
      <c r="A13" s="5">
        <f t="shared" si="4"/>
        <v>6</v>
      </c>
      <c r="B13" s="5" t="s">
        <v>2128</v>
      </c>
      <c r="C13" s="5"/>
      <c r="D13" s="6" t="s">
        <v>1461</v>
      </c>
      <c r="E13" s="5" t="s">
        <v>129</v>
      </c>
      <c r="F13" s="6" t="s">
        <v>24</v>
      </c>
      <c r="G13" s="5">
        <v>79941715</v>
      </c>
      <c r="H13" s="11" t="str">
        <f t="shared" si="1"/>
        <v>INSERT INTO `parqueadero`.`patineta` (`Oid`, `Codigo_Interno`, `Serial`, `Marca`, `Tipo`, `Color`, `IdConductor`) VALUES ('6','PAT-006','','MINCA','ELÉCTRICO','NEGRO','79941715');</v>
      </c>
    </row>
    <row r="14" spans="1:15" x14ac:dyDescent="0.25">
      <c r="A14" s="5">
        <f t="shared" si="4"/>
        <v>7</v>
      </c>
      <c r="B14" s="5" t="s">
        <v>2129</v>
      </c>
      <c r="C14" s="5"/>
      <c r="D14" s="6" t="s">
        <v>1481</v>
      </c>
      <c r="E14" s="5" t="s">
        <v>129</v>
      </c>
      <c r="F14" s="6" t="s">
        <v>166</v>
      </c>
      <c r="G14" s="5">
        <v>1030623154</v>
      </c>
      <c r="H14" s="11" t="str">
        <f t="shared" si="1"/>
        <v>INSERT INTO `parqueadero`.`patineta` (`Oid`, `Codigo_Interno`, `Serial`, `Marca`, `Tipo`, `Color`, `IdConductor`) VALUES ('7','PAT-007','','XIAOMI','ELÉCTRICO','GRIS OSCURO','1030623154');</v>
      </c>
      <c r="O14" s="27"/>
    </row>
    <row r="15" spans="1:15" x14ac:dyDescent="0.25">
      <c r="A15" s="5">
        <f t="shared" ref="A15:A20" si="5">ROW()-7</f>
        <v>8</v>
      </c>
      <c r="B15" s="5" t="s">
        <v>2130</v>
      </c>
      <c r="C15" s="5"/>
      <c r="D15" s="6" t="s">
        <v>1496</v>
      </c>
      <c r="E15" s="5" t="s">
        <v>129</v>
      </c>
      <c r="F15" s="6" t="s">
        <v>157</v>
      </c>
      <c r="G15" s="5">
        <v>80206130</v>
      </c>
      <c r="H15" s="11" t="str">
        <f t="shared" si="1"/>
        <v>INSERT INTO `parqueadero`.`patineta` (`Oid`, `Codigo_Interno`, `Serial`, `Marca`, `Tipo`, `Color`, `IdConductor`) VALUES ('8','PAT-008','','MIGO','ELÉCTRICO','NEGRA','80206130');</v>
      </c>
    </row>
    <row r="16" spans="1:15" x14ac:dyDescent="0.25">
      <c r="A16" s="5">
        <f t="shared" si="5"/>
        <v>9</v>
      </c>
      <c r="B16" s="5" t="s">
        <v>2131</v>
      </c>
      <c r="C16" s="5"/>
      <c r="D16" s="17" t="s">
        <v>1505</v>
      </c>
      <c r="E16" s="5" t="s">
        <v>129</v>
      </c>
      <c r="F16" s="17" t="s">
        <v>38</v>
      </c>
      <c r="G16" s="16">
        <v>1016036999</v>
      </c>
      <c r="H16" s="11" t="str">
        <f t="shared" si="1"/>
        <v>INSERT INTO `parqueadero`.`patineta` (`Oid`, `Codigo_Interno`, `Serial`, `Marca`, `Tipo`, `Color`, `IdConductor`) VALUES ('9','PAT-009','','VSETT','ELÉCTRICO','VERDE','1016036999');</v>
      </c>
    </row>
    <row r="17" spans="1:8" x14ac:dyDescent="0.25">
      <c r="A17" s="5">
        <f t="shared" si="5"/>
        <v>10</v>
      </c>
      <c r="B17" s="5" t="s">
        <v>2132</v>
      </c>
      <c r="C17" s="5"/>
      <c r="D17" s="6" t="s">
        <v>1511</v>
      </c>
      <c r="E17" s="5" t="s">
        <v>129</v>
      </c>
      <c r="F17" s="6" t="s">
        <v>24</v>
      </c>
      <c r="G17" s="5">
        <v>91492909</v>
      </c>
      <c r="H17" s="11" t="str">
        <f t="shared" si="1"/>
        <v>INSERT INTO `parqueadero`.`patineta` (`Oid`, `Codigo_Interno`, `Serial`, `Marca`, `Tipo`, `Color`, `IdConductor`) VALUES ('10','PAT-010','','EGOU','ELÉCTRICO','NEGRO','91492909');</v>
      </c>
    </row>
    <row r="18" spans="1:8" x14ac:dyDescent="0.25">
      <c r="A18" s="5">
        <f t="shared" si="5"/>
        <v>11</v>
      </c>
      <c r="B18" s="5" t="s">
        <v>2133</v>
      </c>
      <c r="C18" s="5"/>
      <c r="D18" s="17" t="s">
        <v>1461</v>
      </c>
      <c r="E18" s="5" t="s">
        <v>129</v>
      </c>
      <c r="F18" s="17" t="s">
        <v>24</v>
      </c>
      <c r="G18" s="16">
        <v>80061648</v>
      </c>
      <c r="H18" s="11" t="str">
        <f t="shared" si="1"/>
        <v>INSERT INTO `parqueadero`.`patineta` (`Oid`, `Codigo_Interno`, `Serial`, `Marca`, `Tipo`, `Color`, `IdConductor`) VALUES ('11','PAT-011','','MINCA','ELÉCTRICO','NEGRO','80061648');</v>
      </c>
    </row>
    <row r="19" spans="1:8" x14ac:dyDescent="0.25">
      <c r="A19" s="5">
        <f t="shared" si="5"/>
        <v>12</v>
      </c>
      <c r="B19" s="5" t="s">
        <v>2134</v>
      </c>
      <c r="C19" s="5"/>
      <c r="D19" s="6" t="s">
        <v>1622</v>
      </c>
      <c r="E19" s="5" t="s">
        <v>129</v>
      </c>
      <c r="F19" s="6" t="s">
        <v>24</v>
      </c>
      <c r="G19" s="5">
        <v>1010196411</v>
      </c>
      <c r="H19" s="11" t="str">
        <f t="shared" si="1"/>
        <v>INSERT INTO `parqueadero`.`patineta` (`Oid`, `Codigo_Interno`, `Serial`, `Marca`, `Tipo`, `Color`, `IdConductor`) VALUES ('12','PAT-012','','XIAOMI PATINETE','ELÉCTRICO','NEGRO','1010196411');</v>
      </c>
    </row>
    <row r="20" spans="1:8" x14ac:dyDescent="0.25">
      <c r="A20" s="5">
        <f t="shared" si="5"/>
        <v>13</v>
      </c>
      <c r="B20" s="5" t="s">
        <v>2135</v>
      </c>
      <c r="C20" s="5"/>
      <c r="D20" s="6" t="s">
        <v>1631</v>
      </c>
      <c r="E20" s="5" t="s">
        <v>129</v>
      </c>
      <c r="F20" s="6" t="s">
        <v>24</v>
      </c>
      <c r="G20" s="5">
        <v>1085296515</v>
      </c>
      <c r="H20" s="11" t="str">
        <f t="shared" si="1"/>
        <v>INSERT INTO `parqueadero`.`patineta` (`Oid`, `Codigo_Interno`, `Serial`, `Marca`, `Tipo`, `Color`, `IdConductor`) VALUES ('13','PAT-013','','GOGREEN','ELÉCTRICO','NEGRO','1085296515');</v>
      </c>
    </row>
    <row r="21" spans="1:8" x14ac:dyDescent="0.25">
      <c r="A21" s="5">
        <f t="shared" ref="A21:A22" si="6">ROW()-7</f>
        <v>14</v>
      </c>
      <c r="B21" s="5" t="s">
        <v>2136</v>
      </c>
      <c r="C21" s="5"/>
      <c r="D21" s="6" t="s">
        <v>1298</v>
      </c>
      <c r="E21" s="5" t="s">
        <v>129</v>
      </c>
      <c r="F21" s="6" t="s">
        <v>1888</v>
      </c>
      <c r="G21" s="26">
        <v>1018501304</v>
      </c>
      <c r="H21" s="11" t="str">
        <f t="shared" si="1"/>
        <v>INSERT INTO `parqueadero`.`patineta` (`Oid`, `Codigo_Interno`, `Serial`, `Marca`, `Tipo`, `Color`, `IdConductor`) VALUES ('14','PAT-014','','MOBULAA','ELÉCTRICO','NEGRO - BEIGE','1018501304');</v>
      </c>
    </row>
    <row r="22" spans="1:8" x14ac:dyDescent="0.25">
      <c r="A22" s="5">
        <f t="shared" si="6"/>
        <v>15</v>
      </c>
      <c r="B22" s="5" t="s">
        <v>2137</v>
      </c>
      <c r="C22" s="5"/>
      <c r="D22" s="17" t="s">
        <v>1461</v>
      </c>
      <c r="E22" s="5" t="s">
        <v>129</v>
      </c>
      <c r="F22" s="17" t="s">
        <v>24</v>
      </c>
      <c r="G22" s="16">
        <v>1000284442</v>
      </c>
      <c r="H22" s="11" t="str">
        <f t="shared" si="1"/>
        <v>INSERT INTO `parqueadero`.`patineta` (`Oid`, `Codigo_Interno`, `Serial`, `Marca`, `Tipo`, `Color`, `IdConductor`) VALUES ('15','PAT-015','','MINCA','ELÉCTRICO','NEGRO','1000284442');</v>
      </c>
    </row>
    <row r="23" spans="1:8" x14ac:dyDescent="0.25">
      <c r="A23" s="5">
        <f t="shared" ref="A23:A26" si="7">ROW()-7</f>
        <v>16</v>
      </c>
      <c r="B23" s="5" t="s">
        <v>2138</v>
      </c>
      <c r="C23" s="5"/>
      <c r="D23" s="6" t="s">
        <v>1481</v>
      </c>
      <c r="E23" s="5" t="s">
        <v>129</v>
      </c>
      <c r="F23" s="6" t="s">
        <v>24</v>
      </c>
      <c r="G23" s="5">
        <v>1090374848</v>
      </c>
      <c r="H23" s="11" t="str">
        <f t="shared" si="1"/>
        <v>INSERT INTO `parqueadero`.`patineta` (`Oid`, `Codigo_Interno`, `Serial`, `Marca`, `Tipo`, `Color`, `IdConductor`) VALUES ('16','PAT-016','','XIAOMI','ELÉCTRICO','NEGRO','1090374848');</v>
      </c>
    </row>
    <row r="24" spans="1:8" x14ac:dyDescent="0.25">
      <c r="A24" s="5">
        <f t="shared" si="7"/>
        <v>17</v>
      </c>
      <c r="B24" s="5" t="s">
        <v>2139</v>
      </c>
      <c r="C24" s="5"/>
      <c r="D24" s="6" t="s">
        <v>1987</v>
      </c>
      <c r="E24" s="5" t="s">
        <v>129</v>
      </c>
      <c r="F24" s="6" t="s">
        <v>1988</v>
      </c>
      <c r="G24" s="5">
        <v>79786845</v>
      </c>
      <c r="H24" s="11" t="str">
        <f t="shared" si="1"/>
        <v>INSERT INTO `parqueadero`.`patineta` (`Oid`, `Codigo_Interno`, `Serial`, `Marca`, `Tipo`, `Color`, `IdConductor`) VALUES ('17','PAT-017','','VSETT 10+','ELÉCTRICO','NEGRA - AMARILLA','79786845');</v>
      </c>
    </row>
    <row r="25" spans="1:8" x14ac:dyDescent="0.25">
      <c r="A25" s="5">
        <f t="shared" si="7"/>
        <v>18</v>
      </c>
      <c r="B25" s="5" t="s">
        <v>2140</v>
      </c>
      <c r="C25" s="5"/>
      <c r="D25" s="6" t="s">
        <v>2026</v>
      </c>
      <c r="E25" s="5" t="s">
        <v>129</v>
      </c>
      <c r="F25" s="6" t="s">
        <v>24</v>
      </c>
      <c r="G25" s="5">
        <v>7725270</v>
      </c>
      <c r="H25" s="11" t="str">
        <f t="shared" si="1"/>
        <v>INSERT INTO `parqueadero`.`patineta` (`Oid`, `Codigo_Interno`, `Serial`, `Marca`, `Tipo`, `Color`, `IdConductor`) VALUES ('18','PAT-018','','SEGWAY NINEBOT','ELÉCTRICO','NEGRO','7725270');</v>
      </c>
    </row>
    <row r="26" spans="1:8" x14ac:dyDescent="0.25">
      <c r="A26" s="5">
        <f t="shared" si="7"/>
        <v>19</v>
      </c>
      <c r="B26" s="5" t="s">
        <v>2141</v>
      </c>
      <c r="C26" s="5"/>
      <c r="D26" s="6" t="s">
        <v>2068</v>
      </c>
      <c r="E26" s="5" t="s">
        <v>129</v>
      </c>
      <c r="F26" s="6" t="s">
        <v>60</v>
      </c>
      <c r="G26" s="5">
        <v>1140882040</v>
      </c>
      <c r="H26" s="11" t="str">
        <f t="shared" si="1"/>
        <v>INSERT INTO `parqueadero`.`patineta` (`Oid`, `Codigo_Interno`, `Serial`, `Marca`, `Tipo`, `Color`, `IdConductor`) VALUES ('19','PAT-019','','SEGWAY','ELÉCTRICO','GRIS','1140882040');</v>
      </c>
    </row>
  </sheetData>
  <mergeCells count="1">
    <mergeCell ref="A3:G4"/>
  </mergeCells>
  <conditionalFormatting sqref="G8:G26">
    <cfRule type="duplicateValues" dxfId="19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I38"/>
  <sheetViews>
    <sheetView topLeftCell="B1" zoomScale="90" zoomScaleNormal="90" workbookViewId="0">
      <pane ySplit="7" topLeftCell="A14" activePane="bottomLeft" state="frozen"/>
      <selection pane="bottomLeft" activeCell="B8" sqref="B8:B38"/>
    </sheetView>
  </sheetViews>
  <sheetFormatPr baseColWidth="10" defaultColWidth="9.109375" defaultRowHeight="13.8" x14ac:dyDescent="0.25"/>
  <cols>
    <col min="1" max="1" width="8.44140625" style="14" customWidth="1"/>
    <col min="2" max="2" width="13" style="14" bestFit="1" customWidth="1"/>
    <col min="3" max="3" width="5.44140625" style="14" bestFit="1" customWidth="1"/>
    <col min="4" max="4" width="17" style="14" bestFit="1" customWidth="1"/>
    <col min="5" max="5" width="12.109375" style="14" bestFit="1" customWidth="1"/>
    <col min="6" max="6" width="23.109375" style="14" bestFit="1" customWidth="1"/>
    <col min="7" max="7" width="16" style="9" bestFit="1" customWidth="1"/>
    <col min="8" max="8" width="194.77734375" style="11" bestFit="1" customWidth="1"/>
    <col min="9" max="16384" width="9.109375" style="11"/>
  </cols>
  <sheetData>
    <row r="3" spans="1:9" customFormat="1" ht="14.4" x14ac:dyDescent="0.3">
      <c r="A3" s="42" t="s">
        <v>2152</v>
      </c>
      <c r="B3" s="42"/>
      <c r="C3" s="42"/>
      <c r="D3" s="42"/>
      <c r="E3" s="42"/>
      <c r="F3" s="42"/>
      <c r="G3" s="42"/>
    </row>
    <row r="4" spans="1:9" x14ac:dyDescent="0.25">
      <c r="A4" s="42"/>
      <c r="B4" s="42"/>
      <c r="C4" s="42"/>
      <c r="D4" s="42"/>
      <c r="E4" s="42"/>
      <c r="F4" s="42"/>
      <c r="G4" s="42"/>
    </row>
    <row r="7" spans="1:9" customFormat="1" ht="14.4" x14ac:dyDescent="0.3">
      <c r="A7" s="1" t="s">
        <v>2116</v>
      </c>
      <c r="B7" s="1" t="s">
        <v>2118</v>
      </c>
      <c r="C7" s="1" t="s">
        <v>2117</v>
      </c>
      <c r="D7" s="1" t="s">
        <v>2119</v>
      </c>
      <c r="E7" s="2" t="s">
        <v>2153</v>
      </c>
      <c r="F7" s="2" t="s">
        <v>2120</v>
      </c>
      <c r="G7" s="2" t="s">
        <v>2121</v>
      </c>
    </row>
    <row r="8" spans="1:9" x14ac:dyDescent="0.25">
      <c r="A8" s="5">
        <f>ROW()-7</f>
        <v>1</v>
      </c>
      <c r="B8" s="5" t="s">
        <v>2154</v>
      </c>
      <c r="C8" s="6" t="s">
        <v>20</v>
      </c>
      <c r="D8" s="6" t="s">
        <v>81</v>
      </c>
      <c r="E8" s="6" t="s">
        <v>129</v>
      </c>
      <c r="F8" s="6" t="s">
        <v>18</v>
      </c>
      <c r="G8" s="6">
        <v>1032395549</v>
      </c>
      <c r="H8" s="11" t="str">
        <f>CONCATENATE("INSERT INTO `parqueadero`.`bicicleta` (`",$A$7,"`, `",$B$7,"`, `",$C$7,"`, `",$D$7,"`, `",$E$7,"`, `",$F$7,"`, `",$G$7,"`) VALUES ('",A8,"','",B8,"','",C8,"','",D8,"','",E8,"','",F8,"','",G8,"');" )</f>
        <v>INSERT INTO `parqueadero`.`bicicleta` (`Oid`, `Codigo_Interno`, `Serial`, `Marca`, `Tipo`, `Color`, `IdConductor`) VALUES ('1','BCC-001','NA','SPECIALIZED','ELÉCTRICO','AZUL','1032395549');</v>
      </c>
      <c r="I8" s="11" t="str">
        <f>CONCATENATE("BCC-",TEXT(A8,"000"))</f>
        <v>BCC-001</v>
      </c>
    </row>
    <row r="9" spans="1:9" x14ac:dyDescent="0.25">
      <c r="A9" s="5">
        <f t="shared" ref="A9:A38" si="0">ROW()-7</f>
        <v>2</v>
      </c>
      <c r="B9" s="16" t="s">
        <v>2155</v>
      </c>
      <c r="C9" s="6" t="s">
        <v>20</v>
      </c>
      <c r="D9" s="6"/>
      <c r="E9" s="6" t="s">
        <v>129</v>
      </c>
      <c r="F9" s="6" t="s">
        <v>90</v>
      </c>
      <c r="G9" s="6">
        <v>1010222069</v>
      </c>
      <c r="H9" s="11" t="str">
        <f t="shared" ref="H9:H38" si="1">CONCATENATE("INSERT INTO `parqueadero`.`bicicleta` (`",$A$7,"`, `",$B$7,"`, `",$C$7,"`, `",$D$7,"`, `",$E$7,"`, `",$F$7,"`, `",$G$7,"`) VALUES ('",A9,"','",B9,"','",C9,"','",D9,"','",E9,"','",F9,"','",G9,"');" )</f>
        <v>INSERT INTO `parqueadero`.`bicicleta` (`Oid`, `Codigo_Interno`, `Serial`, `Marca`, `Tipo`, `Color`, `IdConductor`) VALUES ('2','BCC-002','NA','','ELÉCTRICO','ROSA','1010222069');</v>
      </c>
      <c r="I9" s="11" t="str">
        <f t="shared" ref="I9:I38" si="2">CONCATENATE("BCC-",TEXT(A9,"000"))</f>
        <v>BCC-002</v>
      </c>
    </row>
    <row r="10" spans="1:9" x14ac:dyDescent="0.25">
      <c r="A10" s="5">
        <f t="shared" si="0"/>
        <v>3</v>
      </c>
      <c r="B10" s="5" t="s">
        <v>2156</v>
      </c>
      <c r="C10" s="6" t="s">
        <v>20</v>
      </c>
      <c r="D10" s="6"/>
      <c r="E10" s="6" t="s">
        <v>129</v>
      </c>
      <c r="F10" s="6" t="s">
        <v>66</v>
      </c>
      <c r="G10" s="6">
        <v>1010171786</v>
      </c>
      <c r="H10" s="11" t="str">
        <f t="shared" si="1"/>
        <v>INSERT INTO `parqueadero`.`bicicleta` (`Oid`, `Codigo_Interno`, `Serial`, `Marca`, `Tipo`, `Color`, `IdConductor`) VALUES ('3','BCC-003','NA','','ELÉCTRICO','BLANCO','1010171786');</v>
      </c>
      <c r="I10" s="11" t="str">
        <f t="shared" si="2"/>
        <v>BCC-003</v>
      </c>
    </row>
    <row r="11" spans="1:9" x14ac:dyDescent="0.25">
      <c r="A11" s="5">
        <f t="shared" si="0"/>
        <v>4</v>
      </c>
      <c r="B11" s="5" t="s">
        <v>2157</v>
      </c>
      <c r="C11" s="6" t="s">
        <v>20</v>
      </c>
      <c r="D11" s="6" t="s">
        <v>382</v>
      </c>
      <c r="E11" s="6" t="s">
        <v>129</v>
      </c>
      <c r="F11" s="6" t="s">
        <v>383</v>
      </c>
      <c r="G11" s="6">
        <v>52985421</v>
      </c>
      <c r="H11" s="11" t="str">
        <f t="shared" si="1"/>
        <v>INSERT INTO `parqueadero`.`bicicleta` (`Oid`, `Codigo_Interno`, `Serial`, `Marca`, `Tipo`, `Color`, `IdConductor`) VALUES ('4','BCC-004','NA','ROSLY','ELÉCTRICO','GRIS CON CAFE','52985421');</v>
      </c>
      <c r="I11" s="11" t="str">
        <f t="shared" si="2"/>
        <v>BCC-004</v>
      </c>
    </row>
    <row r="12" spans="1:9" x14ac:dyDescent="0.25">
      <c r="A12" s="5">
        <f t="shared" si="0"/>
        <v>5</v>
      </c>
      <c r="B12" s="5" t="s">
        <v>2158</v>
      </c>
      <c r="C12" s="6" t="s">
        <v>422</v>
      </c>
      <c r="D12" s="6" t="s">
        <v>421</v>
      </c>
      <c r="E12" s="6" t="s">
        <v>129</v>
      </c>
      <c r="F12" s="6" t="s">
        <v>60</v>
      </c>
      <c r="G12" s="6">
        <v>79466477</v>
      </c>
      <c r="H12" s="11" t="str">
        <f t="shared" si="1"/>
        <v>INSERT INTO `parqueadero`.`bicicleta` (`Oid`, `Codigo_Interno`, `Serial`, `Marca`, `Tipo`, `Color`, `IdConductor`) VALUES ('5','BCC-005','MTB','OPTIMUS','ELÉCTRICO','GRIS','79466477');</v>
      </c>
      <c r="I12" s="11" t="str">
        <f t="shared" si="2"/>
        <v>BCC-005</v>
      </c>
    </row>
    <row r="13" spans="1:9" x14ac:dyDescent="0.25">
      <c r="A13" s="5">
        <f t="shared" si="0"/>
        <v>6</v>
      </c>
      <c r="B13" s="5" t="s">
        <v>2159</v>
      </c>
      <c r="C13" s="6" t="s">
        <v>20</v>
      </c>
      <c r="D13" s="6" t="s">
        <v>550</v>
      </c>
      <c r="E13" s="6" t="s">
        <v>2185</v>
      </c>
      <c r="F13" s="6" t="s">
        <v>551</v>
      </c>
      <c r="G13" s="6">
        <v>1030669555</v>
      </c>
      <c r="H13" s="11" t="str">
        <f t="shared" si="1"/>
        <v>INSERT INTO `parqueadero`.`bicicleta` (`Oid`, `Codigo_Interno`, `Serial`, `Marca`, `Tipo`, `Color`, `IdConductor`) VALUES ('6','BCC-006','NA','GW','MANUAL','NEGRA CON MORADO','1030669555');</v>
      </c>
      <c r="I13" s="11" t="str">
        <f t="shared" si="2"/>
        <v>BCC-006</v>
      </c>
    </row>
    <row r="14" spans="1:9" x14ac:dyDescent="0.25">
      <c r="A14" s="5">
        <f t="shared" si="0"/>
        <v>7</v>
      </c>
      <c r="B14" s="5" t="s">
        <v>2160</v>
      </c>
      <c r="C14" s="6" t="s">
        <v>20</v>
      </c>
      <c r="D14" s="6" t="s">
        <v>1151</v>
      </c>
      <c r="E14" s="6" t="s">
        <v>129</v>
      </c>
      <c r="F14" s="6" t="s">
        <v>1152</v>
      </c>
      <c r="G14" s="6">
        <v>79609619</v>
      </c>
      <c r="H14" s="11" t="str">
        <f t="shared" si="1"/>
        <v>INSERT INTO `parqueadero`.`bicicleta` (`Oid`, `Codigo_Interno`, `Serial`, `Marca`, `Tipo`, `Color`, `IdConductor`) VALUES ('7','BCC-007','NA','ROCA NEVADA ','ELÉCTRICO','ROJO/NEGRO ','79609619');</v>
      </c>
      <c r="I14" s="11" t="str">
        <f t="shared" si="2"/>
        <v>BCC-007</v>
      </c>
    </row>
    <row r="15" spans="1:9" x14ac:dyDescent="0.25">
      <c r="A15" s="5">
        <f t="shared" si="0"/>
        <v>8</v>
      </c>
      <c r="B15" s="5" t="s">
        <v>2161</v>
      </c>
      <c r="C15" s="17" t="s">
        <v>20</v>
      </c>
      <c r="D15" s="17" t="s">
        <v>1279</v>
      </c>
      <c r="E15" s="6" t="s">
        <v>2185</v>
      </c>
      <c r="F15" s="17" t="s">
        <v>1274</v>
      </c>
      <c r="G15" s="17">
        <v>1019007970</v>
      </c>
      <c r="H15" s="11" t="str">
        <f>CONCATENATE("INSERT INTO `parqueadero`.`bicicleta` (`",$A$7,"`, `",$B$7,"`, `",$C$7,"`, `",$D$7,"`, `",$E$7,"`, `",$F$7,"`, `",$G$7,"`) VALUES ('",A15,"','",B15,"','",C15,"','",D15,"','",E15,"','",F15,"','",G15,"');" )</f>
        <v>INSERT INTO `parqueadero`.`bicicleta` (`Oid`, `Codigo_Interno`, `Serial`, `Marca`, `Tipo`, `Color`, `IdConductor`) VALUES ('8','BCC-008','NA','CLIFF','MANUAL','NEGRO GRIS','1019007970');</v>
      </c>
      <c r="I15" s="11" t="str">
        <f t="shared" si="2"/>
        <v>BCC-008</v>
      </c>
    </row>
    <row r="16" spans="1:9" x14ac:dyDescent="0.25">
      <c r="A16" s="5">
        <f t="shared" si="0"/>
        <v>9</v>
      </c>
      <c r="B16" s="5" t="s">
        <v>2162</v>
      </c>
      <c r="C16" s="6" t="s">
        <v>20</v>
      </c>
      <c r="D16" s="6" t="s">
        <v>1321</v>
      </c>
      <c r="E16" s="6" t="s">
        <v>129</v>
      </c>
      <c r="F16" s="6" t="s">
        <v>18</v>
      </c>
      <c r="G16" s="6">
        <v>1085297902</v>
      </c>
      <c r="H16" s="11" t="str">
        <f t="shared" si="1"/>
        <v>INSERT INTO `parqueadero`.`bicicleta` (`Oid`, `Codigo_Interno`, `Serial`, `Marca`, `Tipo`, `Color`, `IdConductor`) VALUES ('9','BCC-009','NA','CANNAN','ELÉCTRICO','AZUL','1085297902');</v>
      </c>
      <c r="I16" s="11" t="str">
        <f t="shared" si="2"/>
        <v>BCC-009</v>
      </c>
    </row>
    <row r="17" spans="1:9" x14ac:dyDescent="0.25">
      <c r="A17" s="5">
        <f t="shared" si="0"/>
        <v>10</v>
      </c>
      <c r="B17" s="16" t="s">
        <v>2163</v>
      </c>
      <c r="C17" s="6" t="s">
        <v>20</v>
      </c>
      <c r="D17" s="6" t="s">
        <v>1386</v>
      </c>
      <c r="E17" s="6" t="s">
        <v>129</v>
      </c>
      <c r="F17" s="6" t="s">
        <v>1387</v>
      </c>
      <c r="G17" s="6">
        <v>1019093180</v>
      </c>
      <c r="H17" s="11" t="str">
        <f t="shared" si="1"/>
        <v>INSERT INTO `parqueadero`.`bicicleta` (`Oid`, `Codigo_Interno`, `Serial`, `Marca`, `Tipo`, `Color`, `IdConductor`) VALUES ('10','BCC-010','NA','CIRCULA VERDE','ELÉCTRICO','ROSADO CON BLANCO','1019093180');</v>
      </c>
      <c r="I17" s="11" t="str">
        <f t="shared" si="2"/>
        <v>BCC-010</v>
      </c>
    </row>
    <row r="18" spans="1:9" x14ac:dyDescent="0.25">
      <c r="A18" s="5">
        <f t="shared" si="0"/>
        <v>11</v>
      </c>
      <c r="B18" s="16" t="s">
        <v>2164</v>
      </c>
      <c r="C18" s="6" t="s">
        <v>20</v>
      </c>
      <c r="D18" s="6" t="s">
        <v>1472</v>
      </c>
      <c r="E18" s="6" t="s">
        <v>129</v>
      </c>
      <c r="F18" s="6" t="s">
        <v>1473</v>
      </c>
      <c r="G18" s="6">
        <v>1015442158</v>
      </c>
      <c r="H18" s="11" t="str">
        <f t="shared" si="1"/>
        <v>INSERT INTO `parqueadero`.`bicicleta` (`Oid`, `Codigo_Interno`, `Serial`, `Marca`, `Tipo`, `Color`, `IdConductor`) VALUES ('11','BCC-011','NA','GW K2','ELÉCTRICO','NEGRO AZUL','1015442158');</v>
      </c>
      <c r="I18" s="11" t="str">
        <f t="shared" si="2"/>
        <v>BCC-011</v>
      </c>
    </row>
    <row r="19" spans="1:9" x14ac:dyDescent="0.25">
      <c r="A19" s="5">
        <f t="shared" si="0"/>
        <v>12</v>
      </c>
      <c r="B19" s="5" t="s">
        <v>2165</v>
      </c>
      <c r="C19" s="6" t="s">
        <v>20</v>
      </c>
      <c r="D19" s="6" t="s">
        <v>1616</v>
      </c>
      <c r="E19" s="6" t="s">
        <v>129</v>
      </c>
      <c r="F19" s="6" t="s">
        <v>44</v>
      </c>
      <c r="G19" s="6">
        <v>1018437843</v>
      </c>
      <c r="H19" s="11" t="str">
        <f t="shared" si="1"/>
        <v>INSERT INTO `parqueadero`.`bicicleta` (`Oid`, `Codigo_Interno`, `Serial`, `Marca`, `Tipo`, `Color`, `IdConductor`) VALUES ('12','BCC-012','NA','VX350','ELÉCTRICO','ROJO','1018437843');</v>
      </c>
      <c r="I19" s="11" t="str">
        <f t="shared" si="2"/>
        <v>BCC-012</v>
      </c>
    </row>
    <row r="20" spans="1:9" x14ac:dyDescent="0.25">
      <c r="A20" s="5">
        <f t="shared" si="0"/>
        <v>13</v>
      </c>
      <c r="B20" s="16" t="s">
        <v>2166</v>
      </c>
      <c r="C20" s="6" t="s">
        <v>20</v>
      </c>
      <c r="D20" s="6" t="s">
        <v>1647</v>
      </c>
      <c r="E20" s="6" t="s">
        <v>2185</v>
      </c>
      <c r="F20" s="6" t="s">
        <v>18</v>
      </c>
      <c r="G20" s="6">
        <v>79645809</v>
      </c>
      <c r="H20" s="11" t="str">
        <f t="shared" si="1"/>
        <v>INSERT INTO `parqueadero`.`bicicleta` (`Oid`, `Codigo_Interno`, `Serial`, `Marca`, `Tipo`, `Color`, `IdConductor`) VALUES ('13','BCC-013','NA','TREK','MANUAL','AZUL','79645809');</v>
      </c>
      <c r="I20" s="11" t="str">
        <f t="shared" si="2"/>
        <v>BCC-013</v>
      </c>
    </row>
    <row r="21" spans="1:9" x14ac:dyDescent="0.25">
      <c r="A21" s="5">
        <f t="shared" si="0"/>
        <v>14</v>
      </c>
      <c r="B21" s="5" t="s">
        <v>2167</v>
      </c>
      <c r="C21" s="6" t="s">
        <v>20</v>
      </c>
      <c r="D21" s="6" t="s">
        <v>1650</v>
      </c>
      <c r="E21" s="6" t="s">
        <v>2185</v>
      </c>
      <c r="F21" s="6" t="s">
        <v>134</v>
      </c>
      <c r="G21" s="6">
        <v>79652526</v>
      </c>
      <c r="H21" s="11" t="str">
        <f t="shared" si="1"/>
        <v>INSERT INTO `parqueadero`.`bicicleta` (`Oid`, `Codigo_Interno`, `Serial`, `Marca`, `Tipo`, `Color`, `IdConductor`) VALUES ('14','BCC-014','NA','BIANCHI ','MANUAL','GRIS ','79652526');</v>
      </c>
      <c r="I21" s="11" t="str">
        <f t="shared" si="2"/>
        <v>BCC-014</v>
      </c>
    </row>
    <row r="22" spans="1:9" x14ac:dyDescent="0.25">
      <c r="A22" s="5">
        <f t="shared" si="0"/>
        <v>15</v>
      </c>
      <c r="B22" s="5" t="s">
        <v>2168</v>
      </c>
      <c r="C22" s="6" t="s">
        <v>20</v>
      </c>
      <c r="D22" s="6" t="s">
        <v>550</v>
      </c>
      <c r="E22" s="6" t="s">
        <v>2185</v>
      </c>
      <c r="F22" s="6" t="s">
        <v>1664</v>
      </c>
      <c r="G22" s="6">
        <v>80075631</v>
      </c>
      <c r="H22" s="11" t="str">
        <f t="shared" si="1"/>
        <v>INSERT INTO `parqueadero`.`bicicleta` (`Oid`, `Codigo_Interno`, `Serial`, `Marca`, `Tipo`, `Color`, `IdConductor`) VALUES ('15','BCC-015','NA','GW','MANUAL','NEGRA-VERDE','80075631');</v>
      </c>
      <c r="I22" s="11" t="str">
        <f t="shared" si="2"/>
        <v>BCC-015</v>
      </c>
    </row>
    <row r="23" spans="1:9" x14ac:dyDescent="0.25">
      <c r="A23" s="5">
        <f t="shared" si="0"/>
        <v>16</v>
      </c>
      <c r="B23" s="5" t="s">
        <v>2169</v>
      </c>
      <c r="C23" s="6" t="s">
        <v>20</v>
      </c>
      <c r="D23" s="6" t="s">
        <v>1756</v>
      </c>
      <c r="E23" s="6" t="s">
        <v>2185</v>
      </c>
      <c r="F23" s="6" t="s">
        <v>1757</v>
      </c>
      <c r="G23" s="6">
        <v>1014196580</v>
      </c>
      <c r="H23" s="11" t="str">
        <f t="shared" si="1"/>
        <v>INSERT INTO `parqueadero`.`bicicleta` (`Oid`, `Codigo_Interno`, `Serial`, `Marca`, `Tipo`, `Color`, `IdConductor`) VALUES ('16','BCC-016','NA','GIANT','MANUAL','AZUL - AMARILLO','1014196580');</v>
      </c>
      <c r="I23" s="11" t="str">
        <f t="shared" si="2"/>
        <v>BCC-016</v>
      </c>
    </row>
    <row r="24" spans="1:9" x14ac:dyDescent="0.25">
      <c r="A24" s="5">
        <f t="shared" si="0"/>
        <v>17</v>
      </c>
      <c r="B24" s="16" t="s">
        <v>2170</v>
      </c>
      <c r="C24" s="6" t="s">
        <v>20</v>
      </c>
      <c r="D24" s="6" t="s">
        <v>830</v>
      </c>
      <c r="E24" s="6" t="s">
        <v>2185</v>
      </c>
      <c r="F24" s="6" t="s">
        <v>24</v>
      </c>
      <c r="G24" s="6">
        <v>1094272550</v>
      </c>
      <c r="H24" s="11" t="str">
        <f t="shared" si="1"/>
        <v>INSERT INTO `parqueadero`.`bicicleta` (`Oid`, `Codigo_Interno`, `Serial`, `Marca`, `Tipo`, `Color`, `IdConductor`) VALUES ('17','BCC-017','NA','JEEP','MANUAL','NEGRO','1094272550');</v>
      </c>
      <c r="I24" s="11" t="str">
        <f t="shared" si="2"/>
        <v>BCC-017</v>
      </c>
    </row>
    <row r="25" spans="1:9" x14ac:dyDescent="0.25">
      <c r="A25" s="5">
        <f t="shared" si="0"/>
        <v>18</v>
      </c>
      <c r="B25" s="5" t="s">
        <v>2171</v>
      </c>
      <c r="C25" s="6" t="s">
        <v>20</v>
      </c>
      <c r="D25" s="6" t="s">
        <v>1780</v>
      </c>
      <c r="E25" s="6" t="s">
        <v>129</v>
      </c>
      <c r="F25" s="6" t="s">
        <v>1781</v>
      </c>
      <c r="G25" s="6">
        <v>1033698663</v>
      </c>
      <c r="H25" s="11" t="str">
        <f t="shared" si="1"/>
        <v>INSERT INTO `parqueadero`.`bicicleta` (`Oid`, `Codigo_Interno`, `Serial`, `Marca`, `Tipo`, `Color`, `IdConductor`) VALUES ('18','BCC-018','NA','SIN MARCA','ELÉCTRICO','VERDE - ROJO','1033698663');</v>
      </c>
      <c r="I25" s="11" t="str">
        <f t="shared" si="2"/>
        <v>BCC-018</v>
      </c>
    </row>
    <row r="26" spans="1:9" x14ac:dyDescent="0.25">
      <c r="A26" s="5">
        <f t="shared" si="0"/>
        <v>19</v>
      </c>
      <c r="B26" s="5" t="s">
        <v>2172</v>
      </c>
      <c r="C26" s="6" t="s">
        <v>20</v>
      </c>
      <c r="D26" s="6" t="s">
        <v>1780</v>
      </c>
      <c r="E26" s="6" t="s">
        <v>2185</v>
      </c>
      <c r="F26" s="6" t="s">
        <v>157</v>
      </c>
      <c r="G26" s="13">
        <v>52916128</v>
      </c>
      <c r="H26" s="11" t="str">
        <f t="shared" si="1"/>
        <v>INSERT INTO `parqueadero`.`bicicleta` (`Oid`, `Codigo_Interno`, `Serial`, `Marca`, `Tipo`, `Color`, `IdConductor`) VALUES ('19','BCC-019','NA','SIN MARCA','MANUAL','NEGRA','52916128');</v>
      </c>
      <c r="I26" s="11" t="str">
        <f t="shared" si="2"/>
        <v>BCC-019</v>
      </c>
    </row>
    <row r="27" spans="1:9" x14ac:dyDescent="0.25">
      <c r="A27" s="5">
        <f t="shared" si="0"/>
        <v>20</v>
      </c>
      <c r="B27" s="16" t="s">
        <v>2173</v>
      </c>
      <c r="C27" s="6" t="s">
        <v>20</v>
      </c>
      <c r="D27" s="6" t="s">
        <v>550</v>
      </c>
      <c r="E27" s="6" t="s">
        <v>2185</v>
      </c>
      <c r="F27" s="6" t="s">
        <v>1919</v>
      </c>
      <c r="G27" s="6">
        <v>79595346</v>
      </c>
      <c r="H27" s="11" t="str">
        <f t="shared" si="1"/>
        <v>INSERT INTO `parqueadero`.`bicicleta` (`Oid`, `Codigo_Interno`, `Serial`, `Marca`, `Tipo`, `Color`, `IdConductor`) VALUES ('20','BCC-020','NA','GW','MANUAL','AZUL - GRIS','79595346');</v>
      </c>
      <c r="I27" s="11" t="str">
        <f t="shared" si="2"/>
        <v>BCC-020</v>
      </c>
    </row>
    <row r="28" spans="1:9" x14ac:dyDescent="0.25">
      <c r="A28" s="5">
        <f t="shared" si="0"/>
        <v>21</v>
      </c>
      <c r="B28" s="5" t="s">
        <v>2174</v>
      </c>
      <c r="C28" s="6" t="s">
        <v>20</v>
      </c>
      <c r="D28" s="6" t="s">
        <v>1939</v>
      </c>
      <c r="E28" s="6" t="s">
        <v>129</v>
      </c>
      <c r="F28" s="6" t="s">
        <v>1940</v>
      </c>
      <c r="G28" s="6">
        <v>1022984445</v>
      </c>
      <c r="H28" s="11" t="str">
        <f t="shared" si="1"/>
        <v>INSERT INTO `parqueadero`.`bicicleta` (`Oid`, `Codigo_Interno`, `Serial`, `Marca`, `Tipo`, `Color`, `IdConductor`) VALUES ('21','BCC-021','NA','YUNSUKI URUS','ELÉCTRICO','BLANCO - NARANJA','1022984445');</v>
      </c>
      <c r="I28" s="11" t="str">
        <f t="shared" si="2"/>
        <v>BCC-021</v>
      </c>
    </row>
    <row r="29" spans="1:9" x14ac:dyDescent="0.25">
      <c r="A29" s="5">
        <f t="shared" si="0"/>
        <v>22</v>
      </c>
      <c r="B29" s="5" t="s">
        <v>2175</v>
      </c>
      <c r="C29" s="17" t="s">
        <v>20</v>
      </c>
      <c r="D29" s="17" t="s">
        <v>81</v>
      </c>
      <c r="E29" s="6" t="s">
        <v>2185</v>
      </c>
      <c r="F29" s="17" t="s">
        <v>18</v>
      </c>
      <c r="G29" s="17">
        <v>1051980148</v>
      </c>
      <c r="H29" s="11" t="str">
        <f t="shared" si="1"/>
        <v>INSERT INTO `parqueadero`.`bicicleta` (`Oid`, `Codigo_Interno`, `Serial`, `Marca`, `Tipo`, `Color`, `IdConductor`) VALUES ('22','BCC-022','NA','SPECIALIZED','MANUAL','AZUL','1051980148');</v>
      </c>
      <c r="I29" s="11" t="str">
        <f t="shared" si="2"/>
        <v>BCC-022</v>
      </c>
    </row>
    <row r="30" spans="1:9" x14ac:dyDescent="0.25">
      <c r="A30" s="5">
        <f t="shared" si="0"/>
        <v>23</v>
      </c>
      <c r="B30" s="5" t="s">
        <v>2176</v>
      </c>
      <c r="C30" s="6" t="s">
        <v>20</v>
      </c>
      <c r="D30" s="6" t="s">
        <v>1953</v>
      </c>
      <c r="E30" s="6" t="s">
        <v>129</v>
      </c>
      <c r="F30" s="6" t="s">
        <v>1893</v>
      </c>
      <c r="G30" s="6">
        <v>1010235400</v>
      </c>
      <c r="H30" s="11" t="str">
        <f t="shared" si="1"/>
        <v>INSERT INTO `parqueadero`.`bicicleta` (`Oid`, `Codigo_Interno`, `Serial`, `Marca`, `Tipo`, `Color`, `IdConductor`) VALUES ('23','BCC-023','NA','EVOBIKE','ELÉCTRICO','NEGRO - VERDE','1010235400');</v>
      </c>
      <c r="I30" s="11" t="str">
        <f t="shared" si="2"/>
        <v>BCC-023</v>
      </c>
    </row>
    <row r="31" spans="1:9" x14ac:dyDescent="0.25">
      <c r="A31" s="5">
        <f t="shared" si="0"/>
        <v>24</v>
      </c>
      <c r="B31" s="16" t="s">
        <v>2177</v>
      </c>
      <c r="C31" s="6" t="s">
        <v>20</v>
      </c>
      <c r="D31" s="6" t="s">
        <v>1961</v>
      </c>
      <c r="E31" s="6" t="s">
        <v>2185</v>
      </c>
      <c r="F31" s="6" t="s">
        <v>157</v>
      </c>
      <c r="G31" s="6">
        <v>1032406226</v>
      </c>
      <c r="H31" s="11" t="str">
        <f t="shared" si="1"/>
        <v>INSERT INTO `parqueadero`.`bicicleta` (`Oid`, `Codigo_Interno`, `Serial`, `Marca`, `Tipo`, `Color`, `IdConductor`) VALUES ('24','BCC-024','NA','RIGÓN','MANUAL','NEGRA','1032406226');</v>
      </c>
      <c r="I31" s="11" t="str">
        <f t="shared" si="2"/>
        <v>BCC-024</v>
      </c>
    </row>
    <row r="32" spans="1:9" x14ac:dyDescent="0.25">
      <c r="A32" s="5">
        <f t="shared" si="0"/>
        <v>25</v>
      </c>
      <c r="B32" s="5" t="s">
        <v>2178</v>
      </c>
      <c r="C32" s="6" t="s">
        <v>20</v>
      </c>
      <c r="D32" s="6" t="s">
        <v>550</v>
      </c>
      <c r="E32" s="6" t="s">
        <v>2185</v>
      </c>
      <c r="F32" s="6" t="s">
        <v>157</v>
      </c>
      <c r="G32" s="6">
        <v>80767685</v>
      </c>
      <c r="H32" s="11" t="str">
        <f t="shared" si="1"/>
        <v>INSERT INTO `parqueadero`.`bicicleta` (`Oid`, `Codigo_Interno`, `Serial`, `Marca`, `Tipo`, `Color`, `IdConductor`) VALUES ('25','BCC-025','NA','GW','MANUAL','NEGRA','80767685');</v>
      </c>
      <c r="I32" s="11" t="str">
        <f t="shared" si="2"/>
        <v>BCC-025</v>
      </c>
    </row>
    <row r="33" spans="1:9" x14ac:dyDescent="0.25">
      <c r="A33" s="5">
        <f t="shared" si="0"/>
        <v>26</v>
      </c>
      <c r="B33" s="5" t="s">
        <v>2179</v>
      </c>
      <c r="C33" s="6" t="s">
        <v>20</v>
      </c>
      <c r="D33" s="6" t="s">
        <v>1756</v>
      </c>
      <c r="E33" s="6" t="s">
        <v>2185</v>
      </c>
      <c r="F33" s="6" t="s">
        <v>24</v>
      </c>
      <c r="G33" s="6">
        <v>80766953</v>
      </c>
      <c r="H33" s="11" t="str">
        <f t="shared" si="1"/>
        <v>INSERT INTO `parqueadero`.`bicicleta` (`Oid`, `Codigo_Interno`, `Serial`, `Marca`, `Tipo`, `Color`, `IdConductor`) VALUES ('26','BCC-026','NA','GIANT','MANUAL','NEGRO','80766953');</v>
      </c>
      <c r="I33" s="11" t="str">
        <f t="shared" si="2"/>
        <v>BCC-026</v>
      </c>
    </row>
    <row r="34" spans="1:9" x14ac:dyDescent="0.25">
      <c r="A34" s="5">
        <f t="shared" si="0"/>
        <v>27</v>
      </c>
      <c r="B34" s="5" t="s">
        <v>2180</v>
      </c>
      <c r="C34" s="6" t="s">
        <v>20</v>
      </c>
      <c r="D34" s="6" t="s">
        <v>1647</v>
      </c>
      <c r="E34" s="6" t="s">
        <v>2185</v>
      </c>
      <c r="F34" s="6" t="s">
        <v>24</v>
      </c>
      <c r="G34" s="6">
        <v>79954325</v>
      </c>
      <c r="H34" s="11" t="str">
        <f t="shared" si="1"/>
        <v>INSERT INTO `parqueadero`.`bicicleta` (`Oid`, `Codigo_Interno`, `Serial`, `Marca`, `Tipo`, `Color`, `IdConductor`) VALUES ('27','BCC-027','NA','TREK','MANUAL','NEGRO','79954325');</v>
      </c>
      <c r="I34" s="11" t="str">
        <f t="shared" si="2"/>
        <v>BCC-027</v>
      </c>
    </row>
    <row r="35" spans="1:9" x14ac:dyDescent="0.25">
      <c r="A35" s="5">
        <f t="shared" si="0"/>
        <v>28</v>
      </c>
      <c r="B35" s="5" t="s">
        <v>2181</v>
      </c>
      <c r="C35" s="17" t="s">
        <v>20</v>
      </c>
      <c r="D35" s="17" t="s">
        <v>1972</v>
      </c>
      <c r="E35" s="6" t="s">
        <v>2185</v>
      </c>
      <c r="F35" s="17" t="s">
        <v>1856</v>
      </c>
      <c r="G35" s="17">
        <v>1006881475</v>
      </c>
      <c r="H35" s="11" t="str">
        <f t="shared" si="1"/>
        <v>INSERT INTO `parqueadero`.`bicicleta` (`Oid`, `Codigo_Interno`, `Serial`, `Marca`, `Tipo`, `Color`, `IdConductor`) VALUES ('28','BCC-028','NA','CLIC','MANUAL','NEGRO - GRIS','1006881475');</v>
      </c>
      <c r="I35" s="11" t="str">
        <f t="shared" si="2"/>
        <v>BCC-028</v>
      </c>
    </row>
    <row r="36" spans="1:9" x14ac:dyDescent="0.25">
      <c r="A36" s="5">
        <f t="shared" si="0"/>
        <v>29</v>
      </c>
      <c r="B36" s="16" t="s">
        <v>2182</v>
      </c>
      <c r="C36" s="6" t="s">
        <v>20</v>
      </c>
      <c r="D36" s="6" t="s">
        <v>1980</v>
      </c>
      <c r="E36" s="6" t="s">
        <v>2185</v>
      </c>
      <c r="F36" s="6" t="s">
        <v>24</v>
      </c>
      <c r="G36" s="6">
        <v>1019007970</v>
      </c>
      <c r="H36" s="11" t="str">
        <f t="shared" si="1"/>
        <v>INSERT INTO `parqueadero`.`bicicleta` (`Oid`, `Codigo_Interno`, `Serial`, `Marca`, `Tipo`, `Color`, `IdConductor`) VALUES ('29','BCC-029','NA','SCOTT SCALE','MANUAL','NEGRO','1019007970');</v>
      </c>
      <c r="I36" s="11" t="str">
        <f t="shared" si="2"/>
        <v>BCC-029</v>
      </c>
    </row>
    <row r="37" spans="1:9" x14ac:dyDescent="0.25">
      <c r="A37" s="5">
        <f t="shared" si="0"/>
        <v>30</v>
      </c>
      <c r="B37" s="5" t="s">
        <v>2183</v>
      </c>
      <c r="C37" s="17" t="s">
        <v>20</v>
      </c>
      <c r="D37" s="17" t="s">
        <v>2001</v>
      </c>
      <c r="E37" s="6" t="s">
        <v>2185</v>
      </c>
      <c r="F37" s="17" t="s">
        <v>60</v>
      </c>
      <c r="G37" s="17">
        <v>80112042</v>
      </c>
      <c r="H37" s="11" t="str">
        <f t="shared" si="1"/>
        <v>INSERT INTO `parqueadero`.`bicicleta` (`Oid`, `Codigo_Interno`, `Serial`, `Marca`, `Tipo`, `Color`, `IdConductor`) VALUES ('30','BCC-030','NA','CIMA','MANUAL','GRIS','80112042');</v>
      </c>
      <c r="I37" s="11" t="str">
        <f t="shared" si="2"/>
        <v>BCC-030</v>
      </c>
    </row>
    <row r="38" spans="1:9" x14ac:dyDescent="0.25">
      <c r="A38" s="5">
        <f t="shared" si="0"/>
        <v>31</v>
      </c>
      <c r="B38" s="5" t="s">
        <v>2184</v>
      </c>
      <c r="C38" s="6" t="s">
        <v>20</v>
      </c>
      <c r="D38" s="6" t="s">
        <v>2073</v>
      </c>
      <c r="E38" s="6" t="s">
        <v>129</v>
      </c>
      <c r="F38" s="6" t="s">
        <v>66</v>
      </c>
      <c r="G38" s="6">
        <v>1026274713</v>
      </c>
      <c r="H38" s="11" t="str">
        <f t="shared" si="1"/>
        <v>INSERT INTO `parqueadero`.`bicicleta` (`Oid`, `Codigo_Interno`, `Serial`, `Marca`, `Tipo`, `Color`, `IdConductor`) VALUES ('31','BCC-031','NA','EVO BIKE','ELÉCTRICO','BLANCO','1026274713');</v>
      </c>
      <c r="I38" s="11" t="str">
        <f t="shared" si="2"/>
        <v>BCC-031</v>
      </c>
    </row>
  </sheetData>
  <mergeCells count="1">
    <mergeCell ref="A3:G4"/>
  </mergeCells>
  <conditionalFormatting sqref="G1:G2 G5:G1048576">
    <cfRule type="duplicateValues" dxfId="18" priority="3"/>
  </conditionalFormatting>
  <conditionalFormatting sqref="C8:C38">
    <cfRule type="duplicateValues" dxfId="17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H12"/>
  <sheetViews>
    <sheetView zoomScale="90" zoomScaleNormal="90" workbookViewId="0">
      <pane ySplit="7" topLeftCell="A8" activePane="bottomLeft" state="frozen"/>
      <selection pane="bottomLeft" activeCell="C9" sqref="C9"/>
    </sheetView>
  </sheetViews>
  <sheetFormatPr baseColWidth="10" defaultColWidth="9.109375" defaultRowHeight="13.8" x14ac:dyDescent="0.25"/>
  <cols>
    <col min="1" max="1" width="8.44140625" style="14" customWidth="1"/>
    <col min="2" max="2" width="12.21875" style="14" bestFit="1" customWidth="1"/>
    <col min="3" max="3" width="15.44140625" style="14" bestFit="1" customWidth="1"/>
    <col min="4" max="4" width="24.21875" style="14" bestFit="1" customWidth="1"/>
    <col min="5" max="5" width="28.88671875" style="11" customWidth="1"/>
    <col min="6" max="6" width="34.6640625" style="11" bestFit="1" customWidth="1"/>
    <col min="7" max="7" width="28.5546875" style="11" bestFit="1" customWidth="1"/>
    <col min="8" max="16384" width="9.109375" style="11"/>
  </cols>
  <sheetData>
    <row r="3" spans="1:8" customFormat="1" ht="14.4" x14ac:dyDescent="0.3">
      <c r="A3" s="42" t="s">
        <v>2199</v>
      </c>
      <c r="B3" s="42"/>
      <c r="C3" s="42"/>
      <c r="D3" s="42"/>
      <c r="E3" s="42"/>
      <c r="F3" s="42"/>
    </row>
    <row r="4" spans="1:8" x14ac:dyDescent="0.25">
      <c r="A4" s="42"/>
      <c r="B4" s="42"/>
      <c r="C4" s="42"/>
      <c r="D4" s="42"/>
      <c r="E4" s="42"/>
      <c r="F4" s="42"/>
    </row>
    <row r="7" spans="1:8" customFormat="1" ht="14.4" x14ac:dyDescent="0.3">
      <c r="A7" s="1" t="s">
        <v>2116</v>
      </c>
      <c r="B7" s="1" t="s">
        <v>2186</v>
      </c>
      <c r="C7" s="1" t="s">
        <v>2187</v>
      </c>
      <c r="D7" s="2" t="s">
        <v>2153</v>
      </c>
      <c r="E7" s="2" t="s">
        <v>2119</v>
      </c>
      <c r="F7" s="2" t="s">
        <v>2120</v>
      </c>
      <c r="G7" s="2" t="s">
        <v>2121</v>
      </c>
      <c r="H7" s="35" t="s">
        <v>2148</v>
      </c>
    </row>
    <row r="8" spans="1:8" ht="14.4" x14ac:dyDescent="0.3">
      <c r="A8" s="5">
        <f t="shared" ref="A8" si="0">ROW()-7</f>
        <v>1</v>
      </c>
      <c r="B8" s="6" t="s">
        <v>2188</v>
      </c>
      <c r="C8" s="6" t="s">
        <v>2195</v>
      </c>
      <c r="D8" s="6" t="s">
        <v>129</v>
      </c>
      <c r="E8" s="6" t="s">
        <v>429</v>
      </c>
      <c r="F8" s="6" t="s">
        <v>430</v>
      </c>
      <c r="G8" s="6">
        <v>1010222069</v>
      </c>
      <c r="H8" t="str">
        <f>CONCATENATE("INSERT INTO `parqueadero`.`vehiculo` (`",$A$7,"`, `",$B$7,"`, `",$C$7,"`, `",$D$7,"`, `",$E$7,"`, `",$F$7,"`, `",$G$7,"`) VALUES ('",A8,"','",B8,"','",C8,"','",D8,"','",E8,"','",F8,"','",G8,"');" )</f>
        <v>INSERT INTO `parqueadero`.`vehiculo` (`Oid`, `Placa`, `Medio`, `Tipo`, `Marca`, `Color`, `IdConductor`) VALUES ('1','MOT-001','MOTOCICLETA','ELÉCTRICO','MOTO ELÉCTRICA ','ROSADO ','1010222069');</v>
      </c>
    </row>
    <row r="9" spans="1:8" ht="14.4" x14ac:dyDescent="0.3">
      <c r="A9" s="5">
        <f t="shared" ref="A9" si="1">ROW()-7</f>
        <v>2</v>
      </c>
      <c r="B9" s="6" t="s">
        <v>2189</v>
      </c>
      <c r="C9" s="6" t="s">
        <v>2195</v>
      </c>
      <c r="D9" s="6" t="s">
        <v>129</v>
      </c>
      <c r="E9" s="6" t="s">
        <v>994</v>
      </c>
      <c r="F9" s="6" t="s">
        <v>60</v>
      </c>
      <c r="G9" s="6">
        <v>1010033134</v>
      </c>
      <c r="H9" t="str">
        <f>CONCATENATE("INSERT INTO `parqueadero`.`vehiculo` (`",$A$7,"`, `",$B$7,"`, `",$C$7,"`, `",$D$7,"`, `",$E$7,"`, `",$F$7,"`, `",$G$7,"`) VALUES ('",A9,"','",B9,"','",C9,"','",D9,"','",E9,"','",F9,"','",G9,"');" )</f>
        <v>INSERT INTO `parqueadero`.`vehiculo` (`Oid`, `Placa`, `Medio`, `Tipo`, `Marca`, `Color`, `IdConductor`) VALUES ('2','MOT-002','MOTOCICLETA','ELÉCTRICO','LUCIERNAGAS','GRIS','1010033134');</v>
      </c>
    </row>
    <row r="10" spans="1:8" ht="14.4" x14ac:dyDescent="0.3">
      <c r="A10" s="5">
        <f t="shared" ref="A10" si="2">ROW()-7</f>
        <v>3</v>
      </c>
      <c r="B10" s="6" t="s">
        <v>2190</v>
      </c>
      <c r="C10" s="6" t="s">
        <v>2195</v>
      </c>
      <c r="D10" s="6" t="s">
        <v>129</v>
      </c>
      <c r="E10" s="6" t="s">
        <v>1367</v>
      </c>
      <c r="F10" s="6" t="s">
        <v>238</v>
      </c>
      <c r="G10" s="6">
        <v>1030623723</v>
      </c>
      <c r="H10" t="str">
        <f>CONCATENATE("INSERT INTO `parqueadero`.`vehiculo` (`",$A$7,"`, `",$B$7,"`, `",$C$7,"`, `",$D$7,"`, `",$E$7,"`, `",$F$7,"`, `",$G$7,"`) VALUES ('",A10,"','",B10,"','",C10,"','",D10,"','",E10,"','",F10,"','",G10,"');" )</f>
        <v>INSERT INTO `parqueadero`.`vehiculo` (`Oid`, `Placa`, `Medio`, `Tipo`, `Marca`, `Color`, `IdConductor`) VALUES ('3','MOT-003','MOTOCICLETA','ELÉCTRICO','MOTORETTAS','BLANCA','1030623723');</v>
      </c>
    </row>
    <row r="11" spans="1:8" ht="14.4" x14ac:dyDescent="0.3">
      <c r="A11" s="5">
        <f t="shared" ref="A11:A12" si="3">ROW()-7</f>
        <v>4</v>
      </c>
      <c r="B11" s="17" t="s">
        <v>2191</v>
      </c>
      <c r="C11" s="6" t="s">
        <v>2195</v>
      </c>
      <c r="D11" s="6" t="s">
        <v>129</v>
      </c>
      <c r="E11" s="17" t="s">
        <v>1897</v>
      </c>
      <c r="F11" s="17" t="s">
        <v>24</v>
      </c>
      <c r="G11" s="24">
        <v>1014260067</v>
      </c>
      <c r="H11" t="str">
        <f>CONCATENATE("INSERT INTO `parqueadero`.`vehiculo` (`",$A$7,"`, `",$B$7,"`, `",$C$7,"`, `",$D$7,"`, `",$E$7,"`, `",$F$7,"`, `",$G$7,"`) VALUES ('",A11,"','",B11,"','",C11,"','",D11,"','",E11,"','",F11,"','",G11,"');" )</f>
        <v>INSERT INTO `parqueadero`.`vehiculo` (`Oid`, `Placa`, `Medio`, `Tipo`, `Marca`, `Color`, `IdConductor`) VALUES ('4','MOT-004','MOTOCICLETA','ELÉCTRICO','ULTRA MAX HUYSER','NEGRO','1014260067');</v>
      </c>
    </row>
    <row r="12" spans="1:8" ht="14.4" x14ac:dyDescent="0.3">
      <c r="A12" s="5">
        <f t="shared" si="3"/>
        <v>5</v>
      </c>
      <c r="B12" s="6" t="s">
        <v>2192</v>
      </c>
      <c r="C12" s="6" t="s">
        <v>2195</v>
      </c>
      <c r="D12" s="6" t="s">
        <v>129</v>
      </c>
      <c r="E12" s="6" t="s">
        <v>1953</v>
      </c>
      <c r="F12" s="6" t="s">
        <v>44</v>
      </c>
      <c r="G12" s="6">
        <v>1026273797</v>
      </c>
      <c r="H12" t="str">
        <f>CONCATENATE("INSERT INTO `parqueadero`.`vehiculo` (`",$A$7,"`, `",$B$7,"`, `",$C$7,"`, `",$D$7,"`, `",$E$7,"`, `",$F$7,"`, `",$G$7,"`) VALUES ('",A12,"','",B12,"','",C12,"','",D12,"','",E12,"','",F12,"','",G12,"');" )</f>
        <v>INSERT INTO `parqueadero`.`vehiculo` (`Oid`, `Placa`, `Medio`, `Tipo`, `Marca`, `Color`, `IdConductor`) VALUES ('5','MOT-005','MOTOCICLETA','ELÉCTRICO','EVOBIKE','ROJO','1026273797');</v>
      </c>
    </row>
  </sheetData>
  <autoFilter ref="A7:H12"/>
  <mergeCells count="1">
    <mergeCell ref="A3:F4"/>
  </mergeCells>
  <conditionalFormatting sqref="G8:G12 G7:H7">
    <cfRule type="duplicateValues" dxfId="16" priority="94"/>
  </conditionalFormatting>
  <conditionalFormatting sqref="B1:B1048576">
    <cfRule type="duplicateValues" dxfId="15" priority="95"/>
    <cfRule type="duplicateValues" dxfId="14" priority="96"/>
  </conditionalFormatting>
  <conditionalFormatting sqref="B8:B12">
    <cfRule type="duplicateValues" dxfId="13" priority="97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H456"/>
  <sheetViews>
    <sheetView zoomScale="90" zoomScaleNormal="90" workbookViewId="0">
      <pane ySplit="7" topLeftCell="A433" activePane="bottomLeft" state="frozen"/>
      <selection pane="bottomLeft" activeCell="H8" sqref="H8:H456"/>
    </sheetView>
  </sheetViews>
  <sheetFormatPr baseColWidth="10" defaultColWidth="9.109375" defaultRowHeight="13.8" x14ac:dyDescent="0.25"/>
  <cols>
    <col min="1" max="1" width="8.44140625" style="14" customWidth="1"/>
    <col min="2" max="2" width="12.21875" style="14" bestFit="1" customWidth="1"/>
    <col min="3" max="3" width="15.44140625" style="14" bestFit="1" customWidth="1"/>
    <col min="4" max="4" width="24.21875" style="14" bestFit="1" customWidth="1"/>
    <col min="5" max="5" width="28.88671875" style="11" customWidth="1"/>
    <col min="6" max="6" width="34.6640625" style="11" bestFit="1" customWidth="1"/>
    <col min="7" max="7" width="28.5546875" style="11" bestFit="1" customWidth="1"/>
    <col min="8" max="16384" width="9.109375" style="11"/>
  </cols>
  <sheetData>
    <row r="3" spans="1:8" customFormat="1" ht="14.4" x14ac:dyDescent="0.3">
      <c r="A3" s="42" t="s">
        <v>2193</v>
      </c>
      <c r="B3" s="42"/>
      <c r="C3" s="42"/>
      <c r="D3" s="42"/>
      <c r="E3" s="42"/>
      <c r="F3" s="42"/>
    </row>
    <row r="4" spans="1:8" x14ac:dyDescent="0.25">
      <c r="A4" s="42"/>
      <c r="B4" s="42"/>
      <c r="C4" s="42"/>
      <c r="D4" s="42"/>
      <c r="E4" s="42"/>
      <c r="F4" s="42"/>
    </row>
    <row r="7" spans="1:8" customFormat="1" ht="14.4" x14ac:dyDescent="0.3">
      <c r="A7" s="1" t="s">
        <v>2116</v>
      </c>
      <c r="B7" s="1" t="s">
        <v>2186</v>
      </c>
      <c r="C7" s="1" t="s">
        <v>2187</v>
      </c>
      <c r="D7" s="2" t="s">
        <v>2153</v>
      </c>
      <c r="E7" s="41" t="s">
        <v>2119</v>
      </c>
      <c r="F7" s="2" t="s">
        <v>2120</v>
      </c>
      <c r="G7" s="2" t="s">
        <v>2121</v>
      </c>
      <c r="H7" s="35" t="s">
        <v>2148</v>
      </c>
    </row>
    <row r="8" spans="1:8" customFormat="1" ht="17.25" customHeight="1" x14ac:dyDescent="0.3">
      <c r="A8" s="5">
        <f>ROW()-7</f>
        <v>1</v>
      </c>
      <c r="B8" s="6" t="s">
        <v>16</v>
      </c>
      <c r="C8" s="6" t="s">
        <v>2195</v>
      </c>
      <c r="D8" s="6" t="s">
        <v>17</v>
      </c>
      <c r="E8" s="6" t="s">
        <v>15</v>
      </c>
      <c r="F8" s="6" t="s">
        <v>18</v>
      </c>
      <c r="G8" s="6">
        <v>80205861</v>
      </c>
      <c r="H8" t="str">
        <f t="shared" ref="H8:H71" si="0">CONCATENATE("INSERT INTO `parqueadero`.`vehiculo` (`",$A$7,"`, `",$B$7,"`, `",$C$7,"`, `",$D$7,"`, `",$E$7,"`, `",$F$7,"`, `",$G$7,"`) VALUES ('",A8,"','",B8,"','",C8,"','",D8,"','",E8,"','",F8,"','",G8,"');" )</f>
        <v>INSERT INTO `parqueadero`.`vehiculo` (`Oid`, `Placa`, `Medio`, `Tipo`, `Marca`, `Color`, `IdConductor`) VALUES ('1','HHC30F','MOTOCICLETA','COMBUSTIBLE','HONDA NAVI','AZUL','80205861');</v>
      </c>
    </row>
    <row r="9" spans="1:8" customFormat="1" ht="16.5" customHeight="1" x14ac:dyDescent="0.3">
      <c r="A9" s="5">
        <f t="shared" ref="A9:A72" si="1">ROW()-7</f>
        <v>2</v>
      </c>
      <c r="B9" s="6" t="s">
        <v>23</v>
      </c>
      <c r="C9" s="34" t="s">
        <v>143</v>
      </c>
      <c r="D9" s="6" t="s">
        <v>129</v>
      </c>
      <c r="E9" s="6" t="s">
        <v>22</v>
      </c>
      <c r="F9" s="6" t="s">
        <v>24</v>
      </c>
      <c r="G9" s="6">
        <v>79751974</v>
      </c>
      <c r="H9" t="str">
        <f t="shared" si="0"/>
        <v>INSERT INTO `parqueadero`.`vehiculo` (`Oid`, `Placa`, `Medio`, `Tipo`, `Marca`, `Color`, `IdConductor`) VALUES ('2','PYO819','CAMIONETA','ELÉCTRICO','BYD','NEGRO','79751974');</v>
      </c>
    </row>
    <row r="10" spans="1:8" customFormat="1" ht="14.4" x14ac:dyDescent="0.3">
      <c r="A10" s="5">
        <f t="shared" si="1"/>
        <v>3</v>
      </c>
      <c r="B10" s="6" t="s">
        <v>29</v>
      </c>
      <c r="C10" s="6" t="s">
        <v>143</v>
      </c>
      <c r="D10" s="6" t="s">
        <v>129</v>
      </c>
      <c r="E10" s="6" t="s">
        <v>28</v>
      </c>
      <c r="F10" s="6" t="s">
        <v>30</v>
      </c>
      <c r="G10" s="6">
        <v>1032357287</v>
      </c>
      <c r="H10" t="str">
        <f t="shared" si="0"/>
        <v>INSERT INTO `parqueadero`.`vehiculo` (`Oid`, `Placa`, `Medio`, `Tipo`, `Marca`, `Color`, `IdConductor`) VALUES ('3','PZK790','CAMIONETA','ELÉCTRICO','VOLVO','PENDIENTE','1032357287');</v>
      </c>
    </row>
    <row r="11" spans="1:8" customFormat="1" ht="14.4" x14ac:dyDescent="0.3">
      <c r="A11" s="5">
        <f t="shared" si="1"/>
        <v>4</v>
      </c>
      <c r="B11" s="17" t="s">
        <v>33</v>
      </c>
      <c r="C11" s="6" t="s">
        <v>115</v>
      </c>
      <c r="D11" s="17" t="s">
        <v>17</v>
      </c>
      <c r="E11" s="17" t="s">
        <v>32</v>
      </c>
      <c r="F11" s="17" t="s">
        <v>34</v>
      </c>
      <c r="G11" s="17">
        <v>1033757530</v>
      </c>
      <c r="H11" t="str">
        <f t="shared" si="0"/>
        <v>INSERT INTO `parqueadero`.`vehiculo` (`Oid`, `Placa`, `Medio`, `Tipo`, `Marca`, `Color`, `IdConductor`) VALUES ('4','GBN050','AUTOMÓVIL','COMBUSTIBLE','RENAULT KWID','BEIGE','1033757530');</v>
      </c>
    </row>
    <row r="12" spans="1:8" customFormat="1" ht="14.4" x14ac:dyDescent="0.3">
      <c r="A12" s="5">
        <f t="shared" si="1"/>
        <v>5</v>
      </c>
      <c r="B12" s="17" t="s">
        <v>43</v>
      </c>
      <c r="C12" s="6" t="s">
        <v>115</v>
      </c>
      <c r="D12" s="6" t="s">
        <v>253</v>
      </c>
      <c r="E12" s="17" t="s">
        <v>42</v>
      </c>
      <c r="F12" s="17" t="s">
        <v>44</v>
      </c>
      <c r="G12" s="17">
        <v>37396460</v>
      </c>
      <c r="H12" t="str">
        <f t="shared" si="0"/>
        <v>INSERT INTO `parqueadero`.`vehiculo` (`Oid`, `Placa`, `Medio`, `Tipo`, `Marca`, `Color`, `IdConductor`) VALUES ('5','NJW140','AUTOMÓVIL','HÍBRIDO','TOYOTA COROLLA','ROJO','37396460');</v>
      </c>
    </row>
    <row r="13" spans="1:8" customFormat="1" ht="14.4" x14ac:dyDescent="0.3">
      <c r="A13" s="5">
        <f t="shared" si="1"/>
        <v>6</v>
      </c>
      <c r="B13" s="6" t="s">
        <v>48</v>
      </c>
      <c r="C13" s="6" t="s">
        <v>2195</v>
      </c>
      <c r="D13" s="6" t="s">
        <v>17</v>
      </c>
      <c r="E13" s="6" t="s">
        <v>47</v>
      </c>
      <c r="F13" s="6" t="s">
        <v>24</v>
      </c>
      <c r="G13" s="6">
        <v>98561766</v>
      </c>
      <c r="H13" t="str">
        <f t="shared" si="0"/>
        <v>INSERT INTO `parqueadero`.`vehiculo` (`Oid`, `Placa`, `Medio`, `Tipo`, `Marca`, `Color`, `IdConductor`) VALUES ('6','UBT13H','MOTOCICLETA','COMBUSTIBLE','HERO HUNK 125R','NEGRO','98561766');</v>
      </c>
    </row>
    <row r="14" spans="1:8" customFormat="1" ht="14.4" x14ac:dyDescent="0.3">
      <c r="A14" s="5">
        <f t="shared" si="1"/>
        <v>7</v>
      </c>
      <c r="B14" s="6" t="s">
        <v>51</v>
      </c>
      <c r="C14" s="6" t="s">
        <v>143</v>
      </c>
      <c r="D14" s="6" t="s">
        <v>17</v>
      </c>
      <c r="E14" s="6" t="s">
        <v>337</v>
      </c>
      <c r="F14" s="6" t="s">
        <v>52</v>
      </c>
      <c r="G14" s="6">
        <v>52218503</v>
      </c>
      <c r="H14" t="str">
        <f t="shared" si="0"/>
        <v>INSERT INTO `parqueadero`.`vehiculo` (`Oid`, `Placa`, `Medio`, `Tipo`, `Marca`, `Color`, `IdConductor`) VALUES ('7','PBV621','CAMIONETA','COMBUSTIBLE','MERCEDES BENZ','PLATA','52218503');</v>
      </c>
    </row>
    <row r="15" spans="1:8" customFormat="1" ht="14.4" x14ac:dyDescent="0.3">
      <c r="A15" s="5">
        <f t="shared" si="1"/>
        <v>8</v>
      </c>
      <c r="B15" s="6" t="s">
        <v>57</v>
      </c>
      <c r="C15" s="6" t="s">
        <v>2195</v>
      </c>
      <c r="D15" s="6" t="s">
        <v>17</v>
      </c>
      <c r="E15" s="6" t="s">
        <v>56</v>
      </c>
      <c r="F15" s="6" t="s">
        <v>24</v>
      </c>
      <c r="G15" s="6">
        <v>115068646</v>
      </c>
      <c r="H15" t="str">
        <f t="shared" si="0"/>
        <v>INSERT INTO `parqueadero`.`vehiculo` (`Oid`, `Placa`, `Medio`, `Tipo`, `Marca`, `Color`, `IdConductor`) VALUES ('8','XBE29G','MOTOCICLETA','COMBUSTIBLE','HONDA','NEGRO','115068646');</v>
      </c>
    </row>
    <row r="16" spans="1:8" customFormat="1" ht="14.4" x14ac:dyDescent="0.3">
      <c r="A16" s="5">
        <f t="shared" si="1"/>
        <v>9</v>
      </c>
      <c r="B16" s="6" t="s">
        <v>59</v>
      </c>
      <c r="C16" s="6" t="s">
        <v>143</v>
      </c>
      <c r="D16" s="6" t="s">
        <v>17</v>
      </c>
      <c r="E16" s="6" t="s">
        <v>58</v>
      </c>
      <c r="F16" s="6" t="s">
        <v>60</v>
      </c>
      <c r="G16" s="6">
        <v>115068646</v>
      </c>
      <c r="H16" t="str">
        <f t="shared" si="0"/>
        <v>INSERT INTO `parqueadero`.`vehiculo` (`Oid`, `Placa`, `Medio`, `Tipo`, `Marca`, `Color`, `IdConductor`) VALUES ('9','NDP314','CAMIONETA','COMBUSTIBLE','CHEVROLET','GRIS','115068646');</v>
      </c>
    </row>
    <row r="17" spans="1:8" ht="14.4" x14ac:dyDescent="0.3">
      <c r="A17" s="5">
        <f t="shared" si="1"/>
        <v>10</v>
      </c>
      <c r="B17" s="6" t="s">
        <v>65</v>
      </c>
      <c r="C17" s="6" t="s">
        <v>143</v>
      </c>
      <c r="D17" s="6" t="s">
        <v>253</v>
      </c>
      <c r="E17" s="6" t="s">
        <v>64</v>
      </c>
      <c r="F17" s="6" t="s">
        <v>66</v>
      </c>
      <c r="G17" s="6">
        <v>1098784496</v>
      </c>
      <c r="H17" t="str">
        <f t="shared" si="0"/>
        <v>INSERT INTO `parqueadero`.`vehiculo` (`Oid`, `Placa`, `Medio`, `Tipo`, `Marca`, `Color`, `IdConductor`) VALUES ('10','PCX986','CAMIONETA','HÍBRIDO','TOYOTA','BLANCO','1098784496');</v>
      </c>
    </row>
    <row r="18" spans="1:8" ht="14.4" x14ac:dyDescent="0.3">
      <c r="A18" s="5">
        <f t="shared" si="1"/>
        <v>11</v>
      </c>
      <c r="B18" s="6" t="s">
        <v>71</v>
      </c>
      <c r="C18" s="6" t="s">
        <v>2195</v>
      </c>
      <c r="D18" s="6" t="s">
        <v>17</v>
      </c>
      <c r="E18" s="6" t="s">
        <v>70</v>
      </c>
      <c r="F18" s="6" t="s">
        <v>24</v>
      </c>
      <c r="G18" s="6">
        <v>105466109</v>
      </c>
      <c r="H18" t="str">
        <f t="shared" si="0"/>
        <v>INSERT INTO `parqueadero`.`vehiculo` (`Oid`, `Placa`, `Medio`, `Tipo`, `Marca`, `Color`, `IdConductor`) VALUES ('11','IHS476','MOTOCICLETA','COMBUSTIBLE','DOMINAR BAJAJ','NEGRO','105466109');</v>
      </c>
    </row>
    <row r="19" spans="1:8" ht="14.4" x14ac:dyDescent="0.3">
      <c r="A19" s="5">
        <f t="shared" si="1"/>
        <v>12</v>
      </c>
      <c r="B19" s="6" t="s">
        <v>76</v>
      </c>
      <c r="C19" s="6" t="s">
        <v>143</v>
      </c>
      <c r="D19" s="6" t="s">
        <v>253</v>
      </c>
      <c r="E19" s="6" t="s">
        <v>75</v>
      </c>
      <c r="F19" s="6" t="s">
        <v>44</v>
      </c>
      <c r="G19" s="6">
        <v>79905794</v>
      </c>
      <c r="H19" t="str">
        <f t="shared" si="0"/>
        <v>INSERT INTO `parqueadero`.`vehiculo` (`Oid`, `Placa`, `Medio`, `Tipo`, `Marca`, `Color`, `IdConductor`) VALUES ('12','KXR994','CAMIONETA','HÍBRIDO','MAZDA','ROJO','79905794');</v>
      </c>
    </row>
    <row r="20" spans="1:8" ht="14.4" x14ac:dyDescent="0.3">
      <c r="A20" s="5">
        <f t="shared" si="1"/>
        <v>13</v>
      </c>
      <c r="B20" s="6" t="s">
        <v>86</v>
      </c>
      <c r="C20" s="6" t="s">
        <v>2195</v>
      </c>
      <c r="D20" s="6" t="s">
        <v>17</v>
      </c>
      <c r="E20" s="6" t="s">
        <v>85</v>
      </c>
      <c r="F20" s="6" t="s">
        <v>66</v>
      </c>
      <c r="G20" s="6">
        <v>88220846</v>
      </c>
      <c r="H20" t="str">
        <f t="shared" si="0"/>
        <v>INSERT INTO `parqueadero`.`vehiculo` (`Oid`, `Placa`, `Medio`, `Tipo`, `Marca`, `Color`, `IdConductor`) VALUES ('13','WLO17E','MOTOCICLETA','COMBUSTIBLE','KIMCO','BLANCO','88220846');</v>
      </c>
    </row>
    <row r="21" spans="1:8" ht="14.4" x14ac:dyDescent="0.3">
      <c r="A21" s="5">
        <f t="shared" si="1"/>
        <v>14</v>
      </c>
      <c r="B21" s="6" t="s">
        <v>95</v>
      </c>
      <c r="C21" s="6" t="s">
        <v>143</v>
      </c>
      <c r="D21" s="6" t="s">
        <v>17</v>
      </c>
      <c r="E21" s="6" t="s">
        <v>94</v>
      </c>
      <c r="F21" s="6" t="s">
        <v>96</v>
      </c>
      <c r="G21" s="6">
        <v>1104068630</v>
      </c>
      <c r="H21" t="str">
        <f t="shared" si="0"/>
        <v>INSERT INTO `parqueadero`.`vehiculo` (`Oid`, `Placa`, `Medio`, `Tipo`, `Marca`, `Color`, `IdConductor`) VALUES ('14','PZR618','CAMIONETA','COMBUSTIBLE','VOLKSWAGEN T-CROSS','GRIS PLATINO METALICO','1104068630');</v>
      </c>
    </row>
    <row r="22" spans="1:8" ht="14.4" x14ac:dyDescent="0.3">
      <c r="A22" s="5">
        <f t="shared" si="1"/>
        <v>15</v>
      </c>
      <c r="B22" s="6" t="s">
        <v>100</v>
      </c>
      <c r="C22" s="6" t="s">
        <v>143</v>
      </c>
      <c r="D22" s="6" t="s">
        <v>17</v>
      </c>
      <c r="E22" s="6" t="s">
        <v>64</v>
      </c>
      <c r="F22" s="6" t="s">
        <v>66</v>
      </c>
      <c r="G22" s="6">
        <v>1020797353</v>
      </c>
      <c r="H22" t="str">
        <f t="shared" si="0"/>
        <v>INSERT INTO `parqueadero`.`vehiculo` (`Oid`, `Placa`, `Medio`, `Tipo`, `Marca`, `Color`, `IdConductor`) VALUES ('15','DOU159','CAMIONETA','COMBUSTIBLE','TOYOTA','BLANCO','1020797353');</v>
      </c>
    </row>
    <row r="23" spans="1:8" ht="14.4" x14ac:dyDescent="0.3">
      <c r="A23" s="5">
        <f t="shared" si="1"/>
        <v>16</v>
      </c>
      <c r="B23" s="6" t="s">
        <v>105</v>
      </c>
      <c r="C23" s="6" t="s">
        <v>2195</v>
      </c>
      <c r="D23" s="6" t="s">
        <v>17</v>
      </c>
      <c r="E23" s="6" t="s">
        <v>2285</v>
      </c>
      <c r="F23" s="6" t="s">
        <v>18</v>
      </c>
      <c r="G23" s="6">
        <v>1918513898</v>
      </c>
      <c r="H23" t="str">
        <f t="shared" si="0"/>
        <v>INSERT INTO `parqueadero`.`vehiculo` (`Oid`, `Placa`, `Medio`, `Tipo`, `Marca`, `Color`, `IdConductor`) VALUES ('16','WVZ58G','MOTOCICLETA','COMBUSTIBLE','SUZUKI GIXXER 250','AZUL','1918513898');</v>
      </c>
    </row>
    <row r="24" spans="1:8" ht="14.4" x14ac:dyDescent="0.3">
      <c r="A24" s="5">
        <f t="shared" si="1"/>
        <v>17</v>
      </c>
      <c r="B24" s="17" t="s">
        <v>111</v>
      </c>
      <c r="C24" s="6" t="s">
        <v>143</v>
      </c>
      <c r="D24" s="17" t="s">
        <v>17</v>
      </c>
      <c r="E24" s="17" t="s">
        <v>2290</v>
      </c>
      <c r="F24" s="17" t="s">
        <v>112</v>
      </c>
      <c r="G24" s="17">
        <v>51831480</v>
      </c>
      <c r="H24" t="str">
        <f t="shared" si="0"/>
        <v>INSERT INTO `parqueadero`.`vehiculo` (`Oid`, `Placa`, `Medio`, `Tipo`, `Marca`, `Color`, `IdConductor`) VALUES ('17','EDW320','CAMIONETA','COMBUSTIBLE','JEEP RENAGADE','VERDE MILITAR','51831480');</v>
      </c>
    </row>
    <row r="25" spans="1:8" ht="14.4" x14ac:dyDescent="0.3">
      <c r="A25" s="5">
        <f t="shared" si="1"/>
        <v>18</v>
      </c>
      <c r="B25" s="6" t="s">
        <v>117</v>
      </c>
      <c r="C25" s="6" t="s">
        <v>115</v>
      </c>
      <c r="D25" s="6" t="s">
        <v>17</v>
      </c>
      <c r="E25" s="6" t="s">
        <v>116</v>
      </c>
      <c r="F25" s="6" t="s">
        <v>118</v>
      </c>
      <c r="G25" s="6">
        <v>80024049</v>
      </c>
      <c r="H25" t="str">
        <f t="shared" si="0"/>
        <v>INSERT INTO `parqueadero`.`vehiculo` (`Oid`, `Placa`, `Medio`, `Tipo`, `Marca`, `Color`, `IdConductor`) VALUES ('18','CYG124','AUTOMÓVIL','COMBUSTIBLE','HYUNDAI','GRIS MEDIA NOCHE','80024049');</v>
      </c>
    </row>
    <row r="26" spans="1:8" ht="14.4" x14ac:dyDescent="0.3">
      <c r="A26" s="5">
        <f t="shared" si="1"/>
        <v>19</v>
      </c>
      <c r="B26" s="6" t="s">
        <v>124</v>
      </c>
      <c r="C26" s="6" t="s">
        <v>115</v>
      </c>
      <c r="D26" s="6" t="s">
        <v>17</v>
      </c>
      <c r="E26" s="6" t="s">
        <v>58</v>
      </c>
      <c r="F26" s="6" t="s">
        <v>60</v>
      </c>
      <c r="G26" s="6">
        <v>80003738</v>
      </c>
      <c r="H26" t="str">
        <f t="shared" si="0"/>
        <v>INSERT INTO `parqueadero`.`vehiculo` (`Oid`, `Placa`, `Medio`, `Tipo`, `Marca`, `Color`, `IdConductor`) VALUES ('19','CEW125','AUTOMÓVIL','COMBUSTIBLE','CHEVROLET','GRIS','80003738');</v>
      </c>
    </row>
    <row r="27" spans="1:8" ht="14.4" x14ac:dyDescent="0.3">
      <c r="A27" s="5">
        <f t="shared" si="1"/>
        <v>20</v>
      </c>
      <c r="B27" s="6" t="s">
        <v>133</v>
      </c>
      <c r="C27" s="6" t="s">
        <v>115</v>
      </c>
      <c r="D27" s="6" t="s">
        <v>17</v>
      </c>
      <c r="E27" s="6" t="s">
        <v>132</v>
      </c>
      <c r="F27" s="6" t="s">
        <v>60</v>
      </c>
      <c r="G27" s="6">
        <v>53006917</v>
      </c>
      <c r="H27" t="str">
        <f t="shared" si="0"/>
        <v>INSERT INTO `parqueadero`.`vehiculo` (`Oid`, `Placa`, `Medio`, `Tipo`, `Marca`, `Color`, `IdConductor`) VALUES ('20','JDK292','AUTOMÓVIL','COMBUSTIBLE','BMW','GRIS','53006917');</v>
      </c>
    </row>
    <row r="28" spans="1:8" ht="14.4" x14ac:dyDescent="0.3">
      <c r="A28" s="5">
        <f t="shared" si="1"/>
        <v>21</v>
      </c>
      <c r="B28" s="6" t="s">
        <v>139</v>
      </c>
      <c r="C28" s="6" t="s">
        <v>115</v>
      </c>
      <c r="D28" s="6" t="s">
        <v>17</v>
      </c>
      <c r="E28" s="6" t="s">
        <v>138</v>
      </c>
      <c r="F28" s="6" t="s">
        <v>140</v>
      </c>
      <c r="G28" s="6">
        <v>1032472599</v>
      </c>
      <c r="H28" t="str">
        <f t="shared" si="0"/>
        <v>INSERT INTO `parqueadero`.`vehiculo` (`Oid`, `Placa`, `Medio`, `Tipo`, `Marca`, `Color`, `IdConductor`) VALUES ('21','UBL721','AUTOMÓVIL','COMBUSTIBLE','RENAULT SANDERO','ROJO FUEGO','1032472599');</v>
      </c>
    </row>
    <row r="29" spans="1:8" ht="14.4" x14ac:dyDescent="0.3">
      <c r="A29" s="5">
        <f t="shared" si="1"/>
        <v>22</v>
      </c>
      <c r="B29" s="6" t="s">
        <v>145</v>
      </c>
      <c r="C29" s="6" t="s">
        <v>143</v>
      </c>
      <c r="D29" s="6" t="s">
        <v>17</v>
      </c>
      <c r="E29" s="6" t="s">
        <v>294</v>
      </c>
      <c r="F29" s="6" t="s">
        <v>66</v>
      </c>
      <c r="G29" s="6">
        <v>1042417351</v>
      </c>
      <c r="H29" t="str">
        <f t="shared" si="0"/>
        <v>INSERT INTO `parqueadero`.`vehiculo` (`Oid`, `Placa`, `Medio`, `Tipo`, `Marca`, `Color`, `IdConductor`) VALUES ('22','IRW101','CAMIONETA','COMBUSTIBLE','FORD','BLANCO','1042417351');</v>
      </c>
    </row>
    <row r="30" spans="1:8" ht="14.4" x14ac:dyDescent="0.3">
      <c r="A30" s="5">
        <f t="shared" si="1"/>
        <v>23</v>
      </c>
      <c r="B30" s="6" t="s">
        <v>151</v>
      </c>
      <c r="C30" s="6" t="s">
        <v>115</v>
      </c>
      <c r="D30" s="6" t="s">
        <v>17</v>
      </c>
      <c r="E30" s="6" t="s">
        <v>150</v>
      </c>
      <c r="F30" s="6" t="s">
        <v>60</v>
      </c>
      <c r="G30" s="6">
        <v>52918998</v>
      </c>
      <c r="H30" t="str">
        <f t="shared" si="0"/>
        <v>INSERT INTO `parqueadero`.`vehiculo` (`Oid`, `Placa`, `Medio`, `Tipo`, `Marca`, `Color`, `IdConductor`) VALUES ('23','JMK619','AUTOMÓVIL','COMBUSTIBLE','SANDERO','GRIS','52918998');</v>
      </c>
    </row>
    <row r="31" spans="1:8" ht="14.4" x14ac:dyDescent="0.3">
      <c r="A31" s="5">
        <f t="shared" si="1"/>
        <v>24</v>
      </c>
      <c r="B31" s="17" t="s">
        <v>160</v>
      </c>
      <c r="C31" s="6" t="s">
        <v>115</v>
      </c>
      <c r="D31" s="17" t="s">
        <v>17</v>
      </c>
      <c r="E31" s="6" t="s">
        <v>337</v>
      </c>
      <c r="F31" s="17" t="s">
        <v>44</v>
      </c>
      <c r="G31" s="17">
        <v>1018494285</v>
      </c>
      <c r="H31" t="str">
        <f t="shared" si="0"/>
        <v>INSERT INTO `parqueadero`.`vehiculo` (`Oid`, `Placa`, `Medio`, `Tipo`, `Marca`, `Color`, `IdConductor`) VALUES ('24','HKL409','AUTOMÓVIL','COMBUSTIBLE','MERCEDES BENZ','ROJO','1018494285');</v>
      </c>
    </row>
    <row r="32" spans="1:8" ht="14.4" x14ac:dyDescent="0.3">
      <c r="A32" s="5">
        <f t="shared" si="1"/>
        <v>25</v>
      </c>
      <c r="B32" s="6" t="s">
        <v>165</v>
      </c>
      <c r="C32" s="6" t="s">
        <v>143</v>
      </c>
      <c r="D32" s="6" t="s">
        <v>17</v>
      </c>
      <c r="E32" s="6" t="s">
        <v>164</v>
      </c>
      <c r="F32" s="6" t="s">
        <v>166</v>
      </c>
      <c r="G32" s="6">
        <v>1101754110</v>
      </c>
      <c r="H32" t="str">
        <f t="shared" si="0"/>
        <v>INSERT INTO `parqueadero`.`vehiculo` (`Oid`, `Placa`, `Medio`, `Tipo`, `Marca`, `Color`, `IdConductor`) VALUES ('25','PWO708','CAMIONETA','COMBUSTIBLE','KIA','GRIS OSCURO','1101754110');</v>
      </c>
    </row>
    <row r="33" spans="1:8" ht="14.4" x14ac:dyDescent="0.3">
      <c r="A33" s="5">
        <f t="shared" si="1"/>
        <v>26</v>
      </c>
      <c r="B33" s="6" t="s">
        <v>171</v>
      </c>
      <c r="C33" s="6" t="s">
        <v>2195</v>
      </c>
      <c r="D33" s="6" t="s">
        <v>17</v>
      </c>
      <c r="E33" s="6" t="s">
        <v>1453</v>
      </c>
      <c r="F33" s="6" t="s">
        <v>24</v>
      </c>
      <c r="G33" s="6">
        <v>1057593307</v>
      </c>
      <c r="H33" t="str">
        <f t="shared" si="0"/>
        <v>INSERT INTO `parqueadero`.`vehiculo` (`Oid`, `Placa`, `Medio`, `Tipo`, `Marca`, `Color`, `IdConductor`) VALUES ('26','MWQ77H','MOTOCICLETA','COMBUSTIBLE','ROYAL ENFIELD','NEGRO','1057593307');</v>
      </c>
    </row>
    <row r="34" spans="1:8" ht="14.4" x14ac:dyDescent="0.3">
      <c r="A34" s="5">
        <f t="shared" si="1"/>
        <v>27</v>
      </c>
      <c r="B34" s="6" t="s">
        <v>176</v>
      </c>
      <c r="C34" s="6" t="s">
        <v>2195</v>
      </c>
      <c r="D34" s="6" t="s">
        <v>17</v>
      </c>
      <c r="E34" s="6" t="s">
        <v>175</v>
      </c>
      <c r="F34" s="6" t="s">
        <v>24</v>
      </c>
      <c r="G34" s="6">
        <v>9975124</v>
      </c>
      <c r="H34" t="str">
        <f t="shared" si="0"/>
        <v>INSERT INTO `parqueadero`.`vehiculo` (`Oid`, `Placa`, `Medio`, `Tipo`, `Marca`, `Color`, `IdConductor`) VALUES ('27','CAU94H','MOTOCICLETA','COMBUSTIBLE','AKT','NEGRO','9975124');</v>
      </c>
    </row>
    <row r="35" spans="1:8" ht="14.4" x14ac:dyDescent="0.3">
      <c r="A35" s="5">
        <f t="shared" si="1"/>
        <v>28</v>
      </c>
      <c r="B35" s="6" t="s">
        <v>182</v>
      </c>
      <c r="C35" s="6" t="s">
        <v>143</v>
      </c>
      <c r="D35" s="6" t="s">
        <v>17</v>
      </c>
      <c r="E35" s="6" t="s">
        <v>202</v>
      </c>
      <c r="F35" s="6" t="s">
        <v>60</v>
      </c>
      <c r="G35" s="6">
        <v>79910378</v>
      </c>
      <c r="H35" t="str">
        <f t="shared" si="0"/>
        <v>INSERT INTO `parqueadero`.`vehiculo` (`Oid`, `Placa`, `Medio`, `Tipo`, `Marca`, `Color`, `IdConductor`) VALUES ('28','NJS729','CAMIONETA','COMBUSTIBLE','VOLKSWAGEN','GRIS','79910378');</v>
      </c>
    </row>
    <row r="36" spans="1:8" ht="14.4" x14ac:dyDescent="0.3">
      <c r="A36" s="5">
        <f t="shared" si="1"/>
        <v>29</v>
      </c>
      <c r="B36" s="6" t="s">
        <v>186</v>
      </c>
      <c r="C36" s="6" t="s">
        <v>115</v>
      </c>
      <c r="D36" s="6" t="s">
        <v>17</v>
      </c>
      <c r="E36" s="6" t="s">
        <v>75</v>
      </c>
      <c r="F36" s="6" t="s">
        <v>187</v>
      </c>
      <c r="G36" s="6">
        <v>1018402818</v>
      </c>
      <c r="H36" t="str">
        <f t="shared" si="0"/>
        <v>INSERT INTO `parqueadero`.`vehiculo` (`Oid`, `Placa`, `Medio`, `Tipo`, `Marca`, `Color`, `IdConductor`) VALUES ('29','UCY144','AUTOMÓVIL','COMBUSTIBLE','MAZDA','FLASH TITANIO','1018402818');</v>
      </c>
    </row>
    <row r="37" spans="1:8" ht="14.4" x14ac:dyDescent="0.3">
      <c r="A37" s="5">
        <f t="shared" si="1"/>
        <v>30</v>
      </c>
      <c r="B37" s="6" t="s">
        <v>191</v>
      </c>
      <c r="C37" s="6" t="s">
        <v>2195</v>
      </c>
      <c r="D37" s="6" t="s">
        <v>17</v>
      </c>
      <c r="E37" s="6" t="s">
        <v>175</v>
      </c>
      <c r="F37" s="6" t="s">
        <v>192</v>
      </c>
      <c r="G37" s="6">
        <v>1000830438</v>
      </c>
      <c r="H37" t="str">
        <f t="shared" si="0"/>
        <v>INSERT INTO `parqueadero`.`vehiculo` (`Oid`, `Placa`, `Medio`, `Tipo`, `Marca`, `Color`, `IdConductor`) VALUES ('30','JWQ20F','MOTOCICLETA','COMBUSTIBLE','AKT','NEGRA MATE','1000830438');</v>
      </c>
    </row>
    <row r="38" spans="1:8" ht="14.4" x14ac:dyDescent="0.3">
      <c r="A38" s="5">
        <f t="shared" si="1"/>
        <v>31</v>
      </c>
      <c r="B38" s="6" t="s">
        <v>197</v>
      </c>
      <c r="C38" s="6" t="s">
        <v>115</v>
      </c>
      <c r="D38" s="6" t="s">
        <v>17</v>
      </c>
      <c r="E38" s="6" t="s">
        <v>196</v>
      </c>
      <c r="F38" s="6" t="s">
        <v>18</v>
      </c>
      <c r="G38" s="6">
        <v>65709742</v>
      </c>
      <c r="H38" t="str">
        <f t="shared" si="0"/>
        <v>INSERT INTO `parqueadero`.`vehiculo` (`Oid`, `Placa`, `Medio`, `Tipo`, `Marca`, `Color`, `IdConductor`) VALUES ('31','DNT964','AUTOMÓVIL','COMBUSTIBLE','NISSAN VERSA','AZUL','65709742');</v>
      </c>
    </row>
    <row r="39" spans="1:8" ht="14.4" x14ac:dyDescent="0.3">
      <c r="A39" s="5">
        <f t="shared" si="1"/>
        <v>32</v>
      </c>
      <c r="B39" s="6" t="s">
        <v>203</v>
      </c>
      <c r="C39" s="6" t="s">
        <v>115</v>
      </c>
      <c r="D39" s="6" t="s">
        <v>17</v>
      </c>
      <c r="E39" s="6" t="s">
        <v>202</v>
      </c>
      <c r="F39" s="6" t="s">
        <v>60</v>
      </c>
      <c r="G39" s="6">
        <v>7726196</v>
      </c>
      <c r="H39" t="str">
        <f t="shared" si="0"/>
        <v>INSERT INTO `parqueadero`.`vehiculo` (`Oid`, `Placa`, `Medio`, `Tipo`, `Marca`, `Color`, `IdConductor`) VALUES ('32','LJQ380','AUTOMÓVIL','COMBUSTIBLE','VOLKSWAGEN','GRIS','7726196');</v>
      </c>
    </row>
    <row r="40" spans="1:8" ht="14.4" x14ac:dyDescent="0.3">
      <c r="A40" s="5">
        <f t="shared" si="1"/>
        <v>33</v>
      </c>
      <c r="B40" s="17" t="s">
        <v>209</v>
      </c>
      <c r="C40" s="6" t="s">
        <v>143</v>
      </c>
      <c r="D40" s="17" t="s">
        <v>17</v>
      </c>
      <c r="E40" s="17" t="s">
        <v>2284</v>
      </c>
      <c r="F40" s="17" t="s">
        <v>210</v>
      </c>
      <c r="G40" s="17">
        <v>40046195</v>
      </c>
      <c r="H40" t="str">
        <f t="shared" si="0"/>
        <v>INSERT INTO `parqueadero`.`vehiculo` (`Oid`, `Placa`, `Medio`, `Tipo`, `Marca`, `Color`, `IdConductor`) VALUES ('33','HVQ896','CAMIONETA','COMBUSTIBLE','MERCEDES','GRIS PLATEADO','40046195');</v>
      </c>
    </row>
    <row r="41" spans="1:8" ht="14.4" x14ac:dyDescent="0.3">
      <c r="A41" s="5">
        <f t="shared" si="1"/>
        <v>34</v>
      </c>
      <c r="B41" s="6" t="s">
        <v>215</v>
      </c>
      <c r="C41" s="6" t="s">
        <v>143</v>
      </c>
      <c r="D41" s="6" t="s">
        <v>17</v>
      </c>
      <c r="E41" s="6" t="s">
        <v>214</v>
      </c>
      <c r="F41" s="6" t="s">
        <v>24</v>
      </c>
      <c r="G41" s="6">
        <v>41939388</v>
      </c>
      <c r="H41" t="str">
        <f t="shared" si="0"/>
        <v>INSERT INTO `parqueadero`.`vehiculo` (`Oid`, `Placa`, `Medio`, `Tipo`, `Marca`, `Color`, `IdConductor`) VALUES ('34','HIT028','CAMIONETA','COMBUSTIBLE','CHEVROLET TRACKER','NEGRO','41939388');</v>
      </c>
    </row>
    <row r="42" spans="1:8" ht="14.4" x14ac:dyDescent="0.3">
      <c r="A42" s="5">
        <f t="shared" si="1"/>
        <v>35</v>
      </c>
      <c r="B42" s="6" t="s">
        <v>220</v>
      </c>
      <c r="C42" s="6" t="s">
        <v>115</v>
      </c>
      <c r="D42" s="6" t="s">
        <v>17</v>
      </c>
      <c r="E42" s="6" t="s">
        <v>219</v>
      </c>
      <c r="F42" s="6" t="s">
        <v>221</v>
      </c>
      <c r="G42" s="6">
        <v>52212145</v>
      </c>
      <c r="H42" t="str">
        <f t="shared" si="0"/>
        <v>INSERT INTO `parqueadero`.`vehiculo` (`Oid`, `Placa`, `Medio`, `Tipo`, `Marca`, `Color`, `IdConductor`) VALUES ('35','PKK961','AUTOMÓVIL','COMBUSTIBLE','RENAULT SANDERO STEP WAY','GRIS CASIOPE','52212145');</v>
      </c>
    </row>
    <row r="43" spans="1:8" ht="14.4" x14ac:dyDescent="0.3">
      <c r="A43" s="5">
        <f t="shared" si="1"/>
        <v>36</v>
      </c>
      <c r="B43" s="6" t="s">
        <v>226</v>
      </c>
      <c r="C43" s="6" t="s">
        <v>115</v>
      </c>
      <c r="D43" s="6" t="s">
        <v>17</v>
      </c>
      <c r="E43" s="6" t="s">
        <v>202</v>
      </c>
      <c r="F43" s="6" t="s">
        <v>60</v>
      </c>
      <c r="G43" s="6">
        <v>1010185998</v>
      </c>
      <c r="H43" t="str">
        <f t="shared" si="0"/>
        <v>INSERT INTO `parqueadero`.`vehiculo` (`Oid`, `Placa`, `Medio`, `Tipo`, `Marca`, `Color`, `IdConductor`) VALUES ('36','LRK237','AUTOMÓVIL','COMBUSTIBLE','VOLKSWAGEN','GRIS','1010185998');</v>
      </c>
    </row>
    <row r="44" spans="1:8" ht="14.4" x14ac:dyDescent="0.3">
      <c r="A44" s="5">
        <f t="shared" si="1"/>
        <v>37</v>
      </c>
      <c r="B44" s="17" t="s">
        <v>231</v>
      </c>
      <c r="C44" s="6" t="s">
        <v>143</v>
      </c>
      <c r="D44" s="17" t="s">
        <v>17</v>
      </c>
      <c r="E44" s="17" t="s">
        <v>230</v>
      </c>
      <c r="F44" s="6" t="s">
        <v>797</v>
      </c>
      <c r="G44" s="17">
        <v>1014191355</v>
      </c>
      <c r="H44" t="str">
        <f t="shared" si="0"/>
        <v>INSERT INTO `parqueadero`.`vehiculo` (`Oid`, `Placa`, `Medio`, `Tipo`, `Marca`, `Color`, `IdConductor`) VALUES ('37','GPW925','CAMIONETA','COMBUSTIBLE','SEAT ARONA','ROJO - NEGRO','1014191355');</v>
      </c>
    </row>
    <row r="45" spans="1:8" ht="14.4" x14ac:dyDescent="0.3">
      <c r="A45" s="5">
        <f t="shared" si="1"/>
        <v>38</v>
      </c>
      <c r="B45" s="6" t="s">
        <v>237</v>
      </c>
      <c r="C45" s="6" t="s">
        <v>2195</v>
      </c>
      <c r="D45" s="6" t="s">
        <v>17</v>
      </c>
      <c r="E45" s="6" t="s">
        <v>236</v>
      </c>
      <c r="F45" s="6" t="s">
        <v>238</v>
      </c>
      <c r="G45" s="6">
        <v>1030524007</v>
      </c>
      <c r="H45" t="str">
        <f t="shared" si="0"/>
        <v>INSERT INTO `parqueadero`.`vehiculo` (`Oid`, `Placa`, `Medio`, `Tipo`, `Marca`, `Color`, `IdConductor`) VALUES ('38','TOO29E','MOTOCICLETA','COMBUSTIBLE','APACHE 180','BLANCA','1030524007');</v>
      </c>
    </row>
    <row r="46" spans="1:8" ht="14.4" x14ac:dyDescent="0.3">
      <c r="A46" s="5">
        <f t="shared" si="1"/>
        <v>39</v>
      </c>
      <c r="B46" s="6" t="s">
        <v>242</v>
      </c>
      <c r="C46" s="6" t="s">
        <v>115</v>
      </c>
      <c r="D46" s="6" t="s">
        <v>17</v>
      </c>
      <c r="E46" s="6" t="s">
        <v>56</v>
      </c>
      <c r="F46" s="6" t="s">
        <v>34</v>
      </c>
      <c r="G46" s="6">
        <v>79773343</v>
      </c>
      <c r="H46" t="str">
        <f t="shared" si="0"/>
        <v>INSERT INTO `parqueadero`.`vehiculo` (`Oid`, `Placa`, `Medio`, `Tipo`, `Marca`, `Color`, `IdConductor`) VALUES ('39','CXO597','AUTOMÓVIL','COMBUSTIBLE','HONDA','BEIGE','79773343');</v>
      </c>
    </row>
    <row r="47" spans="1:8" ht="14.4" x14ac:dyDescent="0.3">
      <c r="A47" s="5">
        <f t="shared" si="1"/>
        <v>40</v>
      </c>
      <c r="B47" s="17" t="s">
        <v>247</v>
      </c>
      <c r="C47" s="6" t="s">
        <v>115</v>
      </c>
      <c r="D47" s="17" t="s">
        <v>17</v>
      </c>
      <c r="E47" s="17" t="s">
        <v>246</v>
      </c>
      <c r="F47" s="17" t="s">
        <v>248</v>
      </c>
      <c r="G47" s="17">
        <v>11185678</v>
      </c>
      <c r="H47" t="str">
        <f t="shared" si="0"/>
        <v>INSERT INTO `parqueadero`.`vehiculo` (`Oid`, `Placa`, `Medio`, `Tipo`, `Marca`, `Color`, `IdConductor`) VALUES ('40','CCT166','AUTOMÓVIL','COMBUSTIBLE','CHEVROLET AVEO','GRIS PLATA','11185678');</v>
      </c>
    </row>
    <row r="48" spans="1:8" ht="14.4" x14ac:dyDescent="0.3">
      <c r="A48" s="5">
        <f t="shared" si="1"/>
        <v>41</v>
      </c>
      <c r="B48" s="6" t="s">
        <v>252</v>
      </c>
      <c r="C48" s="6" t="s">
        <v>143</v>
      </c>
      <c r="D48" s="6" t="s">
        <v>253</v>
      </c>
      <c r="E48" s="6" t="s">
        <v>64</v>
      </c>
      <c r="F48" s="6" t="s">
        <v>66</v>
      </c>
      <c r="G48" s="6">
        <v>5292411</v>
      </c>
      <c r="H48" t="str">
        <f t="shared" si="0"/>
        <v>INSERT INTO `parqueadero`.`vehiculo` (`Oid`, `Placa`, `Medio`, `Tipo`, `Marca`, `Color`, `IdConductor`) VALUES ('41','KWP790','CAMIONETA','HÍBRIDO','TOYOTA','BLANCO','5292411');</v>
      </c>
    </row>
    <row r="49" spans="1:8" ht="14.4" x14ac:dyDescent="0.3">
      <c r="A49" s="5">
        <f t="shared" si="1"/>
        <v>42</v>
      </c>
      <c r="B49" s="6" t="s">
        <v>258</v>
      </c>
      <c r="C49" s="6" t="s">
        <v>115</v>
      </c>
      <c r="D49" s="6" t="s">
        <v>17</v>
      </c>
      <c r="E49" s="6" t="s">
        <v>257</v>
      </c>
      <c r="F49" s="6" t="s">
        <v>259</v>
      </c>
      <c r="G49" s="6">
        <v>1010187540</v>
      </c>
      <c r="H49" t="str">
        <f t="shared" si="0"/>
        <v>INSERT INTO `parqueadero`.`vehiculo` (`Oid`, `Placa`, `Medio`, `Tipo`, `Marca`, `Color`, `IdConductor`) VALUES ('42','CZT814','AUTOMÓVIL','COMBUSTIBLE','CHEVROLET OPTRA','PLATEADO','1010187540');</v>
      </c>
    </row>
    <row r="50" spans="1:8" ht="14.4" x14ac:dyDescent="0.3">
      <c r="A50" s="5">
        <f t="shared" si="1"/>
        <v>43</v>
      </c>
      <c r="B50" s="6" t="s">
        <v>261</v>
      </c>
      <c r="C50" s="6" t="s">
        <v>2195</v>
      </c>
      <c r="D50" s="6" t="s">
        <v>17</v>
      </c>
      <c r="E50" s="6" t="s">
        <v>175</v>
      </c>
      <c r="F50" s="6" t="s">
        <v>60</v>
      </c>
      <c r="G50" s="6">
        <v>79873343</v>
      </c>
      <c r="H50" t="str">
        <f t="shared" si="0"/>
        <v>INSERT INTO `parqueadero`.`vehiculo` (`Oid`, `Placa`, `Medio`, `Tipo`, `Marca`, `Color`, `IdConductor`) VALUES ('43','RDT94H','MOTOCICLETA','COMBUSTIBLE','AKT','GRIS','79873343');</v>
      </c>
    </row>
    <row r="51" spans="1:8" ht="14.4" x14ac:dyDescent="0.3">
      <c r="A51" s="5">
        <f t="shared" si="1"/>
        <v>44</v>
      </c>
      <c r="B51" s="6" t="s">
        <v>265</v>
      </c>
      <c r="C51" s="6" t="s">
        <v>143</v>
      </c>
      <c r="D51" s="6" t="s">
        <v>17</v>
      </c>
      <c r="E51" s="6" t="s">
        <v>202</v>
      </c>
      <c r="F51" s="6" t="s">
        <v>266</v>
      </c>
      <c r="G51" s="6">
        <v>79646925</v>
      </c>
      <c r="H51" t="str">
        <f t="shared" si="0"/>
        <v>INSERT INTO `parqueadero`.`vehiculo` (`Oid`, `Placa`, `Medio`, `Tipo`, `Marca`, `Color`, `IdConductor`) VALUES ('44','QLO085','CAMIONETA','COMBUSTIBLE','VOLKSWAGEN','AZUL OSCURO','79646925');</v>
      </c>
    </row>
    <row r="52" spans="1:8" ht="14.4" x14ac:dyDescent="0.3">
      <c r="A52" s="5">
        <f t="shared" si="1"/>
        <v>45</v>
      </c>
      <c r="B52" s="6" t="s">
        <v>272</v>
      </c>
      <c r="C52" s="6" t="s">
        <v>143</v>
      </c>
      <c r="D52" s="6" t="s">
        <v>17</v>
      </c>
      <c r="E52" s="6" t="s">
        <v>271</v>
      </c>
      <c r="F52" s="6" t="s">
        <v>24</v>
      </c>
      <c r="G52" s="6">
        <v>35530221</v>
      </c>
      <c r="H52" t="str">
        <f t="shared" si="0"/>
        <v>INSERT INTO `parqueadero`.`vehiculo` (`Oid`, `Placa`, `Medio`, `Tipo`, `Marca`, `Color`, `IdConductor`) VALUES ('45','DDR152','CAMIONETA','COMBUSTIBLE','KIA MOHAVE EX','NEGRO','35530221');</v>
      </c>
    </row>
    <row r="53" spans="1:8" ht="14.4" x14ac:dyDescent="0.3">
      <c r="A53" s="5">
        <f t="shared" si="1"/>
        <v>46</v>
      </c>
      <c r="B53" s="6" t="s">
        <v>277</v>
      </c>
      <c r="C53" s="6" t="s">
        <v>115</v>
      </c>
      <c r="D53" s="6" t="s">
        <v>253</v>
      </c>
      <c r="E53" s="6" t="s">
        <v>276</v>
      </c>
      <c r="F53" s="6" t="s">
        <v>44</v>
      </c>
      <c r="G53" s="6">
        <v>52517697</v>
      </c>
      <c r="H53" t="str">
        <f t="shared" si="0"/>
        <v>INSERT INTO `parqueadero`.`vehiculo` (`Oid`, `Placa`, `Medio`, `Tipo`, `Marca`, `Color`, `IdConductor`) VALUES ('46','LTW847','AUTOMÓVIL','HÍBRIDO','SUZUKI','ROJO','52517697');</v>
      </c>
    </row>
    <row r="54" spans="1:8" ht="14.4" x14ac:dyDescent="0.3">
      <c r="A54" s="5">
        <f t="shared" si="1"/>
        <v>47</v>
      </c>
      <c r="B54" s="6" t="s">
        <v>281</v>
      </c>
      <c r="C54" s="6" t="s">
        <v>143</v>
      </c>
      <c r="D54" s="6" t="s">
        <v>17</v>
      </c>
      <c r="E54" s="6" t="s">
        <v>280</v>
      </c>
      <c r="F54" s="6" t="s">
        <v>66</v>
      </c>
      <c r="G54" s="6">
        <v>10270105</v>
      </c>
      <c r="H54" t="str">
        <f t="shared" si="0"/>
        <v>INSERT INTO `parqueadero`.`vehiculo` (`Oid`, `Placa`, `Medio`, `Tipo`, `Marca`, `Color`, `IdConductor`) VALUES ('47','JEZ418','CAMIONETA','COMBUSTIBLE','NISSAN QASHQAI 2017','BLANCO','10270105');</v>
      </c>
    </row>
    <row r="55" spans="1:8" ht="14.4" x14ac:dyDescent="0.3">
      <c r="A55" s="5">
        <f t="shared" si="1"/>
        <v>48</v>
      </c>
      <c r="B55" s="6" t="s">
        <v>286</v>
      </c>
      <c r="C55" s="6" t="s">
        <v>143</v>
      </c>
      <c r="D55" s="6" t="s">
        <v>129</v>
      </c>
      <c r="E55" s="6" t="s">
        <v>22</v>
      </c>
      <c r="F55" s="6" t="s">
        <v>166</v>
      </c>
      <c r="G55" s="6">
        <v>52710323</v>
      </c>
      <c r="H55" t="str">
        <f t="shared" si="0"/>
        <v>INSERT INTO `parqueadero`.`vehiculo` (`Oid`, `Placa`, `Medio`, `Tipo`, `Marca`, `Color`, `IdConductor`) VALUES ('48','PYW679','CAMIONETA','ELÉCTRICO','BYD','GRIS OSCURO','52710323');</v>
      </c>
    </row>
    <row r="56" spans="1:8" ht="14.4" x14ac:dyDescent="0.3">
      <c r="A56" s="5">
        <f t="shared" si="1"/>
        <v>49</v>
      </c>
      <c r="B56" s="6" t="s">
        <v>290</v>
      </c>
      <c r="C56" s="6" t="s">
        <v>143</v>
      </c>
      <c r="D56" s="6" t="s">
        <v>17</v>
      </c>
      <c r="E56" s="6" t="s">
        <v>289</v>
      </c>
      <c r="F56" s="6" t="s">
        <v>66</v>
      </c>
      <c r="G56" s="6">
        <v>79979675</v>
      </c>
      <c r="H56" t="str">
        <f t="shared" si="0"/>
        <v>INSERT INTO `parqueadero`.`vehiculo` (`Oid`, `Placa`, `Medio`, `Tipo`, `Marca`, `Color`, `IdConductor`) VALUES ('49','IHK708','CAMIONETA','COMBUSTIBLE','FORD ESCAPE TITANIUM','BLANCO','79979675');</v>
      </c>
    </row>
    <row r="57" spans="1:8" ht="14.4" x14ac:dyDescent="0.3">
      <c r="A57" s="5">
        <f t="shared" si="1"/>
        <v>50</v>
      </c>
      <c r="B57" s="6" t="s">
        <v>295</v>
      </c>
      <c r="C57" s="6" t="s">
        <v>115</v>
      </c>
      <c r="D57" s="6" t="s">
        <v>17</v>
      </c>
      <c r="E57" s="6" t="s">
        <v>294</v>
      </c>
      <c r="F57" s="6" t="s">
        <v>60</v>
      </c>
      <c r="G57" s="6">
        <v>52961000</v>
      </c>
      <c r="H57" t="str">
        <f t="shared" si="0"/>
        <v>INSERT INTO `parqueadero`.`vehiculo` (`Oid`, `Placa`, `Medio`, `Tipo`, `Marca`, `Color`, `IdConductor`) VALUES ('50','IXS573','AUTOMÓVIL','COMBUSTIBLE','FORD','GRIS','52961000');</v>
      </c>
    </row>
    <row r="58" spans="1:8" ht="14.4" x14ac:dyDescent="0.3">
      <c r="A58" s="5">
        <f t="shared" si="1"/>
        <v>51</v>
      </c>
      <c r="B58" s="6" t="s">
        <v>300</v>
      </c>
      <c r="C58" s="6" t="s">
        <v>115</v>
      </c>
      <c r="D58" s="6" t="s">
        <v>253</v>
      </c>
      <c r="E58" s="6" t="s">
        <v>64</v>
      </c>
      <c r="F58" s="6" t="s">
        <v>44</v>
      </c>
      <c r="G58" s="6">
        <v>1001192097</v>
      </c>
      <c r="H58" t="str">
        <f t="shared" si="0"/>
        <v>INSERT INTO `parqueadero`.`vehiculo` (`Oid`, `Placa`, `Medio`, `Tipo`, `Marca`, `Color`, `IdConductor`) VALUES ('51','NIR622','AUTOMÓVIL','HÍBRIDO','TOYOTA','ROJO','1001192097');</v>
      </c>
    </row>
    <row r="59" spans="1:8" ht="14.4" x14ac:dyDescent="0.3">
      <c r="A59" s="5">
        <f t="shared" si="1"/>
        <v>52</v>
      </c>
      <c r="B59" s="6" t="s">
        <v>305</v>
      </c>
      <c r="C59" s="6" t="s">
        <v>115</v>
      </c>
      <c r="D59" s="6" t="s">
        <v>129</v>
      </c>
      <c r="E59" s="6" t="s">
        <v>304</v>
      </c>
      <c r="F59" s="6" t="s">
        <v>60</v>
      </c>
      <c r="G59" s="6">
        <v>80084377</v>
      </c>
      <c r="H59" t="str">
        <f t="shared" si="0"/>
        <v>INSERT INTO `parqueadero`.`vehiculo` (`Oid`, `Placa`, `Medio`, `Tipo`, `Marca`, `Color`, `IdConductor`) VALUES ('52','NLV039','AUTOMÓVIL','ELÉCTRICO','RENAULT','GRIS','80084377');</v>
      </c>
    </row>
    <row r="60" spans="1:8" ht="14.4" x14ac:dyDescent="0.3">
      <c r="A60" s="5">
        <f t="shared" si="1"/>
        <v>53</v>
      </c>
      <c r="B60" s="6" t="s">
        <v>310</v>
      </c>
      <c r="C60" s="6" t="s">
        <v>143</v>
      </c>
      <c r="D60" s="6" t="s">
        <v>253</v>
      </c>
      <c r="E60" s="6" t="s">
        <v>309</v>
      </c>
      <c r="F60" s="6" t="s">
        <v>166</v>
      </c>
      <c r="G60" s="6">
        <v>52057419</v>
      </c>
      <c r="H60" t="str">
        <f t="shared" si="0"/>
        <v>INSERT INTO `parqueadero`.`vehiculo` (`Oid`, `Placa`, `Medio`, `Tipo`, `Marca`, `Color`, `IdConductor`) VALUES ('53','PGR899','CAMIONETA','HÍBRIDO','TOYOYA YARIS CROSS','GRIS OSCURO','52057419');</v>
      </c>
    </row>
    <row r="61" spans="1:8" ht="14.4" x14ac:dyDescent="0.3">
      <c r="A61" s="5">
        <f t="shared" si="1"/>
        <v>54</v>
      </c>
      <c r="B61" s="6" t="s">
        <v>315</v>
      </c>
      <c r="C61" s="6" t="s">
        <v>2195</v>
      </c>
      <c r="D61" s="6" t="s">
        <v>17</v>
      </c>
      <c r="E61" s="6" t="s">
        <v>2286</v>
      </c>
      <c r="F61" s="6" t="s">
        <v>316</v>
      </c>
      <c r="G61" s="6">
        <v>1010222727</v>
      </c>
      <c r="H61" t="str">
        <f t="shared" si="0"/>
        <v>INSERT INTO `parqueadero`.`vehiculo` (`Oid`, `Placa`, `Medio`, `Tipo`, `Marca`, `Color`, `IdConductor`) VALUES ('54','OAP88G','MOTOCICLETA','COMBUSTIBLE','SUZUKI GIXER SF','NEGRO MATE','1010222727');</v>
      </c>
    </row>
    <row r="62" spans="1:8" ht="14.4" x14ac:dyDescent="0.3">
      <c r="A62" s="5">
        <f t="shared" si="1"/>
        <v>55</v>
      </c>
      <c r="B62" s="17" t="s">
        <v>321</v>
      </c>
      <c r="C62" s="6" t="s">
        <v>115</v>
      </c>
      <c r="D62" s="17" t="s">
        <v>17</v>
      </c>
      <c r="E62" s="17" t="s">
        <v>320</v>
      </c>
      <c r="F62" s="17" t="s">
        <v>248</v>
      </c>
      <c r="G62" s="17">
        <v>52831248</v>
      </c>
      <c r="H62" t="str">
        <f t="shared" si="0"/>
        <v>INSERT INTO `parqueadero`.`vehiculo` (`Oid`, `Placa`, `Medio`, `Tipo`, `Marca`, `Color`, `IdConductor`) VALUES ('55','HJZ870','AUTOMÓVIL','COMBUSTIBLE','AUDI','GRIS PLATA','52831248');</v>
      </c>
    </row>
    <row r="63" spans="1:8" ht="14.4" x14ac:dyDescent="0.3">
      <c r="A63" s="5">
        <f t="shared" si="1"/>
        <v>56</v>
      </c>
      <c r="B63" s="6" t="s">
        <v>326</v>
      </c>
      <c r="C63" s="6" t="s">
        <v>115</v>
      </c>
      <c r="D63" s="6" t="s">
        <v>17</v>
      </c>
      <c r="E63" s="6" t="s">
        <v>58</v>
      </c>
      <c r="F63" s="6" t="s">
        <v>24</v>
      </c>
      <c r="G63" s="6">
        <v>52725553</v>
      </c>
      <c r="H63" t="str">
        <f t="shared" si="0"/>
        <v>INSERT INTO `parqueadero`.`vehiculo` (`Oid`, `Placa`, `Medio`, `Tipo`, `Marca`, `Color`, `IdConductor`) VALUES ('56','KHB999','AUTOMÓVIL','COMBUSTIBLE','CHEVROLET','NEGRO','52725553');</v>
      </c>
    </row>
    <row r="64" spans="1:8" ht="14.4" x14ac:dyDescent="0.3">
      <c r="A64" s="5">
        <f t="shared" si="1"/>
        <v>57</v>
      </c>
      <c r="B64" s="6" t="s">
        <v>329</v>
      </c>
      <c r="C64" s="6" t="s">
        <v>115</v>
      </c>
      <c r="D64" s="6" t="s">
        <v>253</v>
      </c>
      <c r="E64" s="6" t="s">
        <v>276</v>
      </c>
      <c r="F64" s="6" t="s">
        <v>330</v>
      </c>
      <c r="G64" s="6">
        <v>71761674</v>
      </c>
      <c r="H64" t="str">
        <f t="shared" si="0"/>
        <v>INSERT INTO `parqueadero`.`vehiculo` (`Oid`, `Placa`, `Medio`, `Tipo`, `Marca`, `Color`, `IdConductor`) VALUES ('57','LNP307','AUTOMÓVIL','HÍBRIDO','SUZUKI','GRIS PL','71761674');</v>
      </c>
    </row>
    <row r="65" spans="1:8" ht="14.4" x14ac:dyDescent="0.3">
      <c r="A65" s="5">
        <f t="shared" si="1"/>
        <v>58</v>
      </c>
      <c r="B65" s="17" t="s">
        <v>334</v>
      </c>
      <c r="C65" s="6" t="s">
        <v>115</v>
      </c>
      <c r="D65" s="17" t="s">
        <v>17</v>
      </c>
      <c r="E65" s="17" t="s">
        <v>58</v>
      </c>
      <c r="F65" s="17" t="s">
        <v>259</v>
      </c>
      <c r="G65" s="17">
        <v>1090334186</v>
      </c>
      <c r="H65" t="str">
        <f t="shared" si="0"/>
        <v>INSERT INTO `parqueadero`.`vehiculo` (`Oid`, `Placa`, `Medio`, `Tipo`, `Marca`, `Color`, `IdConductor`) VALUES ('58','MSM158','AUTOMÓVIL','COMBUSTIBLE','CHEVROLET','PLATEADO','1090334186');</v>
      </c>
    </row>
    <row r="66" spans="1:8" ht="14.4" x14ac:dyDescent="0.3">
      <c r="A66" s="5">
        <f t="shared" si="1"/>
        <v>59</v>
      </c>
      <c r="B66" s="6" t="s">
        <v>338</v>
      </c>
      <c r="C66" s="6" t="s">
        <v>143</v>
      </c>
      <c r="D66" s="6" t="s">
        <v>17</v>
      </c>
      <c r="E66" s="6" t="s">
        <v>337</v>
      </c>
      <c r="F66" s="6" t="s">
        <v>248</v>
      </c>
      <c r="G66" s="6">
        <v>79383437</v>
      </c>
      <c r="H66" t="str">
        <f t="shared" si="0"/>
        <v>INSERT INTO `parqueadero`.`vehiculo` (`Oid`, `Placa`, `Medio`, `Tipo`, `Marca`, `Color`, `IdConductor`) VALUES ('59','JON445','CAMIONETA','COMBUSTIBLE','MERCEDES BENZ','GRIS PLATA','79383437');</v>
      </c>
    </row>
    <row r="67" spans="1:8" ht="14.4" x14ac:dyDescent="0.3">
      <c r="A67" s="5">
        <f t="shared" si="1"/>
        <v>60</v>
      </c>
      <c r="B67" s="6" t="s">
        <v>344</v>
      </c>
      <c r="C67" s="6" t="s">
        <v>115</v>
      </c>
      <c r="D67" s="6" t="s">
        <v>17</v>
      </c>
      <c r="E67" s="6" t="s">
        <v>343</v>
      </c>
      <c r="F67" s="6" t="s">
        <v>18</v>
      </c>
      <c r="G67" s="6">
        <v>1010244782</v>
      </c>
      <c r="H67" t="str">
        <f t="shared" si="0"/>
        <v>INSERT INTO `parqueadero`.`vehiculo` (`Oid`, `Placa`, `Medio`, `Tipo`, `Marca`, `Color`, `IdConductor`) VALUES ('60','KMS378','AUTOMÓVIL','COMBUSTIBLE','RENAULT TWINGO','AZUL','1010244782');</v>
      </c>
    </row>
    <row r="68" spans="1:8" ht="14.4" x14ac:dyDescent="0.3">
      <c r="A68" s="5">
        <f t="shared" si="1"/>
        <v>61</v>
      </c>
      <c r="B68" s="6" t="s">
        <v>349</v>
      </c>
      <c r="C68" s="6" t="s">
        <v>143</v>
      </c>
      <c r="D68" s="6" t="s">
        <v>253</v>
      </c>
      <c r="E68" s="6" t="s">
        <v>64</v>
      </c>
      <c r="F68" s="6" t="s">
        <v>259</v>
      </c>
      <c r="G68" s="6">
        <v>1020767847</v>
      </c>
      <c r="H68" t="str">
        <f t="shared" si="0"/>
        <v>INSERT INTO `parqueadero`.`vehiculo` (`Oid`, `Placa`, `Medio`, `Tipo`, `Marca`, `Color`, `IdConductor`) VALUES ('61','PXW002','CAMIONETA','HÍBRIDO','TOYOTA','PLATEADO','1020767847');</v>
      </c>
    </row>
    <row r="69" spans="1:8" ht="14.4" x14ac:dyDescent="0.3">
      <c r="A69" s="5">
        <f t="shared" si="1"/>
        <v>62</v>
      </c>
      <c r="B69" s="6" t="s">
        <v>355</v>
      </c>
      <c r="C69" s="6" t="s">
        <v>143</v>
      </c>
      <c r="D69" s="6" t="s">
        <v>17</v>
      </c>
      <c r="E69" s="6" t="s">
        <v>501</v>
      </c>
      <c r="F69" s="6" t="s">
        <v>60</v>
      </c>
      <c r="G69" s="6">
        <v>80850767</v>
      </c>
      <c r="H69" t="str">
        <f t="shared" si="0"/>
        <v>INSERT INTO `parqueadero`.`vehiculo` (`Oid`, `Placa`, `Medio`, `Tipo`, `Marca`, `Color`, `IdConductor`) VALUES ('62','JVZ512','CAMIONETA','COMBUSTIBLE','NISSAN','GRIS','80850767');</v>
      </c>
    </row>
    <row r="70" spans="1:8" ht="14.4" x14ac:dyDescent="0.3">
      <c r="A70" s="5">
        <f t="shared" si="1"/>
        <v>63</v>
      </c>
      <c r="B70" s="6" t="s">
        <v>359</v>
      </c>
      <c r="C70" s="6" t="s">
        <v>143</v>
      </c>
      <c r="D70" s="6" t="s">
        <v>17</v>
      </c>
      <c r="E70" s="6" t="s">
        <v>64</v>
      </c>
      <c r="F70" s="6" t="s">
        <v>60</v>
      </c>
      <c r="G70" s="6">
        <v>15173420</v>
      </c>
      <c r="H70" t="str">
        <f t="shared" si="0"/>
        <v>INSERT INTO `parqueadero`.`vehiculo` (`Oid`, `Placa`, `Medio`, `Tipo`, `Marca`, `Color`, `IdConductor`) VALUES ('63','HFS366','CAMIONETA','COMBUSTIBLE','TOYOTA','GRIS','15173420');</v>
      </c>
    </row>
    <row r="71" spans="1:8" ht="14.4" x14ac:dyDescent="0.3">
      <c r="A71" s="5">
        <f t="shared" si="1"/>
        <v>64</v>
      </c>
      <c r="B71" s="6" t="s">
        <v>364</v>
      </c>
      <c r="C71" s="6" t="s">
        <v>115</v>
      </c>
      <c r="D71" s="6" t="s">
        <v>253</v>
      </c>
      <c r="E71" s="6" t="s">
        <v>276</v>
      </c>
      <c r="F71" s="6" t="s">
        <v>166</v>
      </c>
      <c r="G71" s="6">
        <v>52547327</v>
      </c>
      <c r="H71" t="str">
        <f t="shared" si="0"/>
        <v>INSERT INTO `parqueadero`.`vehiculo` (`Oid`, `Placa`, `Medio`, `Tipo`, `Marca`, `Color`, `IdConductor`) VALUES ('64','LMV460','AUTOMÓVIL','HÍBRIDO','SUZUKI','GRIS OSCURO','52547327');</v>
      </c>
    </row>
    <row r="72" spans="1:8" ht="14.4" x14ac:dyDescent="0.3">
      <c r="A72" s="5">
        <f t="shared" si="1"/>
        <v>65</v>
      </c>
      <c r="B72" s="6" t="s">
        <v>369</v>
      </c>
      <c r="C72" s="6" t="s">
        <v>115</v>
      </c>
      <c r="D72" s="6" t="s">
        <v>17</v>
      </c>
      <c r="E72" s="6" t="s">
        <v>343</v>
      </c>
      <c r="F72" s="6" t="s">
        <v>24</v>
      </c>
      <c r="G72" s="6">
        <v>52259108</v>
      </c>
      <c r="H72" t="str">
        <f t="shared" ref="H72:H135" si="2">CONCATENATE("INSERT INTO `parqueadero`.`vehiculo` (`",$A$7,"`, `",$B$7,"`, `",$C$7,"`, `",$D$7,"`, `",$E$7,"`, `",$F$7,"`, `",$G$7,"`) VALUES ('",A72,"','",B72,"','",C72,"','",D72,"','",E72,"','",F72,"','",G72,"');" )</f>
        <v>INSERT INTO `parqueadero`.`vehiculo` (`Oid`, `Placa`, `Medio`, `Tipo`, `Marca`, `Color`, `IdConductor`) VALUES ('65','KAM648','AUTOMÓVIL','COMBUSTIBLE','RENAULT TWINGO','NEGRO','52259108');</v>
      </c>
    </row>
    <row r="73" spans="1:8" ht="14.4" x14ac:dyDescent="0.3">
      <c r="A73" s="5">
        <f t="shared" ref="A73:A134" si="3">ROW()-7</f>
        <v>66</v>
      </c>
      <c r="B73" s="6" t="s">
        <v>373</v>
      </c>
      <c r="C73" s="6" t="s">
        <v>2195</v>
      </c>
      <c r="D73" s="6" t="s">
        <v>17</v>
      </c>
      <c r="E73" s="6" t="s">
        <v>132</v>
      </c>
      <c r="F73" s="6" t="s">
        <v>374</v>
      </c>
      <c r="G73" s="6">
        <v>1017140531</v>
      </c>
      <c r="H73" t="str">
        <f t="shared" si="2"/>
        <v>INSERT INTO `parqueadero`.`vehiculo` (`Oid`, `Placa`, `Medio`, `Tipo`, `Marca`, `Color`, `IdConductor`) VALUES ('66','RTN03C','MOTOCICLETA','COMBUSTIBLE','BMW','AMARILLO - NEGRO','1017140531');</v>
      </c>
    </row>
    <row r="74" spans="1:8" ht="14.4" x14ac:dyDescent="0.3">
      <c r="A74" s="5">
        <f t="shared" si="3"/>
        <v>67</v>
      </c>
      <c r="B74" s="6" t="s">
        <v>378</v>
      </c>
      <c r="C74" s="6" t="s">
        <v>143</v>
      </c>
      <c r="D74" s="6" t="s">
        <v>17</v>
      </c>
      <c r="E74" s="6" t="s">
        <v>164</v>
      </c>
      <c r="F74" s="6" t="s">
        <v>66</v>
      </c>
      <c r="G74" s="6">
        <v>1014230598</v>
      </c>
      <c r="H74" t="str">
        <f t="shared" si="2"/>
        <v>INSERT INTO `parqueadero`.`vehiculo` (`Oid`, `Placa`, `Medio`, `Tipo`, `Marca`, `Color`, `IdConductor`) VALUES ('67','WLR267','CAMIONETA','COMBUSTIBLE','KIA','BLANCO','1014230598');</v>
      </c>
    </row>
    <row r="75" spans="1:8" ht="14.4" x14ac:dyDescent="0.3">
      <c r="A75" s="5">
        <f t="shared" si="3"/>
        <v>68</v>
      </c>
      <c r="B75" s="6" t="s">
        <v>388</v>
      </c>
      <c r="C75" s="6" t="s">
        <v>143</v>
      </c>
      <c r="D75" s="6" t="s">
        <v>17</v>
      </c>
      <c r="E75" s="6" t="s">
        <v>491</v>
      </c>
      <c r="F75" s="6" t="s">
        <v>157</v>
      </c>
      <c r="G75" s="6">
        <v>52825005</v>
      </c>
      <c r="H75" t="str">
        <f t="shared" si="2"/>
        <v>INSERT INTO `parqueadero`.`vehiculo` (`Oid`, `Placa`, `Medio`, `Tipo`, `Marca`, `Color`, `IdConductor`) VALUES ('68','UBO156','CAMIONETA','COMBUSTIBLE','RENAULT DUSTER','NEGRA','52825005');</v>
      </c>
    </row>
    <row r="76" spans="1:8" ht="14.4" x14ac:dyDescent="0.3">
      <c r="A76" s="5">
        <f t="shared" si="3"/>
        <v>69</v>
      </c>
      <c r="B76" s="6" t="s">
        <v>394</v>
      </c>
      <c r="C76" s="6" t="s">
        <v>115</v>
      </c>
      <c r="D76" s="6" t="s">
        <v>17</v>
      </c>
      <c r="E76" s="6" t="s">
        <v>393</v>
      </c>
      <c r="F76" s="6" t="s">
        <v>18</v>
      </c>
      <c r="G76" s="6">
        <v>52387578</v>
      </c>
      <c r="H76" t="str">
        <f t="shared" si="2"/>
        <v>INSERT INTO `parqueadero`.`vehiculo` (`Oid`, `Placa`, `Medio`, `Tipo`, `Marca`, `Color`, `IdConductor`) VALUES ('69','ELQ834','AUTOMÓVIL','COMBUSTIBLE','KIA RIO','AZUL','52387578');</v>
      </c>
    </row>
    <row r="77" spans="1:8" ht="14.4" x14ac:dyDescent="0.3">
      <c r="A77" s="5">
        <f t="shared" si="3"/>
        <v>70</v>
      </c>
      <c r="B77" s="6" t="s">
        <v>399</v>
      </c>
      <c r="C77" s="6" t="s">
        <v>115</v>
      </c>
      <c r="D77" s="6" t="s">
        <v>17</v>
      </c>
      <c r="E77" s="6" t="s">
        <v>304</v>
      </c>
      <c r="F77" s="6" t="s">
        <v>60</v>
      </c>
      <c r="G77" s="6">
        <v>80136470</v>
      </c>
      <c r="H77" t="str">
        <f t="shared" si="2"/>
        <v>INSERT INTO `parqueadero`.`vehiculo` (`Oid`, `Placa`, `Medio`, `Tipo`, `Marca`, `Color`, `IdConductor`) VALUES ('70','PYO907','AUTOMÓVIL','COMBUSTIBLE','RENAULT','GRIS','80136470');</v>
      </c>
    </row>
    <row r="78" spans="1:8" ht="14.4" x14ac:dyDescent="0.3">
      <c r="A78" s="5">
        <f t="shared" si="3"/>
        <v>71</v>
      </c>
      <c r="B78" s="6" t="s">
        <v>404</v>
      </c>
      <c r="C78" s="6" t="s">
        <v>2195</v>
      </c>
      <c r="D78" s="6" t="s">
        <v>17</v>
      </c>
      <c r="E78" s="6" t="s">
        <v>403</v>
      </c>
      <c r="F78" s="6" t="s">
        <v>38</v>
      </c>
      <c r="G78" s="6">
        <v>1032433866</v>
      </c>
      <c r="H78" t="str">
        <f t="shared" si="2"/>
        <v>INSERT INTO `parqueadero`.`vehiculo` (`Oid`, `Placa`, `Medio`, `Tipo`, `Marca`, `Color`, `IdConductor`) VALUES ('71','ZSD48H','MOTOCICLETA','COMBUSTIBLE','KAWASAKI','VERDE','1032433866');</v>
      </c>
    </row>
    <row r="79" spans="1:8" ht="14.4" x14ac:dyDescent="0.3">
      <c r="A79" s="5">
        <f t="shared" si="3"/>
        <v>72</v>
      </c>
      <c r="B79" s="17" t="s">
        <v>413</v>
      </c>
      <c r="C79" s="6" t="s">
        <v>115</v>
      </c>
      <c r="D79" s="17" t="s">
        <v>17</v>
      </c>
      <c r="E79" s="17" t="s">
        <v>276</v>
      </c>
      <c r="F79" s="17" t="s">
        <v>60</v>
      </c>
      <c r="G79" s="17">
        <v>1106892760</v>
      </c>
      <c r="H79" t="str">
        <f t="shared" si="2"/>
        <v>INSERT INTO `parqueadero`.`vehiculo` (`Oid`, `Placa`, `Medio`, `Tipo`, `Marca`, `Color`, `IdConductor`) VALUES ('72','LTP577','AUTOMÓVIL','COMBUSTIBLE','SUZUKI','GRIS','1106892760');</v>
      </c>
    </row>
    <row r="80" spans="1:8" ht="14.4" x14ac:dyDescent="0.3">
      <c r="A80" s="5">
        <f t="shared" si="3"/>
        <v>73</v>
      </c>
      <c r="B80" s="6" t="s">
        <v>417</v>
      </c>
      <c r="C80" s="6" t="s">
        <v>143</v>
      </c>
      <c r="D80" s="6" t="s">
        <v>253</v>
      </c>
      <c r="E80" s="6" t="s">
        <v>75</v>
      </c>
      <c r="F80" s="6" t="s">
        <v>60</v>
      </c>
      <c r="G80" s="6">
        <v>91238271</v>
      </c>
      <c r="H80" t="str">
        <f t="shared" si="2"/>
        <v>INSERT INTO `parqueadero`.`vehiculo` (`Oid`, `Placa`, `Medio`, `Tipo`, `Marca`, `Color`, `IdConductor`) VALUES ('73','PHX295','CAMIONETA','HÍBRIDO','MAZDA','GRIS','91238271');</v>
      </c>
    </row>
    <row r="81" spans="1:8" ht="14.4" x14ac:dyDescent="0.3">
      <c r="A81" s="5">
        <f t="shared" si="3"/>
        <v>74</v>
      </c>
      <c r="B81" s="6" t="s">
        <v>426</v>
      </c>
      <c r="C81" s="6" t="s">
        <v>143</v>
      </c>
      <c r="D81" s="6" t="s">
        <v>17</v>
      </c>
      <c r="E81" s="6" t="s">
        <v>304</v>
      </c>
      <c r="F81" s="6" t="s">
        <v>427</v>
      </c>
      <c r="G81" s="6">
        <v>39755949</v>
      </c>
      <c r="H81" t="str">
        <f t="shared" si="2"/>
        <v>INSERT INTO `parqueadero`.`vehiculo` (`Oid`, `Placa`, `Medio`, `Tipo`, `Marca`, `Color`, `IdConductor`) VALUES ('74','KWX244','CAMIONETA','COMBUSTIBLE','RENAULT','GRIS CASSIOPE','39755949');</v>
      </c>
    </row>
    <row r="82" spans="1:8" ht="14.4" x14ac:dyDescent="0.3">
      <c r="A82" s="5">
        <f t="shared" si="3"/>
        <v>75</v>
      </c>
      <c r="B82" s="6" t="s">
        <v>435</v>
      </c>
      <c r="C82" s="6" t="s">
        <v>115</v>
      </c>
      <c r="D82" s="6" t="s">
        <v>17</v>
      </c>
      <c r="E82" s="6" t="s">
        <v>393</v>
      </c>
      <c r="F82" s="6" t="s">
        <v>44</v>
      </c>
      <c r="G82" s="6">
        <v>11350393</v>
      </c>
      <c r="H82" t="str">
        <f t="shared" si="2"/>
        <v>INSERT INTO `parqueadero`.`vehiculo` (`Oid`, `Placa`, `Medio`, `Tipo`, `Marca`, `Color`, `IdConductor`) VALUES ('75','AVF201','AUTOMÓVIL','COMBUSTIBLE','KIA RIO','ROJO','11350393');</v>
      </c>
    </row>
    <row r="83" spans="1:8" ht="14.4" x14ac:dyDescent="0.3">
      <c r="A83" s="5">
        <f t="shared" si="3"/>
        <v>76</v>
      </c>
      <c r="B83" s="17" t="s">
        <v>440</v>
      </c>
      <c r="C83" s="6" t="s">
        <v>143</v>
      </c>
      <c r="D83" s="17" t="s">
        <v>17</v>
      </c>
      <c r="E83" s="17" t="s">
        <v>439</v>
      </c>
      <c r="F83" s="17" t="s">
        <v>18</v>
      </c>
      <c r="G83" s="17">
        <v>81715332</v>
      </c>
      <c r="H83" t="str">
        <f t="shared" si="2"/>
        <v>INSERT INTO `parqueadero`.`vehiculo` (`Oid`, `Placa`, `Medio`, `Tipo`, `Marca`, `Color`, `IdConductor`) VALUES ('76','FPQ281','CAMIONETA','COMBUSTIBLE','NISSAN KICKS','AZUL','81715332');</v>
      </c>
    </row>
    <row r="84" spans="1:8" ht="14.4" x14ac:dyDescent="0.3">
      <c r="A84" s="5">
        <f t="shared" si="3"/>
        <v>77</v>
      </c>
      <c r="B84" s="6" t="s">
        <v>444</v>
      </c>
      <c r="C84" s="6" t="s">
        <v>143</v>
      </c>
      <c r="D84" s="6" t="s">
        <v>17</v>
      </c>
      <c r="E84" s="6" t="s">
        <v>443</v>
      </c>
      <c r="F84" s="6" t="s">
        <v>60</v>
      </c>
      <c r="G84" s="6">
        <v>4579016</v>
      </c>
      <c r="H84" t="str">
        <f t="shared" si="2"/>
        <v>INSERT INTO `parqueadero`.`vehiculo` (`Oid`, `Placa`, `Medio`, `Tipo`, `Marca`, `Color`, `IdConductor`) VALUES ('77','ELP818','CAMIONETA','COMBUSTIBLE','HONDA HR-V','GRIS','4579016');</v>
      </c>
    </row>
    <row r="85" spans="1:8" ht="14.4" x14ac:dyDescent="0.3">
      <c r="A85" s="5">
        <f t="shared" si="3"/>
        <v>78</v>
      </c>
      <c r="B85" s="6" t="s">
        <v>448</v>
      </c>
      <c r="C85" s="6" t="s">
        <v>143</v>
      </c>
      <c r="D85" s="6" t="s">
        <v>17</v>
      </c>
      <c r="E85" s="6" t="s">
        <v>202</v>
      </c>
      <c r="F85" s="6" t="s">
        <v>259</v>
      </c>
      <c r="G85" s="6">
        <v>52820550</v>
      </c>
      <c r="H85" t="str">
        <f t="shared" si="2"/>
        <v>INSERT INTO `parqueadero`.`vehiculo` (`Oid`, `Placa`, `Medio`, `Tipo`, `Marca`, `Color`, `IdConductor`) VALUES ('78','IVP630','CAMIONETA','COMBUSTIBLE','VOLKSWAGEN','PLATEADO','52820550');</v>
      </c>
    </row>
    <row r="86" spans="1:8" ht="14.4" x14ac:dyDescent="0.3">
      <c r="A86" s="5">
        <f t="shared" si="3"/>
        <v>79</v>
      </c>
      <c r="B86" s="6" t="s">
        <v>453</v>
      </c>
      <c r="C86" s="6" t="s">
        <v>115</v>
      </c>
      <c r="D86" s="6" t="s">
        <v>17</v>
      </c>
      <c r="E86" s="6" t="s">
        <v>452</v>
      </c>
      <c r="F86" s="6" t="s">
        <v>66</v>
      </c>
      <c r="G86" s="6">
        <v>1026263191</v>
      </c>
      <c r="H86" t="str">
        <f t="shared" si="2"/>
        <v>INSERT INTO `parqueadero`.`vehiculo` (`Oid`, `Placa`, `Medio`, `Tipo`, `Marca`, `Color`, `IdConductor`) VALUES ('79','GBU698','AUTOMÓVIL','COMBUSTIBLE','KWID','BLANCO','1026263191');</v>
      </c>
    </row>
    <row r="87" spans="1:8" ht="14.4" x14ac:dyDescent="0.3">
      <c r="A87" s="5">
        <f t="shared" si="3"/>
        <v>80</v>
      </c>
      <c r="B87" s="17" t="s">
        <v>457</v>
      </c>
      <c r="C87" s="6" t="s">
        <v>143</v>
      </c>
      <c r="D87" s="17" t="s">
        <v>17</v>
      </c>
      <c r="E87" s="17" t="s">
        <v>64</v>
      </c>
      <c r="F87" s="17" t="s">
        <v>66</v>
      </c>
      <c r="G87" s="17">
        <v>49606615</v>
      </c>
      <c r="H87" t="str">
        <f t="shared" si="2"/>
        <v>INSERT INTO `parqueadero`.`vehiculo` (`Oid`, `Placa`, `Medio`, `Tipo`, `Marca`, `Color`, `IdConductor`) VALUES ('80','NLV749','CAMIONETA','COMBUSTIBLE','TOYOTA','BLANCO','49606615');</v>
      </c>
    </row>
    <row r="88" spans="1:8" ht="14.4" x14ac:dyDescent="0.3">
      <c r="A88" s="5">
        <f t="shared" si="3"/>
        <v>81</v>
      </c>
      <c r="B88" s="17" t="s">
        <v>462</v>
      </c>
      <c r="C88" s="6" t="s">
        <v>115</v>
      </c>
      <c r="D88" s="17" t="s">
        <v>17</v>
      </c>
      <c r="E88" s="17" t="s">
        <v>461</v>
      </c>
      <c r="F88" s="17" t="s">
        <v>24</v>
      </c>
      <c r="G88" s="17">
        <v>1032405392</v>
      </c>
      <c r="H88" t="str">
        <f t="shared" si="2"/>
        <v>INSERT INTO `parqueadero`.`vehiculo` (`Oid`, `Placa`, `Medio`, `Tipo`, `Marca`, `Color`, `IdConductor`) VALUES ('81','RKY958','AUTOMÓVIL','COMBUSTIBLE','RENAULT FLUENCE','NEGRO','1032405392');</v>
      </c>
    </row>
    <row r="89" spans="1:8" ht="14.4" x14ac:dyDescent="0.3">
      <c r="A89" s="5">
        <f t="shared" si="3"/>
        <v>82</v>
      </c>
      <c r="B89" s="6" t="s">
        <v>466</v>
      </c>
      <c r="C89" s="6" t="s">
        <v>143</v>
      </c>
      <c r="D89" s="6" t="s">
        <v>17</v>
      </c>
      <c r="E89" s="6" t="s">
        <v>58</v>
      </c>
      <c r="F89" s="6" t="s">
        <v>467</v>
      </c>
      <c r="G89" s="6">
        <v>79620120</v>
      </c>
      <c r="H89" t="str">
        <f t="shared" si="2"/>
        <v>INSERT INTO `parqueadero`.`vehiculo` (`Oid`, `Placa`, `Medio`, `Tipo`, `Marca`, `Color`, `IdConductor`) VALUES ('82','DJO120','CAMIONETA','COMBUSTIBLE','CHEVROLET','ACERO','79620120');</v>
      </c>
    </row>
    <row r="90" spans="1:8" ht="14.4" x14ac:dyDescent="0.3">
      <c r="A90" s="5">
        <f t="shared" si="3"/>
        <v>83</v>
      </c>
      <c r="B90" s="6" t="s">
        <v>472</v>
      </c>
      <c r="C90" s="6" t="s">
        <v>115</v>
      </c>
      <c r="D90" s="6" t="s">
        <v>17</v>
      </c>
      <c r="E90" s="6" t="s">
        <v>471</v>
      </c>
      <c r="F90" s="6" t="s">
        <v>44</v>
      </c>
      <c r="G90" s="6">
        <v>53066202</v>
      </c>
      <c r="H90" t="str">
        <f t="shared" si="2"/>
        <v>INSERT INTO `parqueadero`.`vehiculo` (`Oid`, `Placa`, `Medio`, `Tipo`, `Marca`, `Color`, `IdConductor`) VALUES ('83','DZZ039','AUTOMÓVIL','COMBUSTIBLE','KIA PICANTO','ROJO','53066202');</v>
      </c>
    </row>
    <row r="91" spans="1:8" ht="14.4" x14ac:dyDescent="0.3">
      <c r="A91" s="5">
        <f t="shared" si="3"/>
        <v>84</v>
      </c>
      <c r="B91" s="6" t="s">
        <v>477</v>
      </c>
      <c r="C91" s="6" t="s">
        <v>143</v>
      </c>
      <c r="D91" s="6" t="s">
        <v>253</v>
      </c>
      <c r="E91" s="6" t="s">
        <v>476</v>
      </c>
      <c r="F91" s="6" t="s">
        <v>66</v>
      </c>
      <c r="G91" s="6">
        <v>79754530</v>
      </c>
      <c r="H91" t="str">
        <f t="shared" si="2"/>
        <v>INSERT INTO `parqueadero`.`vehiculo` (`Oid`, `Placa`, `Medio`, `Tipo`, `Marca`, `Color`, `IdConductor`) VALUES ('84','JRM107','CAMIONETA','HÍBRIDO','FORD ESCAPE','BLANCO','79754530');</v>
      </c>
    </row>
    <row r="92" spans="1:8" ht="14.4" x14ac:dyDescent="0.3">
      <c r="A92" s="5">
        <f t="shared" si="3"/>
        <v>85</v>
      </c>
      <c r="B92" s="6" t="s">
        <v>481</v>
      </c>
      <c r="C92" s="6" t="s">
        <v>143</v>
      </c>
      <c r="D92" s="6" t="s">
        <v>253</v>
      </c>
      <c r="E92" s="6" t="s">
        <v>276</v>
      </c>
      <c r="F92" s="6" t="s">
        <v>66</v>
      </c>
      <c r="G92" s="6">
        <v>53075545</v>
      </c>
      <c r="H92" t="str">
        <f t="shared" si="2"/>
        <v>INSERT INTO `parqueadero`.`vehiculo` (`Oid`, `Placa`, `Medio`, `Tipo`, `Marca`, `Color`, `IdConductor`) VALUES ('85','POT693','CAMIONETA','HÍBRIDO','SUZUKI','BLANCO','53075545');</v>
      </c>
    </row>
    <row r="93" spans="1:8" ht="14.4" x14ac:dyDescent="0.3">
      <c r="A93" s="5">
        <f t="shared" si="3"/>
        <v>86</v>
      </c>
      <c r="B93" s="6" t="s">
        <v>486</v>
      </c>
      <c r="C93" s="6" t="s">
        <v>143</v>
      </c>
      <c r="D93" s="6" t="s">
        <v>253</v>
      </c>
      <c r="E93" s="6" t="s">
        <v>777</v>
      </c>
      <c r="F93" s="6" t="s">
        <v>38</v>
      </c>
      <c r="G93" s="6">
        <v>1026279388</v>
      </c>
      <c r="H93" t="str">
        <f t="shared" si="2"/>
        <v>INSERT INTO `parqueadero`.`vehiculo` (`Oid`, `Placa`, `Medio`, `Tipo`, `Marca`, `Color`, `IdConductor`) VALUES ('86','PHL863','CAMIONETA','HÍBRIDO','KIA SPORTAGE','VERDE','1026279388');</v>
      </c>
    </row>
    <row r="94" spans="1:8" ht="14.4" x14ac:dyDescent="0.3">
      <c r="A94" s="5">
        <f t="shared" si="3"/>
        <v>87</v>
      </c>
      <c r="B94" s="6" t="s">
        <v>492</v>
      </c>
      <c r="C94" s="6" t="s">
        <v>143</v>
      </c>
      <c r="D94" s="6" t="s">
        <v>17</v>
      </c>
      <c r="E94" s="6" t="s">
        <v>491</v>
      </c>
      <c r="F94" s="6" t="s">
        <v>259</v>
      </c>
      <c r="G94" s="6">
        <v>52355600</v>
      </c>
      <c r="H94" t="str">
        <f t="shared" si="2"/>
        <v>INSERT INTO `parqueadero`.`vehiculo` (`Oid`, `Placa`, `Medio`, `Tipo`, `Marca`, `Color`, `IdConductor`) VALUES ('87','JCX491','CAMIONETA','COMBUSTIBLE','RENAULT DUSTER','PLATEADO','52355600');</v>
      </c>
    </row>
    <row r="95" spans="1:8" ht="14.4" x14ac:dyDescent="0.3">
      <c r="A95" s="5">
        <f t="shared" si="3"/>
        <v>88</v>
      </c>
      <c r="B95" s="6" t="s">
        <v>496</v>
      </c>
      <c r="C95" s="6" t="s">
        <v>143</v>
      </c>
      <c r="D95" s="6" t="s">
        <v>17</v>
      </c>
      <c r="E95" s="6" t="s">
        <v>304</v>
      </c>
      <c r="F95" s="6" t="s">
        <v>66</v>
      </c>
      <c r="G95" s="6">
        <v>1010222054</v>
      </c>
      <c r="H95" t="str">
        <f t="shared" si="2"/>
        <v>INSERT INTO `parqueadero`.`vehiculo` (`Oid`, `Placa`, `Medio`, `Tipo`, `Marca`, `Color`, `IdConductor`) VALUES ('88','ELR761','CAMIONETA','COMBUSTIBLE','RENAULT','BLANCO','1010222054');</v>
      </c>
    </row>
    <row r="96" spans="1:8" ht="14.4" x14ac:dyDescent="0.3">
      <c r="A96" s="5">
        <f t="shared" si="3"/>
        <v>89</v>
      </c>
      <c r="B96" s="6" t="s">
        <v>502</v>
      </c>
      <c r="C96" s="6" t="s">
        <v>115</v>
      </c>
      <c r="D96" s="6" t="s">
        <v>17</v>
      </c>
      <c r="E96" s="6" t="s">
        <v>501</v>
      </c>
      <c r="F96" s="6" t="s">
        <v>259</v>
      </c>
      <c r="G96" s="6">
        <v>1022332783</v>
      </c>
      <c r="H96" t="str">
        <f t="shared" si="2"/>
        <v>INSERT INTO `parqueadero`.`vehiculo` (`Oid`, `Placa`, `Medio`, `Tipo`, `Marca`, `Color`, `IdConductor`) VALUES ('89','DCT374','AUTOMÓVIL','COMBUSTIBLE','NISSAN','PLATEADO','1022332783');</v>
      </c>
    </row>
    <row r="97" spans="1:8" ht="14.4" x14ac:dyDescent="0.3">
      <c r="A97" s="5">
        <f t="shared" si="3"/>
        <v>90</v>
      </c>
      <c r="B97" s="6" t="s">
        <v>507</v>
      </c>
      <c r="C97" s="6" t="s">
        <v>143</v>
      </c>
      <c r="D97" s="6" t="s">
        <v>17</v>
      </c>
      <c r="E97" s="6" t="s">
        <v>506</v>
      </c>
      <c r="F97" s="6" t="s">
        <v>24</v>
      </c>
      <c r="G97" s="6">
        <v>80723272</v>
      </c>
      <c r="H97" t="str">
        <f t="shared" si="2"/>
        <v>INSERT INTO `parqueadero`.`vehiculo` (`Oid`, `Placa`, `Medio`, `Tipo`, `Marca`, `Color`, `IdConductor`) VALUES ('90','JVS865','CAMIONETA','COMBUSTIBLE','VOLKSWAGEN TIGUAN','NEGRO','80723272');</v>
      </c>
    </row>
    <row r="98" spans="1:8" ht="14.4" x14ac:dyDescent="0.3">
      <c r="A98" s="5">
        <f t="shared" si="3"/>
        <v>91</v>
      </c>
      <c r="B98" s="6" t="s">
        <v>511</v>
      </c>
      <c r="C98" s="6" t="s">
        <v>143</v>
      </c>
      <c r="D98" s="6" t="s">
        <v>17</v>
      </c>
      <c r="E98" s="6" t="s">
        <v>56</v>
      </c>
      <c r="F98" s="6" t="s">
        <v>512</v>
      </c>
      <c r="G98" s="6">
        <v>52267468</v>
      </c>
      <c r="H98" t="str">
        <f t="shared" si="2"/>
        <v>INSERT INTO `parqueadero`.`vehiculo` (`Oid`, `Placa`, `Medio`, `Tipo`, `Marca`, `Color`, `IdConductor`) VALUES ('91','DDD459','CAMIONETA','COMBUSTIBLE','HONDA','COBRE','52267468');</v>
      </c>
    </row>
    <row r="99" spans="1:8" ht="14.4" x14ac:dyDescent="0.3">
      <c r="A99" s="5">
        <f t="shared" si="3"/>
        <v>92</v>
      </c>
      <c r="B99" s="6" t="s">
        <v>517</v>
      </c>
      <c r="C99" s="6" t="s">
        <v>2195</v>
      </c>
      <c r="D99" s="6" t="s">
        <v>17</v>
      </c>
      <c r="E99" s="6" t="s">
        <v>701</v>
      </c>
      <c r="F99" s="6" t="s">
        <v>24</v>
      </c>
      <c r="G99" s="6">
        <v>11204191</v>
      </c>
      <c r="H99" t="str">
        <f t="shared" si="2"/>
        <v>INSERT INTO `parqueadero`.`vehiculo` (`Oid`, `Placa`, `Medio`, `Tipo`, `Marca`, `Color`, `IdConductor`) VALUES ('92','OBG31E','MOTOCICLETA','COMBUSTIBLE','YAMAHA','NEGRO','11204191');</v>
      </c>
    </row>
    <row r="100" spans="1:8" ht="14.4" x14ac:dyDescent="0.3">
      <c r="A100" s="5">
        <f t="shared" si="3"/>
        <v>93</v>
      </c>
      <c r="B100" s="6" t="s">
        <v>521</v>
      </c>
      <c r="C100" s="6" t="s">
        <v>115</v>
      </c>
      <c r="D100" s="6" t="s">
        <v>17</v>
      </c>
      <c r="E100" s="6" t="s">
        <v>304</v>
      </c>
      <c r="F100" s="6" t="s">
        <v>24</v>
      </c>
      <c r="G100" s="6">
        <v>52096386</v>
      </c>
      <c r="H100" t="str">
        <f t="shared" si="2"/>
        <v>INSERT INTO `parqueadero`.`vehiculo` (`Oid`, `Placa`, `Medio`, `Tipo`, `Marca`, `Color`, `IdConductor`) VALUES ('93','RMM055','AUTOMÓVIL','COMBUSTIBLE','RENAULT','NEGRO','52096386');</v>
      </c>
    </row>
    <row r="101" spans="1:8" ht="14.4" x14ac:dyDescent="0.3">
      <c r="A101" s="5">
        <f t="shared" si="3"/>
        <v>94</v>
      </c>
      <c r="B101" s="6" t="s">
        <v>525</v>
      </c>
      <c r="C101" s="6" t="s">
        <v>143</v>
      </c>
      <c r="D101" s="6" t="s">
        <v>17</v>
      </c>
      <c r="E101" s="6" t="s">
        <v>75</v>
      </c>
      <c r="F101" s="6" t="s">
        <v>166</v>
      </c>
      <c r="G101" s="6">
        <v>396645660</v>
      </c>
      <c r="H101" t="str">
        <f t="shared" si="2"/>
        <v>INSERT INTO `parqueadero`.`vehiculo` (`Oid`, `Placa`, `Medio`, `Tipo`, `Marca`, `Color`, `IdConductor`) VALUES ('94','KPK172','CAMIONETA','COMBUSTIBLE','MAZDA','GRIS OSCURO','396645660');</v>
      </c>
    </row>
    <row r="102" spans="1:8" ht="14.4" x14ac:dyDescent="0.3">
      <c r="A102" s="5">
        <f t="shared" si="3"/>
        <v>95</v>
      </c>
      <c r="B102" s="6" t="s">
        <v>530</v>
      </c>
      <c r="C102" s="6" t="s">
        <v>143</v>
      </c>
      <c r="D102" s="6" t="s">
        <v>17</v>
      </c>
      <c r="E102" s="6" t="s">
        <v>304</v>
      </c>
      <c r="F102" s="6" t="s">
        <v>60</v>
      </c>
      <c r="G102" s="6">
        <v>1023867746</v>
      </c>
      <c r="H102" t="str">
        <f t="shared" si="2"/>
        <v>INSERT INTO `parqueadero`.`vehiculo` (`Oid`, `Placa`, `Medio`, `Tipo`, `Marca`, `Color`, `IdConductor`) VALUES ('95','JNO190','CAMIONETA','COMBUSTIBLE','RENAULT','GRIS','1023867746');</v>
      </c>
    </row>
    <row r="103" spans="1:8" ht="14.4" x14ac:dyDescent="0.3">
      <c r="A103" s="5">
        <f t="shared" si="3"/>
        <v>96</v>
      </c>
      <c r="B103" s="6" t="s">
        <v>534</v>
      </c>
      <c r="C103" s="6" t="s">
        <v>115</v>
      </c>
      <c r="D103" s="6" t="s">
        <v>17</v>
      </c>
      <c r="E103" s="6" t="s">
        <v>75</v>
      </c>
      <c r="F103" s="6" t="s">
        <v>166</v>
      </c>
      <c r="G103" s="6">
        <v>79844430</v>
      </c>
      <c r="H103" t="str">
        <f t="shared" si="2"/>
        <v>INSERT INTO `parqueadero`.`vehiculo` (`Oid`, `Placa`, `Medio`, `Tipo`, `Marca`, `Color`, `IdConductor`) VALUES ('96','DZV347','AUTOMÓVIL','COMBUSTIBLE','MAZDA','GRIS OSCURO','79844430');</v>
      </c>
    </row>
    <row r="104" spans="1:8" ht="14.4" x14ac:dyDescent="0.3">
      <c r="A104" s="5">
        <f t="shared" si="3"/>
        <v>97</v>
      </c>
      <c r="B104" s="6" t="s">
        <v>538</v>
      </c>
      <c r="C104" s="6" t="s">
        <v>115</v>
      </c>
      <c r="D104" s="6" t="s">
        <v>17</v>
      </c>
      <c r="E104" s="6" t="s">
        <v>320</v>
      </c>
      <c r="F104" s="6" t="s">
        <v>18</v>
      </c>
      <c r="G104" s="6">
        <v>50939844</v>
      </c>
      <c r="H104" t="str">
        <f t="shared" si="2"/>
        <v>INSERT INTO `parqueadero`.`vehiculo` (`Oid`, `Placa`, `Medio`, `Tipo`, `Marca`, `Color`, `IdConductor`) VALUES ('97','DBI304','AUTOMÓVIL','COMBUSTIBLE','AUDI','AZUL','50939844');</v>
      </c>
    </row>
    <row r="105" spans="1:8" ht="14.4" x14ac:dyDescent="0.3">
      <c r="A105" s="5">
        <f t="shared" si="3"/>
        <v>98</v>
      </c>
      <c r="B105" s="17" t="s">
        <v>542</v>
      </c>
      <c r="C105" s="6" t="s">
        <v>115</v>
      </c>
      <c r="D105" s="17" t="s">
        <v>17</v>
      </c>
      <c r="E105" s="6" t="s">
        <v>202</v>
      </c>
      <c r="F105" s="17" t="s">
        <v>66</v>
      </c>
      <c r="G105" s="17">
        <v>1020834737</v>
      </c>
      <c r="H105" t="str">
        <f t="shared" si="2"/>
        <v>INSERT INTO `parqueadero`.`vehiculo` (`Oid`, `Placa`, `Medio`, `Tipo`, `Marca`, `Color`, `IdConductor`) VALUES ('98','JNQ616','AUTOMÓVIL','COMBUSTIBLE','VOLKSWAGEN','BLANCO','1020834737');</v>
      </c>
    </row>
    <row r="106" spans="1:8" ht="14.4" x14ac:dyDescent="0.3">
      <c r="A106" s="5">
        <f t="shared" si="3"/>
        <v>99</v>
      </c>
      <c r="B106" s="17" t="s">
        <v>546</v>
      </c>
      <c r="C106" s="6" t="s">
        <v>115</v>
      </c>
      <c r="D106" s="17" t="s">
        <v>17</v>
      </c>
      <c r="E106" s="17" t="s">
        <v>501</v>
      </c>
      <c r="F106" s="17" t="s">
        <v>60</v>
      </c>
      <c r="G106" s="17">
        <v>13741047</v>
      </c>
      <c r="H106" t="str">
        <f t="shared" si="2"/>
        <v>INSERT INTO `parqueadero`.`vehiculo` (`Oid`, `Placa`, `Medio`, `Tipo`, `Marca`, `Color`, `IdConductor`) VALUES ('99','JBN324','AUTOMÓVIL','COMBUSTIBLE','NISSAN','GRIS','13741047');</v>
      </c>
    </row>
    <row r="107" spans="1:8" ht="14.4" x14ac:dyDescent="0.3">
      <c r="A107" s="5">
        <f t="shared" si="3"/>
        <v>100</v>
      </c>
      <c r="B107" s="6" t="s">
        <v>555</v>
      </c>
      <c r="C107" s="6" t="s">
        <v>115</v>
      </c>
      <c r="D107" s="6" t="s">
        <v>17</v>
      </c>
      <c r="E107" s="6" t="s">
        <v>294</v>
      </c>
      <c r="F107" s="6" t="s">
        <v>60</v>
      </c>
      <c r="G107" s="6">
        <v>52715205</v>
      </c>
      <c r="H107" t="str">
        <f t="shared" si="2"/>
        <v>INSERT INTO `parqueadero`.`vehiculo` (`Oid`, `Placa`, `Medio`, `Tipo`, `Marca`, `Color`, `IdConductor`) VALUES ('100','JDV193','AUTOMÓVIL','COMBUSTIBLE','FORD','GRIS','52715205');</v>
      </c>
    </row>
    <row r="108" spans="1:8" ht="14.4" x14ac:dyDescent="0.3">
      <c r="A108" s="5">
        <f t="shared" si="3"/>
        <v>101</v>
      </c>
      <c r="B108" s="6" t="s">
        <v>560</v>
      </c>
      <c r="C108" s="6" t="s">
        <v>143</v>
      </c>
      <c r="D108" s="6" t="s">
        <v>17</v>
      </c>
      <c r="E108" s="6" t="s">
        <v>214</v>
      </c>
      <c r="F108" s="6" t="s">
        <v>60</v>
      </c>
      <c r="G108" s="6">
        <v>30393634</v>
      </c>
      <c r="H108" t="str">
        <f t="shared" si="2"/>
        <v>INSERT INTO `parqueadero`.`vehiculo` (`Oid`, `Placa`, `Medio`, `Tipo`, `Marca`, `Color`, `IdConductor`) VALUES ('101','JNK827','CAMIONETA','COMBUSTIBLE','CHEVROLET TRACKER','GRIS','30393634');</v>
      </c>
    </row>
    <row r="109" spans="1:8" ht="14.4" x14ac:dyDescent="0.3">
      <c r="A109" s="5">
        <f t="shared" si="3"/>
        <v>102</v>
      </c>
      <c r="B109" s="6" t="s">
        <v>564</v>
      </c>
      <c r="C109" s="6" t="s">
        <v>115</v>
      </c>
      <c r="D109" s="6" t="s">
        <v>17</v>
      </c>
      <c r="E109" s="6" t="s">
        <v>75</v>
      </c>
      <c r="F109" s="6" t="s">
        <v>259</v>
      </c>
      <c r="G109" s="6">
        <v>79950133</v>
      </c>
      <c r="H109" t="str">
        <f t="shared" si="2"/>
        <v>INSERT INTO `parqueadero`.`vehiculo` (`Oid`, `Placa`, `Medio`, `Tipo`, `Marca`, `Color`, `IdConductor`) VALUES ('102','BYR110','AUTOMÓVIL','COMBUSTIBLE','MAZDA','PLATEADO','79950133');</v>
      </c>
    </row>
    <row r="110" spans="1:8" ht="14.4" x14ac:dyDescent="0.3">
      <c r="A110" s="5">
        <f t="shared" si="3"/>
        <v>103</v>
      </c>
      <c r="B110" s="6" t="s">
        <v>569</v>
      </c>
      <c r="C110" s="6" t="s">
        <v>143</v>
      </c>
      <c r="D110" s="6" t="s">
        <v>17</v>
      </c>
      <c r="E110" s="6" t="s">
        <v>94</v>
      </c>
      <c r="F110" s="6" t="s">
        <v>18</v>
      </c>
      <c r="G110" s="6">
        <v>1030589207</v>
      </c>
      <c r="H110" t="str">
        <f t="shared" si="2"/>
        <v>INSERT INTO `parqueadero`.`vehiculo` (`Oid`, `Placa`, `Medio`, `Tipo`, `Marca`, `Color`, `IdConductor`) VALUES ('103','LNP411','CAMIONETA','COMBUSTIBLE','VOLKSWAGEN T-CROSS','AZUL','1030589207');</v>
      </c>
    </row>
    <row r="111" spans="1:8" ht="14.4" x14ac:dyDescent="0.3">
      <c r="A111" s="5">
        <f t="shared" si="3"/>
        <v>104</v>
      </c>
      <c r="B111" s="6" t="s">
        <v>573</v>
      </c>
      <c r="C111" s="6" t="s">
        <v>2195</v>
      </c>
      <c r="D111" s="6" t="s">
        <v>17</v>
      </c>
      <c r="E111" s="6" t="s">
        <v>701</v>
      </c>
      <c r="F111" s="6" t="s">
        <v>18</v>
      </c>
      <c r="G111" s="6">
        <v>1019060772</v>
      </c>
      <c r="H111" t="str">
        <f t="shared" si="2"/>
        <v>INSERT INTO `parqueadero`.`vehiculo` (`Oid`, `Placa`, `Medio`, `Tipo`, `Marca`, `Color`, `IdConductor`) VALUES ('104','EHM75F','MOTOCICLETA','COMBUSTIBLE','YAMAHA','AZUL','1019060772');</v>
      </c>
    </row>
    <row r="112" spans="1:8" ht="14.4" x14ac:dyDescent="0.3">
      <c r="A112" s="5">
        <f t="shared" si="3"/>
        <v>105</v>
      </c>
      <c r="B112" s="6" t="s">
        <v>577</v>
      </c>
      <c r="C112" s="6" t="s">
        <v>115</v>
      </c>
      <c r="D112" s="6" t="s">
        <v>129</v>
      </c>
      <c r="E112" s="6" t="s">
        <v>22</v>
      </c>
      <c r="F112" s="6" t="s">
        <v>578</v>
      </c>
      <c r="G112" s="6">
        <v>79938373</v>
      </c>
      <c r="H112" t="str">
        <f t="shared" si="2"/>
        <v>INSERT INTO `parqueadero`.`vehiculo` (`Oid`, `Placa`, `Medio`, `Tipo`, `Marca`, `Color`, `IdConductor`) VALUES ('105','NIU313','AUTOMÓVIL','ELÉCTRICO','BYD','GRIS CHAMPAÑA','79938373');</v>
      </c>
    </row>
    <row r="113" spans="1:8" ht="14.4" x14ac:dyDescent="0.3">
      <c r="A113" s="5">
        <f t="shared" si="3"/>
        <v>106</v>
      </c>
      <c r="B113" s="17" t="s">
        <v>583</v>
      </c>
      <c r="C113" s="6" t="s">
        <v>2195</v>
      </c>
      <c r="D113" s="17" t="s">
        <v>17</v>
      </c>
      <c r="E113" s="17" t="s">
        <v>56</v>
      </c>
      <c r="F113" s="17" t="s">
        <v>44</v>
      </c>
      <c r="G113" s="17">
        <v>85203798</v>
      </c>
      <c r="H113" t="str">
        <f t="shared" si="2"/>
        <v>INSERT INTO `parqueadero`.`vehiculo` (`Oid`, `Placa`, `Medio`, `Tipo`, `Marca`, `Color`, `IdConductor`) VALUES ('106','BHT12C','MOTOCICLETA','COMBUSTIBLE','HONDA','ROJO','85203798');</v>
      </c>
    </row>
    <row r="114" spans="1:8" ht="14.4" x14ac:dyDescent="0.3">
      <c r="A114" s="5">
        <f t="shared" si="3"/>
        <v>107</v>
      </c>
      <c r="B114" s="17" t="s">
        <v>588</v>
      </c>
      <c r="C114" s="6" t="s">
        <v>143</v>
      </c>
      <c r="D114" s="17" t="s">
        <v>17</v>
      </c>
      <c r="E114" s="17" t="s">
        <v>164</v>
      </c>
      <c r="F114" s="17" t="s">
        <v>589</v>
      </c>
      <c r="G114" s="17">
        <v>1001090013</v>
      </c>
      <c r="H114" t="str">
        <f t="shared" si="2"/>
        <v>INSERT INTO `parqueadero`.`vehiculo` (`Oid`, `Placa`, `Medio`, `Tipo`, `Marca`, `Color`, `IdConductor`) VALUES ('107','UBZ404','CAMIONETA','COMBUSTIBLE','KIA','GRIS OBSCURO','1001090013');</v>
      </c>
    </row>
    <row r="115" spans="1:8" ht="14.4" x14ac:dyDescent="0.3">
      <c r="A115" s="5">
        <f t="shared" si="3"/>
        <v>108</v>
      </c>
      <c r="B115" s="6" t="s">
        <v>593</v>
      </c>
      <c r="C115" s="6" t="s">
        <v>143</v>
      </c>
      <c r="D115" s="6" t="s">
        <v>17</v>
      </c>
      <c r="E115" s="6" t="s">
        <v>294</v>
      </c>
      <c r="F115" s="6" t="s">
        <v>66</v>
      </c>
      <c r="G115" s="6">
        <v>1049616323</v>
      </c>
      <c r="H115" t="str">
        <f t="shared" si="2"/>
        <v>INSERT INTO `parqueadero`.`vehiculo` (`Oid`, `Placa`, `Medio`, `Tipo`, `Marca`, `Color`, `IdConductor`) VALUES ('108','DAX652','CAMIONETA','COMBUSTIBLE','FORD','BLANCO','1049616323');</v>
      </c>
    </row>
    <row r="116" spans="1:8" ht="14.4" x14ac:dyDescent="0.3">
      <c r="A116" s="5">
        <f t="shared" si="3"/>
        <v>109</v>
      </c>
      <c r="B116" s="6" t="s">
        <v>597</v>
      </c>
      <c r="C116" s="6" t="s">
        <v>115</v>
      </c>
      <c r="D116" s="6" t="s">
        <v>253</v>
      </c>
      <c r="E116" s="6" t="s">
        <v>64</v>
      </c>
      <c r="F116" s="6" t="s">
        <v>66</v>
      </c>
      <c r="G116" s="6">
        <v>1015461189</v>
      </c>
      <c r="H116" t="str">
        <f t="shared" si="2"/>
        <v>INSERT INTO `parqueadero`.`vehiculo` (`Oid`, `Placa`, `Medio`, `Tipo`, `Marca`, `Color`, `IdConductor`) VALUES ('109','JVT391','AUTOMÓVIL','HÍBRIDO','TOYOTA','BLANCO','1015461189');</v>
      </c>
    </row>
    <row r="117" spans="1:8" ht="14.4" x14ac:dyDescent="0.3">
      <c r="A117" s="5">
        <f t="shared" si="3"/>
        <v>110</v>
      </c>
      <c r="B117" s="6" t="s">
        <v>601</v>
      </c>
      <c r="C117" s="6" t="s">
        <v>115</v>
      </c>
      <c r="D117" s="6" t="s">
        <v>253</v>
      </c>
      <c r="E117" s="6" t="s">
        <v>75</v>
      </c>
      <c r="F117" s="6" t="s">
        <v>602</v>
      </c>
      <c r="G117" s="6">
        <v>1032400206</v>
      </c>
      <c r="H117" t="str">
        <f t="shared" si="2"/>
        <v>INSERT INTO `parqueadero`.`vehiculo` (`Oid`, `Placa`, `Medio`, `Tipo`, `Marca`, `Color`, `IdConductor`) VALUES ('110','PCU762','AUTOMÓVIL','HÍBRIDO','MAZDA','GRIS AERO','1032400206');</v>
      </c>
    </row>
    <row r="118" spans="1:8" ht="14.4" x14ac:dyDescent="0.3">
      <c r="A118" s="5">
        <f t="shared" si="3"/>
        <v>111</v>
      </c>
      <c r="B118" s="17" t="s">
        <v>607</v>
      </c>
      <c r="C118" s="6" t="s">
        <v>2195</v>
      </c>
      <c r="D118" s="17" t="s">
        <v>17</v>
      </c>
      <c r="E118" s="17" t="s">
        <v>606</v>
      </c>
      <c r="F118" s="17" t="s">
        <v>608</v>
      </c>
      <c r="G118" s="17">
        <v>80505613</v>
      </c>
      <c r="H118" t="str">
        <f t="shared" si="2"/>
        <v>INSERT INTO `parqueadero`.`vehiculo` (`Oid`, `Placa`, `Medio`, `Tipo`, `Marca`, `Color`, `IdConductor`) VALUES ('111','KJJ76G','MOTOCICLETA','COMBUSTIBLE','ROYAL ENFIEL SCRAM','GRIS, NEGRO AZUL','80505613');</v>
      </c>
    </row>
    <row r="119" spans="1:8" ht="14.4" x14ac:dyDescent="0.3">
      <c r="A119" s="5">
        <f t="shared" si="3"/>
        <v>112</v>
      </c>
      <c r="B119" s="6" t="s">
        <v>612</v>
      </c>
      <c r="C119" s="6" t="s">
        <v>115</v>
      </c>
      <c r="D119" s="6" t="s">
        <v>17</v>
      </c>
      <c r="E119" s="6" t="s">
        <v>116</v>
      </c>
      <c r="F119" s="6" t="s">
        <v>66</v>
      </c>
      <c r="G119" s="6">
        <v>1015444843</v>
      </c>
      <c r="H119" t="str">
        <f t="shared" si="2"/>
        <v>INSERT INTO `parqueadero`.`vehiculo` (`Oid`, `Placa`, `Medio`, `Tipo`, `Marca`, `Color`, `IdConductor`) VALUES ('112','UTQ561','AUTOMÓVIL','COMBUSTIBLE','HYUNDAI','BLANCO','1015444843');</v>
      </c>
    </row>
    <row r="120" spans="1:8" ht="14.4" x14ac:dyDescent="0.3">
      <c r="A120" s="5">
        <f t="shared" si="3"/>
        <v>113</v>
      </c>
      <c r="B120" s="6" t="s">
        <v>617</v>
      </c>
      <c r="C120" s="6" t="s">
        <v>115</v>
      </c>
      <c r="D120" s="6" t="s">
        <v>253</v>
      </c>
      <c r="E120" s="6" t="s">
        <v>276</v>
      </c>
      <c r="F120" s="6" t="s">
        <v>797</v>
      </c>
      <c r="G120" s="6">
        <v>39698825</v>
      </c>
      <c r="H120" t="str">
        <f t="shared" si="2"/>
        <v>INSERT INTO `parqueadero`.`vehiculo` (`Oid`, `Placa`, `Medio`, `Tipo`, `Marca`, `Color`, `IdConductor`) VALUES ('113','KWZ109','AUTOMÓVIL','HÍBRIDO','SUZUKI','ROJO - NEGRO','39698825');</v>
      </c>
    </row>
    <row r="121" spans="1:8" ht="14.4" x14ac:dyDescent="0.3">
      <c r="A121" s="5">
        <f t="shared" si="3"/>
        <v>114</v>
      </c>
      <c r="B121" s="6" t="s">
        <v>621</v>
      </c>
      <c r="C121" s="6" t="s">
        <v>143</v>
      </c>
      <c r="D121" s="6" t="s">
        <v>253</v>
      </c>
      <c r="E121" s="6" t="s">
        <v>64</v>
      </c>
      <c r="F121" s="6" t="s">
        <v>18</v>
      </c>
      <c r="G121" s="6">
        <v>53047446</v>
      </c>
      <c r="H121" t="str">
        <f t="shared" si="2"/>
        <v>INSERT INTO `parqueadero`.`vehiculo` (`Oid`, `Placa`, `Medio`, `Tipo`, `Marca`, `Color`, `IdConductor`) VALUES ('114','KXR481','CAMIONETA','HÍBRIDO','TOYOTA','AZUL','53047446');</v>
      </c>
    </row>
    <row r="122" spans="1:8" ht="14.4" x14ac:dyDescent="0.3">
      <c r="A122" s="5">
        <f t="shared" si="3"/>
        <v>115</v>
      </c>
      <c r="B122" s="6" t="s">
        <v>625</v>
      </c>
      <c r="C122" s="6" t="s">
        <v>2195</v>
      </c>
      <c r="D122" s="6" t="s">
        <v>17</v>
      </c>
      <c r="E122" s="6" t="s">
        <v>276</v>
      </c>
      <c r="F122" s="6" t="s">
        <v>157</v>
      </c>
      <c r="G122" s="6">
        <v>1019104675</v>
      </c>
      <c r="H122" t="str">
        <f t="shared" si="2"/>
        <v>INSERT INTO `parqueadero`.`vehiculo` (`Oid`, `Placa`, `Medio`, `Tipo`, `Marca`, `Color`, `IdConductor`) VALUES ('115','SCX09F','MOTOCICLETA','COMBUSTIBLE','SUZUKI','NEGRA','1019104675');</v>
      </c>
    </row>
    <row r="123" spans="1:8" ht="14.4" x14ac:dyDescent="0.3">
      <c r="A123" s="5">
        <f t="shared" si="3"/>
        <v>116</v>
      </c>
      <c r="B123" s="6" t="s">
        <v>629</v>
      </c>
      <c r="C123" s="6" t="s">
        <v>115</v>
      </c>
      <c r="D123" s="6" t="s">
        <v>17</v>
      </c>
      <c r="E123" s="6" t="s">
        <v>75</v>
      </c>
      <c r="F123" s="6" t="s">
        <v>630</v>
      </c>
      <c r="G123" s="6">
        <v>19325842</v>
      </c>
      <c r="H123" t="str">
        <f t="shared" si="2"/>
        <v>INSERT INTO `parqueadero`.`vehiculo` (`Oid`, `Placa`, `Medio`, `Tipo`, `Marca`, `Color`, `IdConductor`) VALUES ('116','CSF967','AUTOMÓVIL','COMBUSTIBLE','MAZDA','ROJO CONTINENTAL','19325842');</v>
      </c>
    </row>
    <row r="124" spans="1:8" ht="14.4" x14ac:dyDescent="0.3">
      <c r="A124" s="5">
        <f t="shared" si="3"/>
        <v>117</v>
      </c>
      <c r="B124" s="6" t="s">
        <v>634</v>
      </c>
      <c r="C124" s="6" t="s">
        <v>143</v>
      </c>
      <c r="D124" s="6" t="s">
        <v>253</v>
      </c>
      <c r="E124" s="6" t="s">
        <v>116</v>
      </c>
      <c r="F124" s="6" t="s">
        <v>66</v>
      </c>
      <c r="G124" s="6">
        <v>1031156687</v>
      </c>
      <c r="H124" t="str">
        <f t="shared" si="2"/>
        <v>INSERT INTO `parqueadero`.`vehiculo` (`Oid`, `Placa`, `Medio`, `Tipo`, `Marca`, `Color`, `IdConductor`) VALUES ('117','PCM045','CAMIONETA','HÍBRIDO','HYUNDAI','BLANCO','1031156687');</v>
      </c>
    </row>
    <row r="125" spans="1:8" ht="14.4" x14ac:dyDescent="0.3">
      <c r="A125" s="5">
        <f t="shared" si="3"/>
        <v>118</v>
      </c>
      <c r="B125" s="17" t="s">
        <v>639</v>
      </c>
      <c r="C125" s="6" t="s">
        <v>143</v>
      </c>
      <c r="D125" s="6" t="s">
        <v>253</v>
      </c>
      <c r="E125" s="17" t="s">
        <v>2291</v>
      </c>
      <c r="F125" s="17" t="s">
        <v>259</v>
      </c>
      <c r="G125" s="17">
        <v>52453674</v>
      </c>
      <c r="H125" t="str">
        <f t="shared" si="2"/>
        <v>INSERT INTO `parqueadero`.`vehiculo` (`Oid`, `Placa`, `Medio`, `Tipo`, `Marca`, `Color`, `IdConductor`) VALUES ('118','LWM872','CAMIONETA','HÍBRIDO','TOYOTA CROSS','PLATEADO','52453674');</v>
      </c>
    </row>
    <row r="126" spans="1:8" ht="14.4" x14ac:dyDescent="0.3">
      <c r="A126" s="5">
        <f t="shared" si="3"/>
        <v>119</v>
      </c>
      <c r="B126" s="6" t="s">
        <v>643</v>
      </c>
      <c r="C126" s="6" t="s">
        <v>2195</v>
      </c>
      <c r="D126" s="6" t="s">
        <v>17</v>
      </c>
      <c r="E126" s="6" t="s">
        <v>175</v>
      </c>
      <c r="F126" s="6" t="s">
        <v>60</v>
      </c>
      <c r="G126" s="6">
        <v>1023943099</v>
      </c>
      <c r="H126" t="str">
        <f t="shared" si="2"/>
        <v>INSERT INTO `parqueadero`.`vehiculo` (`Oid`, `Placa`, `Medio`, `Tipo`, `Marca`, `Color`, `IdConductor`) VALUES ('119','MYL89H','MOTOCICLETA','COMBUSTIBLE','AKT','GRIS','1023943099');</v>
      </c>
    </row>
    <row r="127" spans="1:8" ht="14.4" x14ac:dyDescent="0.3">
      <c r="A127" s="5">
        <f t="shared" si="3"/>
        <v>120</v>
      </c>
      <c r="B127" s="6" t="s">
        <v>647</v>
      </c>
      <c r="C127" s="6" t="s">
        <v>143</v>
      </c>
      <c r="D127" s="6" t="s">
        <v>17</v>
      </c>
      <c r="E127" s="6" t="s">
        <v>276</v>
      </c>
      <c r="F127" s="6" t="s">
        <v>66</v>
      </c>
      <c r="G127" s="6">
        <v>1020833621</v>
      </c>
      <c r="H127" t="str">
        <f t="shared" si="2"/>
        <v>INSERT INTO `parqueadero`.`vehiculo` (`Oid`, `Placa`, `Medio`, `Tipo`, `Marca`, `Color`, `IdConductor`) VALUES ('120','LMZ504','CAMIONETA','COMBUSTIBLE','SUZUKI','BLANCO','1020833621');</v>
      </c>
    </row>
    <row r="128" spans="1:8" ht="14.4" x14ac:dyDescent="0.3">
      <c r="A128" s="5">
        <f t="shared" si="3"/>
        <v>121</v>
      </c>
      <c r="B128" s="6" t="s">
        <v>652</v>
      </c>
      <c r="C128" s="6" t="s">
        <v>115</v>
      </c>
      <c r="D128" s="6" t="s">
        <v>17</v>
      </c>
      <c r="E128" s="6" t="s">
        <v>138</v>
      </c>
      <c r="F128" s="6" t="s">
        <v>653</v>
      </c>
      <c r="G128" s="6">
        <v>1032464919</v>
      </c>
      <c r="H128" t="str">
        <f t="shared" si="2"/>
        <v>INSERT INTO `parqueadero`.`vehiculo` (`Oid`, `Placa`, `Medio`, `Tipo`, `Marca`, `Color`, `IdConductor`) VALUES ('121','MJW540','AUTOMÓVIL','COMBUSTIBLE','RENAULT SANDERO','VINOTINTO','1032464919');</v>
      </c>
    </row>
    <row r="129" spans="1:8" ht="14.4" x14ac:dyDescent="0.3">
      <c r="A129" s="5">
        <f t="shared" si="3"/>
        <v>122</v>
      </c>
      <c r="B129" s="6" t="s">
        <v>658</v>
      </c>
      <c r="C129" s="6" t="s">
        <v>143</v>
      </c>
      <c r="D129" s="6" t="s">
        <v>17</v>
      </c>
      <c r="E129" s="6" t="s">
        <v>2292</v>
      </c>
      <c r="F129" s="6" t="s">
        <v>60</v>
      </c>
      <c r="G129" s="6">
        <v>1070306077</v>
      </c>
      <c r="H129" t="str">
        <f t="shared" si="2"/>
        <v>INSERT INTO `parqueadero`.`vehiculo` (`Oid`, `Placa`, `Medio`, `Tipo`, `Marca`, `Color`, `IdConductor`) VALUES ('122','LWM992','CAMIONETA','COMBUSTIBLE','MITSUBISHI','GRIS','1070306077');</v>
      </c>
    </row>
    <row r="130" spans="1:8" ht="14.4" x14ac:dyDescent="0.3">
      <c r="A130" s="5">
        <f t="shared" si="3"/>
        <v>123</v>
      </c>
      <c r="B130" s="6" t="s">
        <v>666</v>
      </c>
      <c r="C130" s="6" t="s">
        <v>115</v>
      </c>
      <c r="D130" s="6" t="s">
        <v>17</v>
      </c>
      <c r="E130" s="6" t="s">
        <v>116</v>
      </c>
      <c r="F130" s="6" t="s">
        <v>60</v>
      </c>
      <c r="G130" s="6">
        <v>1019023084</v>
      </c>
      <c r="H130" t="str">
        <f t="shared" si="2"/>
        <v>INSERT INTO `parqueadero`.`vehiculo` (`Oid`, `Placa`, `Medio`, `Tipo`, `Marca`, `Color`, `IdConductor`) VALUES ('123','KYZ718','AUTOMÓVIL','COMBUSTIBLE','HYUNDAI','GRIS','1019023084');</v>
      </c>
    </row>
    <row r="131" spans="1:8" ht="14.4" x14ac:dyDescent="0.3">
      <c r="A131" s="5">
        <f t="shared" si="3"/>
        <v>124</v>
      </c>
      <c r="B131" s="6" t="s">
        <v>671</v>
      </c>
      <c r="C131" s="6" t="s">
        <v>2195</v>
      </c>
      <c r="D131" s="6" t="s">
        <v>17</v>
      </c>
      <c r="E131" s="6" t="s">
        <v>670</v>
      </c>
      <c r="F131" s="6" t="s">
        <v>2300</v>
      </c>
      <c r="G131" s="6">
        <v>1022356860</v>
      </c>
      <c r="H131" t="str">
        <f t="shared" si="2"/>
        <v>INSERT INTO `parqueadero`.`vehiculo` (`Oid`, `Placa`, `Medio`, `Tipo`, `Marca`, `Color`, `IdConductor`) VALUES ('124','FUA84H','MOTOCICLETA','COMBUSTIBLE','TRIUMPH','GRIS NARANJA','1022356860');</v>
      </c>
    </row>
    <row r="132" spans="1:8" ht="14.4" x14ac:dyDescent="0.3">
      <c r="A132" s="5">
        <f t="shared" si="3"/>
        <v>125</v>
      </c>
      <c r="B132" s="6" t="s">
        <v>677</v>
      </c>
      <c r="C132" s="6" t="s">
        <v>115</v>
      </c>
      <c r="D132" s="6" t="s">
        <v>253</v>
      </c>
      <c r="E132" s="6" t="s">
        <v>2293</v>
      </c>
      <c r="F132" s="6" t="s">
        <v>60</v>
      </c>
      <c r="G132" s="6">
        <v>51974917</v>
      </c>
      <c r="H132" t="str">
        <f t="shared" si="2"/>
        <v>INSERT INTO `parqueadero`.`vehiculo` (`Oid`, `Placa`, `Medio`, `Tipo`, `Marca`, `Color`, `IdConductor`) VALUES ('125','KXQ945','AUTOMÓVIL','HÍBRIDO','SWIFT','GRIS','51974917');</v>
      </c>
    </row>
    <row r="133" spans="1:8" ht="14.4" x14ac:dyDescent="0.3">
      <c r="A133" s="5">
        <f t="shared" si="3"/>
        <v>126</v>
      </c>
      <c r="B133" s="6" t="s">
        <v>682</v>
      </c>
      <c r="C133" s="6" t="s">
        <v>115</v>
      </c>
      <c r="D133" s="6" t="s">
        <v>17</v>
      </c>
      <c r="E133" s="6" t="s">
        <v>681</v>
      </c>
      <c r="F133" s="6" t="s">
        <v>683</v>
      </c>
      <c r="G133" s="6">
        <v>1233895766</v>
      </c>
      <c r="H133" t="str">
        <f t="shared" si="2"/>
        <v>INSERT INTO `parqueadero`.`vehiculo` (`Oid`, `Placa`, `Medio`, `Tipo`, `Marca`, `Color`, `IdConductor`) VALUES ('126','JLK455','AUTOMÓVIL','COMBUSTIBLE','MAZDA 2','GRIS MACHINE','1233895766');</v>
      </c>
    </row>
    <row r="134" spans="1:8" ht="14.4" x14ac:dyDescent="0.3">
      <c r="A134" s="5">
        <f t="shared" si="3"/>
        <v>127</v>
      </c>
      <c r="B134" s="6" t="s">
        <v>687</v>
      </c>
      <c r="C134" s="6" t="s">
        <v>115</v>
      </c>
      <c r="D134" s="6" t="s">
        <v>17</v>
      </c>
      <c r="E134" s="6" t="s">
        <v>337</v>
      </c>
      <c r="F134" s="6" t="s">
        <v>248</v>
      </c>
      <c r="G134" s="6">
        <v>10288931</v>
      </c>
      <c r="H134" t="str">
        <f t="shared" si="2"/>
        <v>INSERT INTO `parqueadero`.`vehiculo` (`Oid`, `Placa`, `Medio`, `Tipo`, `Marca`, `Color`, `IdConductor`) VALUES ('127','JDN117','AUTOMÓVIL','COMBUSTIBLE','MERCEDES BENZ','GRIS PLATA','10288931');</v>
      </c>
    </row>
    <row r="135" spans="1:8" ht="14.4" x14ac:dyDescent="0.3">
      <c r="A135" s="5">
        <f t="shared" ref="A135:A197" si="4">ROW()-7</f>
        <v>128</v>
      </c>
      <c r="B135" s="6" t="s">
        <v>692</v>
      </c>
      <c r="C135" s="6" t="s">
        <v>115</v>
      </c>
      <c r="D135" s="6" t="s">
        <v>17</v>
      </c>
      <c r="E135" s="6" t="s">
        <v>691</v>
      </c>
      <c r="F135" s="6" t="s">
        <v>693</v>
      </c>
      <c r="G135" s="6">
        <v>228042</v>
      </c>
      <c r="H135" t="str">
        <f t="shared" si="2"/>
        <v>INSERT INTO `parqueadero`.`vehiculo` (`Oid`, `Placa`, `Medio`, `Tipo`, `Marca`, `Color`, `IdConductor`) VALUES ('128','CYT553','AUTOMÓVIL','COMBUSTIBLE','RENAULT SCENIC','GRIS ECLIPSE','228042');</v>
      </c>
    </row>
    <row r="136" spans="1:8" ht="14.4" x14ac:dyDescent="0.3">
      <c r="A136" s="5">
        <f t="shared" si="4"/>
        <v>129</v>
      </c>
      <c r="B136" s="6" t="s">
        <v>697</v>
      </c>
      <c r="C136" s="6" t="s">
        <v>143</v>
      </c>
      <c r="D136" s="6" t="s">
        <v>17</v>
      </c>
      <c r="E136" s="6" t="s">
        <v>696</v>
      </c>
      <c r="F136" s="6" t="s">
        <v>60</v>
      </c>
      <c r="G136" s="6">
        <v>7217591</v>
      </c>
      <c r="H136" t="str">
        <f t="shared" ref="H136:H199" si="5">CONCATENATE("INSERT INTO `parqueadero`.`vehiculo` (`",$A$7,"`, `",$B$7,"`, `",$C$7,"`, `",$D$7,"`, `",$E$7,"`, `",$F$7,"`, `",$G$7,"`) VALUES ('",A136,"','",B136,"','",C136,"','",D136,"','",E136,"','",F136,"','",G136,"');" )</f>
        <v>INSERT INTO `parqueadero`.`vehiculo` (`Oid`, `Placa`, `Medio`, `Tipo`, `Marca`, `Color`, `IdConductor`) VALUES ('129','HSQ116','CAMIONETA','COMBUSTIBLE','SUZUKI GRAN VITARA','GRIS','7217591');</v>
      </c>
    </row>
    <row r="137" spans="1:8" ht="14.4" x14ac:dyDescent="0.3">
      <c r="A137" s="5">
        <f t="shared" si="4"/>
        <v>130</v>
      </c>
      <c r="B137" s="6" t="s">
        <v>702</v>
      </c>
      <c r="C137" s="6" t="s">
        <v>2195</v>
      </c>
      <c r="D137" s="6" t="s">
        <v>17</v>
      </c>
      <c r="E137" s="6" t="s">
        <v>701</v>
      </c>
      <c r="F137" s="6" t="s">
        <v>703</v>
      </c>
      <c r="G137" s="6">
        <v>80154998</v>
      </c>
      <c r="H137" t="str">
        <f t="shared" si="5"/>
        <v>INSERT INTO `parqueadero`.`vehiculo` (`Oid`, `Placa`, `Medio`, `Tipo`, `Marca`, `Color`, `IdConductor`) VALUES ('130','ODK66E','MOTOCICLETA','COMBUSTIBLE','YAMAHA','GRIS Y NEGRO','80154998');</v>
      </c>
    </row>
    <row r="138" spans="1:8" ht="14.4" x14ac:dyDescent="0.3">
      <c r="A138" s="5">
        <f t="shared" si="4"/>
        <v>131</v>
      </c>
      <c r="B138" s="6" t="s">
        <v>707</v>
      </c>
      <c r="C138" s="6" t="s">
        <v>143</v>
      </c>
      <c r="D138" s="6" t="s">
        <v>17</v>
      </c>
      <c r="E138" s="6" t="s">
        <v>304</v>
      </c>
      <c r="F138" s="6" t="s">
        <v>708</v>
      </c>
      <c r="G138" s="6">
        <v>51769687</v>
      </c>
      <c r="H138" t="str">
        <f t="shared" si="5"/>
        <v>INSERT INTO `parqueadero`.`vehiculo` (`Oid`, `Placa`, `Medio`, `Tipo`, `Marca`, `Color`, `IdConductor`) VALUES ('131','HIU615','CAMIONETA','COMBUSTIBLE','RENAULT','GRIS COMET','51769687');</v>
      </c>
    </row>
    <row r="139" spans="1:8" ht="14.4" x14ac:dyDescent="0.3">
      <c r="A139" s="5">
        <f t="shared" si="4"/>
        <v>132</v>
      </c>
      <c r="B139" s="6" t="s">
        <v>713</v>
      </c>
      <c r="C139" s="6" t="s">
        <v>143</v>
      </c>
      <c r="D139" s="6" t="s">
        <v>17</v>
      </c>
      <c r="E139" s="6" t="s">
        <v>2294</v>
      </c>
      <c r="F139" s="6" t="s">
        <v>248</v>
      </c>
      <c r="G139" s="6">
        <v>1024496377</v>
      </c>
      <c r="H139" t="str">
        <f t="shared" si="5"/>
        <v>INSERT INTO `parqueadero`.`vehiculo` (`Oid`, `Placa`, `Medio`, `Tipo`, `Marca`, `Color`, `IdConductor`) VALUES ('132','NDX070','CAMIONETA','COMBUSTIBLE','FORD SCAPE','GRIS PLATA','1024496377');</v>
      </c>
    </row>
    <row r="140" spans="1:8" ht="14.4" x14ac:dyDescent="0.3">
      <c r="A140" s="5">
        <f t="shared" si="4"/>
        <v>133</v>
      </c>
      <c r="B140" s="17" t="s">
        <v>717</v>
      </c>
      <c r="C140" s="6" t="s">
        <v>2195</v>
      </c>
      <c r="D140" s="17" t="s">
        <v>17</v>
      </c>
      <c r="E140" s="17" t="s">
        <v>56</v>
      </c>
      <c r="F140" s="17" t="s">
        <v>166</v>
      </c>
      <c r="G140" s="17">
        <v>1012330327</v>
      </c>
      <c r="H140" t="str">
        <f t="shared" si="5"/>
        <v>INSERT INTO `parqueadero`.`vehiculo` (`Oid`, `Placa`, `Medio`, `Tipo`, `Marca`, `Color`, `IdConductor`) VALUES ('133','ZAD20G','MOTOCICLETA','COMBUSTIBLE','HONDA','GRIS OSCURO','1012330327');</v>
      </c>
    </row>
    <row r="141" spans="1:8" ht="14.4" x14ac:dyDescent="0.3">
      <c r="A141" s="5">
        <f t="shared" si="4"/>
        <v>134</v>
      </c>
      <c r="B141" s="6" t="s">
        <v>720</v>
      </c>
      <c r="C141" s="6" t="s">
        <v>115</v>
      </c>
      <c r="D141" s="6" t="s">
        <v>17</v>
      </c>
      <c r="E141" s="6" t="s">
        <v>294</v>
      </c>
      <c r="F141" s="6" t="s">
        <v>60</v>
      </c>
      <c r="G141" s="6">
        <v>11204730</v>
      </c>
      <c r="H141" t="str">
        <f t="shared" si="5"/>
        <v>INSERT INTO `parqueadero`.`vehiculo` (`Oid`, `Placa`, `Medio`, `Tipo`, `Marca`, `Color`, `IdConductor`) VALUES ('134','HJN091','AUTOMÓVIL','COMBUSTIBLE','FORD','GRIS','11204730');</v>
      </c>
    </row>
    <row r="142" spans="1:8" ht="14.4" x14ac:dyDescent="0.3">
      <c r="A142" s="5">
        <f t="shared" si="4"/>
        <v>135</v>
      </c>
      <c r="B142" s="6" t="s">
        <v>724</v>
      </c>
      <c r="C142" s="6" t="s">
        <v>143</v>
      </c>
      <c r="D142" s="6" t="s">
        <v>17</v>
      </c>
      <c r="E142" s="6" t="s">
        <v>75</v>
      </c>
      <c r="F142" s="6" t="s">
        <v>44</v>
      </c>
      <c r="G142" s="6">
        <v>5710812</v>
      </c>
      <c r="H142" t="str">
        <f t="shared" si="5"/>
        <v>INSERT INTO `parqueadero`.`vehiculo` (`Oid`, `Placa`, `Medio`, `Tipo`, `Marca`, `Color`, `IdConductor`) VALUES ('135','GFN340','CAMIONETA','COMBUSTIBLE','MAZDA','ROJO','5710812');</v>
      </c>
    </row>
    <row r="143" spans="1:8" ht="14.4" x14ac:dyDescent="0.3">
      <c r="A143" s="5">
        <f t="shared" si="4"/>
        <v>136</v>
      </c>
      <c r="B143" s="6" t="s">
        <v>729</v>
      </c>
      <c r="C143" s="6" t="s">
        <v>115</v>
      </c>
      <c r="D143" s="6" t="s">
        <v>17</v>
      </c>
      <c r="E143" s="6" t="s">
        <v>164</v>
      </c>
      <c r="F143" s="6" t="s">
        <v>60</v>
      </c>
      <c r="G143" s="6">
        <v>52777129</v>
      </c>
      <c r="H143" t="str">
        <f t="shared" si="5"/>
        <v>INSERT INTO `parqueadero`.`vehiculo` (`Oid`, `Placa`, `Medio`, `Tipo`, `Marca`, `Color`, `IdConductor`) VALUES ('136','FOO895','AUTOMÓVIL','COMBUSTIBLE','KIA','GRIS','52777129');</v>
      </c>
    </row>
    <row r="144" spans="1:8" ht="14.4" x14ac:dyDescent="0.3">
      <c r="A144" s="5">
        <f t="shared" si="4"/>
        <v>137</v>
      </c>
      <c r="B144" s="6" t="s">
        <v>733</v>
      </c>
      <c r="C144" s="6" t="s">
        <v>2195</v>
      </c>
      <c r="D144" s="6" t="s">
        <v>17</v>
      </c>
      <c r="E144" s="6" t="s">
        <v>56</v>
      </c>
      <c r="F144" s="6" t="s">
        <v>734</v>
      </c>
      <c r="G144" s="6">
        <v>1019132150</v>
      </c>
      <c r="H144" t="str">
        <f t="shared" si="5"/>
        <v>INSERT INTO `parqueadero`.`vehiculo` (`Oid`, `Placa`, `Medio`, `Tipo`, `Marca`, `Color`, `IdConductor`) VALUES ('137','SCP49F','MOTOCICLETA','COMBUSTIBLE','HONDA','AZUL CLARO','1019132150');</v>
      </c>
    </row>
    <row r="145" spans="1:8" ht="14.4" x14ac:dyDescent="0.3">
      <c r="A145" s="5">
        <f t="shared" si="4"/>
        <v>138</v>
      </c>
      <c r="B145" s="6" t="s">
        <v>738</v>
      </c>
      <c r="C145" s="6" t="s">
        <v>115</v>
      </c>
      <c r="D145" s="6" t="s">
        <v>17</v>
      </c>
      <c r="E145" s="6" t="s">
        <v>196</v>
      </c>
      <c r="F145" s="6" t="s">
        <v>24</v>
      </c>
      <c r="G145" s="6">
        <v>79328182</v>
      </c>
      <c r="H145" t="str">
        <f t="shared" si="5"/>
        <v>INSERT INTO `parqueadero`.`vehiculo` (`Oid`, `Placa`, `Medio`, `Tipo`, `Marca`, `Color`, `IdConductor`) VALUES ('138','JDZ500','AUTOMÓVIL','COMBUSTIBLE','NISSAN VERSA','NEGRO','79328182');</v>
      </c>
    </row>
    <row r="146" spans="1:8" ht="14.4" x14ac:dyDescent="0.3">
      <c r="A146" s="5">
        <f t="shared" si="4"/>
        <v>139</v>
      </c>
      <c r="B146" s="6" t="s">
        <v>744</v>
      </c>
      <c r="C146" s="6" t="s">
        <v>115</v>
      </c>
      <c r="D146" s="6" t="s">
        <v>17</v>
      </c>
      <c r="E146" s="6" t="s">
        <v>202</v>
      </c>
      <c r="F146" s="6" t="s">
        <v>44</v>
      </c>
      <c r="G146" s="6">
        <v>51940883</v>
      </c>
      <c r="H146" t="str">
        <f t="shared" si="5"/>
        <v>INSERT INTO `parqueadero`.`vehiculo` (`Oid`, `Placa`, `Medio`, `Tipo`, `Marca`, `Color`, `IdConductor`) VALUES ('139','FNQ384','AUTOMÓVIL','COMBUSTIBLE','VOLKSWAGEN','ROJO','51940883');</v>
      </c>
    </row>
    <row r="147" spans="1:8" ht="14.4" x14ac:dyDescent="0.3">
      <c r="A147" s="5">
        <f t="shared" si="4"/>
        <v>140</v>
      </c>
      <c r="B147" s="6" t="s">
        <v>748</v>
      </c>
      <c r="C147" s="6" t="s">
        <v>115</v>
      </c>
      <c r="D147" s="6" t="s">
        <v>253</v>
      </c>
      <c r="E147" s="6" t="s">
        <v>64</v>
      </c>
      <c r="F147" s="6" t="s">
        <v>66</v>
      </c>
      <c r="G147" s="6">
        <v>67023991</v>
      </c>
      <c r="H147" t="str">
        <f t="shared" si="5"/>
        <v>INSERT INTO `parqueadero`.`vehiculo` (`Oid`, `Placa`, `Medio`, `Tipo`, `Marca`, `Color`, `IdConductor`) VALUES ('140','JMV160','AUTOMÓVIL','HÍBRIDO','TOYOTA','BLANCO','67023991');</v>
      </c>
    </row>
    <row r="148" spans="1:8" ht="14.4" x14ac:dyDescent="0.3">
      <c r="A148" s="5">
        <f t="shared" si="4"/>
        <v>141</v>
      </c>
      <c r="B148" s="6" t="s">
        <v>752</v>
      </c>
      <c r="C148" s="6" t="s">
        <v>143</v>
      </c>
      <c r="D148" s="6" t="s">
        <v>17</v>
      </c>
      <c r="E148" s="6" t="s">
        <v>751</v>
      </c>
      <c r="F148" s="6" t="s">
        <v>248</v>
      </c>
      <c r="G148" s="6">
        <v>11433116</v>
      </c>
      <c r="H148" t="str">
        <f t="shared" si="5"/>
        <v>INSERT INTO `parqueadero`.`vehiculo` (`Oid`, `Placa`, `Medio`, `Tipo`, `Marca`, `Color`, `IdConductor`) VALUES ('141','RMZ758','CAMIONETA','COMBUSTIBLE','DODGE JOURNEY','GRIS PLATA','11433116');</v>
      </c>
    </row>
    <row r="149" spans="1:8" ht="14.4" x14ac:dyDescent="0.3">
      <c r="A149" s="5">
        <f t="shared" si="4"/>
        <v>142</v>
      </c>
      <c r="B149" s="6" t="s">
        <v>755</v>
      </c>
      <c r="C149" s="6" t="s">
        <v>2195</v>
      </c>
      <c r="D149" s="6" t="s">
        <v>17</v>
      </c>
      <c r="E149" s="6" t="s">
        <v>754</v>
      </c>
      <c r="F149" s="6" t="s">
        <v>24</v>
      </c>
      <c r="G149" s="6">
        <v>91495511</v>
      </c>
      <c r="H149" t="str">
        <f t="shared" si="5"/>
        <v>INSERT INTO `parqueadero`.`vehiculo` (`Oid`, `Placa`, `Medio`, `Tipo`, `Marca`, `Color`, `IdConductor`) VALUES ('142','DIP89H','MOTOCICLETA','COMBUSTIBLE','BENELLI','NEGRO','91495511');</v>
      </c>
    </row>
    <row r="150" spans="1:8" ht="14.4" x14ac:dyDescent="0.3">
      <c r="A150" s="5">
        <f t="shared" si="4"/>
        <v>143</v>
      </c>
      <c r="B150" s="6" t="s">
        <v>759</v>
      </c>
      <c r="C150" s="6" t="s">
        <v>143</v>
      </c>
      <c r="D150" s="6" t="s">
        <v>253</v>
      </c>
      <c r="E150" s="6" t="s">
        <v>202</v>
      </c>
      <c r="F150" s="6" t="s">
        <v>60</v>
      </c>
      <c r="G150" s="6">
        <v>79908099</v>
      </c>
      <c r="H150" t="str">
        <f t="shared" si="5"/>
        <v>INSERT INTO `parqueadero`.`vehiculo` (`Oid`, `Placa`, `Medio`, `Tipo`, `Marca`, `Color`, `IdConductor`) VALUES ('143','KPM490','CAMIONETA','HÍBRIDO','VOLKSWAGEN','GRIS','79908099');</v>
      </c>
    </row>
    <row r="151" spans="1:8" ht="14.4" x14ac:dyDescent="0.3">
      <c r="A151" s="5">
        <f t="shared" si="4"/>
        <v>144</v>
      </c>
      <c r="B151" s="6" t="s">
        <v>763</v>
      </c>
      <c r="C151" s="6" t="s">
        <v>143</v>
      </c>
      <c r="D151" s="6" t="s">
        <v>17</v>
      </c>
      <c r="E151" s="6" t="s">
        <v>64</v>
      </c>
      <c r="F151" s="6" t="s">
        <v>66</v>
      </c>
      <c r="G151" s="6">
        <v>80543468</v>
      </c>
      <c r="H151" t="str">
        <f t="shared" si="5"/>
        <v>INSERT INTO `parqueadero`.`vehiculo` (`Oid`, `Placa`, `Medio`, `Tipo`, `Marca`, `Color`, `IdConductor`) VALUES ('144','JJP900','CAMIONETA','COMBUSTIBLE','TOYOTA','BLANCO','80543468');</v>
      </c>
    </row>
    <row r="152" spans="1:8" ht="14.4" x14ac:dyDescent="0.3">
      <c r="A152" s="5">
        <f t="shared" si="4"/>
        <v>145</v>
      </c>
      <c r="B152" s="6" t="s">
        <v>767</v>
      </c>
      <c r="C152" s="6" t="s">
        <v>115</v>
      </c>
      <c r="D152" s="6" t="s">
        <v>17</v>
      </c>
      <c r="E152" s="6" t="s">
        <v>276</v>
      </c>
      <c r="F152" s="6" t="s">
        <v>66</v>
      </c>
      <c r="G152" s="6">
        <v>1010206263</v>
      </c>
      <c r="H152" t="str">
        <f t="shared" si="5"/>
        <v>INSERT INTO `parqueadero`.`vehiculo` (`Oid`, `Placa`, `Medio`, `Tipo`, `Marca`, `Color`, `IdConductor`) VALUES ('145','MRZ989','AUTOMÓVIL','COMBUSTIBLE','SUZUKI','BLANCO','1010206263');</v>
      </c>
    </row>
    <row r="153" spans="1:8" ht="14.4" x14ac:dyDescent="0.3">
      <c r="A153" s="5">
        <f t="shared" si="4"/>
        <v>146</v>
      </c>
      <c r="B153" s="6" t="s">
        <v>772</v>
      </c>
      <c r="C153" s="6" t="s">
        <v>143</v>
      </c>
      <c r="D153" s="6" t="s">
        <v>17</v>
      </c>
      <c r="E153" s="6" t="s">
        <v>771</v>
      </c>
      <c r="F153" s="6" t="s">
        <v>773</v>
      </c>
      <c r="G153" s="6">
        <v>1020722791</v>
      </c>
      <c r="H153" t="str">
        <f t="shared" si="5"/>
        <v>INSERT INTO `parqueadero`.`vehiculo` (`Oid`, `Placa`, `Medio`, `Tipo`, `Marca`, `Color`, `IdConductor`) VALUES ('146','NOM978','CAMIONETA','COMBUSTIBLE','CITROEN C3','GRIS GRAFITO','1020722791');</v>
      </c>
    </row>
    <row r="154" spans="1:8" ht="14.4" x14ac:dyDescent="0.3">
      <c r="A154" s="5">
        <f t="shared" si="4"/>
        <v>147</v>
      </c>
      <c r="B154" s="6" t="s">
        <v>778</v>
      </c>
      <c r="C154" s="6" t="s">
        <v>143</v>
      </c>
      <c r="D154" s="6" t="s">
        <v>17</v>
      </c>
      <c r="E154" s="6" t="s">
        <v>777</v>
      </c>
      <c r="F154" s="6" t="s">
        <v>44</v>
      </c>
      <c r="G154" s="6">
        <v>1026568929</v>
      </c>
      <c r="H154" t="str">
        <f t="shared" si="5"/>
        <v>INSERT INTO `parqueadero`.`vehiculo` (`Oid`, `Placa`, `Medio`, `Tipo`, `Marca`, `Color`, `IdConductor`) VALUES ('147','FXY022','CAMIONETA','COMBUSTIBLE','KIA SPORTAGE','ROJO','1026568929');</v>
      </c>
    </row>
    <row r="155" spans="1:8" ht="14.4" x14ac:dyDescent="0.3">
      <c r="A155" s="5">
        <f t="shared" si="4"/>
        <v>148</v>
      </c>
      <c r="B155" s="6" t="s">
        <v>782</v>
      </c>
      <c r="C155" s="6" t="s">
        <v>115</v>
      </c>
      <c r="D155" s="6" t="s">
        <v>17</v>
      </c>
      <c r="E155" s="6" t="s">
        <v>781</v>
      </c>
      <c r="F155" s="6" t="s">
        <v>66</v>
      </c>
      <c r="G155" s="6">
        <v>80121497</v>
      </c>
      <c r="H155" t="str">
        <f t="shared" si="5"/>
        <v>INSERT INTO `parqueadero`.`vehiculo` (`Oid`, `Placa`, `Medio`, `Tipo`, `Marca`, `Color`, `IdConductor`) VALUES ('148','URX028','AUTOMÓVIL','COMBUSTIBLE','CHEVROLET SONIC','BLANCO','80121497');</v>
      </c>
    </row>
    <row r="156" spans="1:8" ht="14.4" x14ac:dyDescent="0.3">
      <c r="A156" s="5">
        <f t="shared" si="4"/>
        <v>149</v>
      </c>
      <c r="B156" s="17" t="s">
        <v>786</v>
      </c>
      <c r="C156" s="6" t="s">
        <v>143</v>
      </c>
      <c r="D156" s="17" t="s">
        <v>17</v>
      </c>
      <c r="E156" s="17" t="s">
        <v>58</v>
      </c>
      <c r="F156" s="17" t="s">
        <v>52</v>
      </c>
      <c r="G156" s="17">
        <v>1020716220</v>
      </c>
      <c r="H156" t="str">
        <f t="shared" si="5"/>
        <v>INSERT INTO `parqueadero`.`vehiculo` (`Oid`, `Placa`, `Medio`, `Tipo`, `Marca`, `Color`, `IdConductor`) VALUES ('149','LMQ898','CAMIONETA','COMBUSTIBLE','CHEVROLET','PLATA','1020716220');</v>
      </c>
    </row>
    <row r="157" spans="1:8" ht="14.4" x14ac:dyDescent="0.3">
      <c r="A157" s="5">
        <f t="shared" si="4"/>
        <v>150</v>
      </c>
      <c r="B157" s="6" t="s">
        <v>791</v>
      </c>
      <c r="C157" s="6" t="s">
        <v>143</v>
      </c>
      <c r="D157" s="6" t="s">
        <v>17</v>
      </c>
      <c r="E157" s="6" t="s">
        <v>790</v>
      </c>
      <c r="F157" s="6" t="s">
        <v>66</v>
      </c>
      <c r="G157" s="6">
        <v>80766953</v>
      </c>
      <c r="H157" t="str">
        <f t="shared" si="5"/>
        <v>INSERT INTO `parqueadero`.`vehiculo` (`Oid`, `Placa`, `Medio`, `Tipo`, `Marca`, `Color`, `IdConductor`) VALUES ('150','NJX700','CAMIONETA','COMBUSTIBLE','CHEVROLETE TRACKER','BLANCO','80766953');</v>
      </c>
    </row>
    <row r="158" spans="1:8" ht="14.4" x14ac:dyDescent="0.3">
      <c r="A158" s="5">
        <f t="shared" si="4"/>
        <v>151</v>
      </c>
      <c r="B158" s="6" t="s">
        <v>796</v>
      </c>
      <c r="C158" s="6" t="s">
        <v>2195</v>
      </c>
      <c r="D158" s="6" t="s">
        <v>17</v>
      </c>
      <c r="E158" s="6" t="s">
        <v>795</v>
      </c>
      <c r="F158" s="6" t="s">
        <v>797</v>
      </c>
      <c r="G158" s="6">
        <v>80060504</v>
      </c>
      <c r="H158" t="str">
        <f t="shared" si="5"/>
        <v>INSERT INTO `parqueadero`.`vehiculo` (`Oid`, `Placa`, `Medio`, `Tipo`, `Marca`, `Color`, `IdConductor`) VALUES ('151','DCL80E','MOTOCICLETA','COMBUSTIBLE','DISCOVER','ROJO - NEGRO','80060504');</v>
      </c>
    </row>
    <row r="159" spans="1:8" ht="14.4" x14ac:dyDescent="0.3">
      <c r="A159" s="5">
        <f t="shared" si="4"/>
        <v>152</v>
      </c>
      <c r="B159" s="6" t="s">
        <v>801</v>
      </c>
      <c r="C159" s="6" t="s">
        <v>115</v>
      </c>
      <c r="D159" s="6" t="s">
        <v>17</v>
      </c>
      <c r="E159" s="6" t="s">
        <v>164</v>
      </c>
      <c r="F159" s="6" t="s">
        <v>60</v>
      </c>
      <c r="G159" s="6">
        <v>5770982</v>
      </c>
      <c r="H159" t="str">
        <f t="shared" si="5"/>
        <v>INSERT INTO `parqueadero`.`vehiculo` (`Oid`, `Placa`, `Medio`, `Tipo`, `Marca`, `Color`, `IdConductor`) VALUES ('152','JLQ291','AUTOMÓVIL','COMBUSTIBLE','KIA','GRIS','5770982');</v>
      </c>
    </row>
    <row r="160" spans="1:8" ht="14.4" x14ac:dyDescent="0.3">
      <c r="A160" s="5">
        <f t="shared" si="4"/>
        <v>153</v>
      </c>
      <c r="B160" s="17" t="s">
        <v>806</v>
      </c>
      <c r="C160" s="6" t="s">
        <v>2195</v>
      </c>
      <c r="D160" s="17" t="s">
        <v>17</v>
      </c>
      <c r="E160" s="17" t="s">
        <v>805</v>
      </c>
      <c r="F160" s="17" t="s">
        <v>24</v>
      </c>
      <c r="G160" s="17">
        <v>52494966</v>
      </c>
      <c r="H160" t="str">
        <f t="shared" si="5"/>
        <v>INSERT INTO `parqueadero`.`vehiculo` (`Oid`, `Placa`, `Medio`, `Tipo`, `Marca`, `Color`, `IdConductor`) VALUES ('153','RPK84E','MOTOCICLETA','COMBUSTIBLE','KYMCO','NEGRO','52494966');</v>
      </c>
    </row>
    <row r="161" spans="1:8" ht="14.4" x14ac:dyDescent="0.3">
      <c r="A161" s="5">
        <f t="shared" si="4"/>
        <v>154</v>
      </c>
      <c r="B161" s="6" t="s">
        <v>811</v>
      </c>
      <c r="C161" s="6" t="s">
        <v>143</v>
      </c>
      <c r="D161" s="6" t="s">
        <v>253</v>
      </c>
      <c r="E161" s="6" t="s">
        <v>810</v>
      </c>
      <c r="F161" s="6" t="s">
        <v>166</v>
      </c>
      <c r="G161" s="6">
        <v>28483877</v>
      </c>
      <c r="H161" t="str">
        <f t="shared" si="5"/>
        <v>INSERT INTO `parqueadero`.`vehiculo` (`Oid`, `Placa`, `Medio`, `Tipo`, `Marca`, `Color`, `IdConductor`) VALUES ('154','NJZ832','CAMIONETA','HÍBRIDO','AUDI Q5','GRIS OSCURO','28483877');</v>
      </c>
    </row>
    <row r="162" spans="1:8" ht="14.4" x14ac:dyDescent="0.3">
      <c r="A162" s="5">
        <f t="shared" si="4"/>
        <v>155</v>
      </c>
      <c r="B162" s="6" t="s">
        <v>818</v>
      </c>
      <c r="C162" s="6" t="s">
        <v>143</v>
      </c>
      <c r="D162" s="6" t="s">
        <v>17</v>
      </c>
      <c r="E162" s="6" t="s">
        <v>337</v>
      </c>
      <c r="F162" s="6" t="s">
        <v>60</v>
      </c>
      <c r="G162" s="6">
        <v>1026271116</v>
      </c>
      <c r="H162" t="str">
        <f t="shared" si="5"/>
        <v>INSERT INTO `parqueadero`.`vehiculo` (`Oid`, `Placa`, `Medio`, `Tipo`, `Marca`, `Color`, `IdConductor`) VALUES ('155','INK096','CAMIONETA','COMBUSTIBLE','MERCEDES BENZ','GRIS','1026271116');</v>
      </c>
    </row>
    <row r="163" spans="1:8" ht="14.4" x14ac:dyDescent="0.3">
      <c r="A163" s="5">
        <f t="shared" si="4"/>
        <v>156</v>
      </c>
      <c r="B163" s="17" t="s">
        <v>822</v>
      </c>
      <c r="C163" s="6" t="s">
        <v>115</v>
      </c>
      <c r="D163" s="17" t="s">
        <v>17</v>
      </c>
      <c r="E163" s="17" t="s">
        <v>681</v>
      </c>
      <c r="F163" s="17" t="s">
        <v>66</v>
      </c>
      <c r="G163" s="17">
        <v>1121869677</v>
      </c>
      <c r="H163" t="str">
        <f t="shared" si="5"/>
        <v>INSERT INTO `parqueadero`.`vehiculo` (`Oid`, `Placa`, `Medio`, `Tipo`, `Marca`, `Color`, `IdConductor`) VALUES ('156','NBW294','AUTOMÓVIL','COMBUSTIBLE','MAZDA 2','BLANCO','1121869677');</v>
      </c>
    </row>
    <row r="164" spans="1:8" ht="14.4" x14ac:dyDescent="0.3">
      <c r="A164" s="5">
        <f t="shared" si="4"/>
        <v>157</v>
      </c>
      <c r="B164" s="6" t="s">
        <v>826</v>
      </c>
      <c r="C164" s="6" t="s">
        <v>143</v>
      </c>
      <c r="D164" s="6" t="s">
        <v>253</v>
      </c>
      <c r="E164" s="6" t="s">
        <v>75</v>
      </c>
      <c r="F164" s="6" t="s">
        <v>44</v>
      </c>
      <c r="G164" s="6">
        <v>1020731626</v>
      </c>
      <c r="H164" t="str">
        <f t="shared" si="5"/>
        <v>INSERT INTO `parqueadero`.`vehiculo` (`Oid`, `Placa`, `Medio`, `Tipo`, `Marca`, `Color`, `IdConductor`) VALUES ('157','PZV518','CAMIONETA','HÍBRIDO','MAZDA','ROJO','1020731626');</v>
      </c>
    </row>
    <row r="165" spans="1:8" ht="14.4" x14ac:dyDescent="0.3">
      <c r="A165" s="5">
        <f t="shared" si="4"/>
        <v>158</v>
      </c>
      <c r="B165" s="6" t="s">
        <v>831</v>
      </c>
      <c r="C165" s="6" t="s">
        <v>143</v>
      </c>
      <c r="D165" s="6" t="s">
        <v>17</v>
      </c>
      <c r="E165" s="6" t="s">
        <v>830</v>
      </c>
      <c r="F165" s="6" t="s">
        <v>44</v>
      </c>
      <c r="G165" s="6">
        <v>52907657</v>
      </c>
      <c r="H165" t="str">
        <f t="shared" si="5"/>
        <v>INSERT INTO `parqueadero`.`vehiculo` (`Oid`, `Placa`, `Medio`, `Tipo`, `Marca`, `Color`, `IdConductor`) VALUES ('158','DQO942','CAMIONETA','COMBUSTIBLE','JEEP','ROJO','52907657');</v>
      </c>
    </row>
    <row r="166" spans="1:8" ht="14.4" x14ac:dyDescent="0.3">
      <c r="A166" s="5">
        <f t="shared" si="4"/>
        <v>159</v>
      </c>
      <c r="B166" s="6" t="s">
        <v>835</v>
      </c>
      <c r="C166" s="6" t="s">
        <v>2195</v>
      </c>
      <c r="D166" s="6" t="s">
        <v>17</v>
      </c>
      <c r="E166" s="6" t="s">
        <v>701</v>
      </c>
      <c r="F166" s="6" t="s">
        <v>24</v>
      </c>
      <c r="G166" s="6">
        <v>1030579980</v>
      </c>
      <c r="H166" t="str">
        <f t="shared" si="5"/>
        <v>INSERT INTO `parqueadero`.`vehiculo` (`Oid`, `Placa`, `Medio`, `Tipo`, `Marca`, `Color`, `IdConductor`) VALUES ('159','QTN58C','MOTOCICLETA','COMBUSTIBLE','YAMAHA','NEGRO','1030579980');</v>
      </c>
    </row>
    <row r="167" spans="1:8" ht="14.4" x14ac:dyDescent="0.3">
      <c r="A167" s="5">
        <f t="shared" si="4"/>
        <v>160</v>
      </c>
      <c r="B167" s="6" t="s">
        <v>839</v>
      </c>
      <c r="C167" s="6" t="s">
        <v>115</v>
      </c>
      <c r="D167" s="6" t="s">
        <v>17</v>
      </c>
      <c r="E167" s="6" t="s">
        <v>246</v>
      </c>
      <c r="F167" s="6" t="s">
        <v>166</v>
      </c>
      <c r="G167" s="6">
        <v>79798056</v>
      </c>
      <c r="H167" t="str">
        <f t="shared" si="5"/>
        <v>INSERT INTO `parqueadero`.`vehiculo` (`Oid`, `Placa`, `Medio`, `Tipo`, `Marca`, `Color`, `IdConductor`) VALUES ('160','BZL830','AUTOMÓVIL','COMBUSTIBLE','CHEVROLET AVEO','GRIS OSCURO','79798056');</v>
      </c>
    </row>
    <row r="168" spans="1:8" ht="14.4" x14ac:dyDescent="0.3">
      <c r="A168" s="5">
        <f t="shared" si="4"/>
        <v>161</v>
      </c>
      <c r="B168" s="6" t="s">
        <v>844</v>
      </c>
      <c r="C168" s="6" t="s">
        <v>115</v>
      </c>
      <c r="D168" s="6" t="s">
        <v>17</v>
      </c>
      <c r="E168" s="6" t="s">
        <v>1333</v>
      </c>
      <c r="F168" s="6" t="s">
        <v>845</v>
      </c>
      <c r="G168" s="6">
        <v>52152263</v>
      </c>
      <c r="H168" t="str">
        <f t="shared" si="5"/>
        <v>INSERT INTO `parqueadero`.`vehiculo` (`Oid`, `Placa`, `Medio`, `Tipo`, `Marca`, `Color`, `IdConductor`) VALUES ('161','CXU008','AUTOMÓVIL','COMBUSTIBLE','PEUGEOT','METALIZADO GRIS CENDRE','52152263');</v>
      </c>
    </row>
    <row r="169" spans="1:8" ht="14.4" x14ac:dyDescent="0.3">
      <c r="A169" s="5">
        <f t="shared" si="4"/>
        <v>162</v>
      </c>
      <c r="B169" s="6" t="s">
        <v>850</v>
      </c>
      <c r="C169" s="6" t="s">
        <v>2195</v>
      </c>
      <c r="D169" s="6" t="s">
        <v>17</v>
      </c>
      <c r="E169" s="6" t="s">
        <v>849</v>
      </c>
      <c r="F169" s="6" t="s">
        <v>851</v>
      </c>
      <c r="G169" s="6">
        <v>1073152672</v>
      </c>
      <c r="H169" t="str">
        <f t="shared" si="5"/>
        <v>INSERT INTO `parqueadero`.`vehiculo` (`Oid`, `Placa`, `Medio`, `Tipo`, `Marca`, `Color`, `IdConductor`) VALUES ('162','JWN05G','MOTOCICLETA','COMBUSTIBLE','VICTORY-AUTECO','GRIS PIEDRA NEGRO MATE','1073152672');</v>
      </c>
    </row>
    <row r="170" spans="1:8" ht="14.4" x14ac:dyDescent="0.3">
      <c r="A170" s="5">
        <f t="shared" si="4"/>
        <v>163</v>
      </c>
      <c r="B170" s="6" t="s">
        <v>854</v>
      </c>
      <c r="C170" s="6" t="s">
        <v>115</v>
      </c>
      <c r="D170" s="6" t="s">
        <v>17</v>
      </c>
      <c r="E170" s="6" t="s">
        <v>294</v>
      </c>
      <c r="F170" s="6" t="s">
        <v>248</v>
      </c>
      <c r="G170" s="6">
        <v>6769668</v>
      </c>
      <c r="H170" t="str">
        <f t="shared" si="5"/>
        <v>INSERT INTO `parqueadero`.`vehiculo` (`Oid`, `Placa`, `Medio`, `Tipo`, `Marca`, `Color`, `IdConductor`) VALUES ('163','ZYX282','AUTOMÓVIL','COMBUSTIBLE','FORD','GRIS PLATA','6769668');</v>
      </c>
    </row>
    <row r="171" spans="1:8" ht="14.4" x14ac:dyDescent="0.3">
      <c r="A171" s="5">
        <f t="shared" si="4"/>
        <v>164</v>
      </c>
      <c r="B171" s="6" t="s">
        <v>858</v>
      </c>
      <c r="C171" s="6" t="s">
        <v>115</v>
      </c>
      <c r="D171" s="6" t="s">
        <v>17</v>
      </c>
      <c r="E171" s="6" t="s">
        <v>202</v>
      </c>
      <c r="F171" s="6" t="s">
        <v>2301</v>
      </c>
      <c r="G171" s="6">
        <v>52028400</v>
      </c>
      <c r="H171" t="str">
        <f t="shared" si="5"/>
        <v>INSERT INTO `parqueadero`.`vehiculo` (`Oid`, `Placa`, `Medio`, `Tipo`, `Marca`, `Color`, `IdConductor`) VALUES ('164','GPP291','AUTOMÓVIL','COMBUSTIBLE','VOLKSWAGEN','PLATASIRIUS METALICO','52028400');</v>
      </c>
    </row>
    <row r="172" spans="1:8" ht="14.4" x14ac:dyDescent="0.3">
      <c r="A172" s="5">
        <f t="shared" si="4"/>
        <v>165</v>
      </c>
      <c r="B172" s="17" t="s">
        <v>863</v>
      </c>
      <c r="C172" s="6" t="s">
        <v>115</v>
      </c>
      <c r="D172" s="17" t="s">
        <v>17</v>
      </c>
      <c r="E172" s="17" t="s">
        <v>337</v>
      </c>
      <c r="F172" s="17" t="s">
        <v>248</v>
      </c>
      <c r="G172" s="17">
        <v>29120343</v>
      </c>
      <c r="H172" t="str">
        <f t="shared" si="5"/>
        <v>INSERT INTO `parqueadero`.`vehiculo` (`Oid`, `Placa`, `Medio`, `Tipo`, `Marca`, `Color`, `IdConductor`) VALUES ('165','JLW677','AUTOMÓVIL','COMBUSTIBLE','MERCEDES BENZ','GRIS PLATA','29120343');</v>
      </c>
    </row>
    <row r="173" spans="1:8" ht="14.4" x14ac:dyDescent="0.3">
      <c r="A173" s="5">
        <f t="shared" si="4"/>
        <v>166</v>
      </c>
      <c r="B173" s="6" t="s">
        <v>867</v>
      </c>
      <c r="C173" s="6" t="s">
        <v>143</v>
      </c>
      <c r="D173" s="6" t="s">
        <v>17</v>
      </c>
      <c r="E173" s="6" t="s">
        <v>132</v>
      </c>
      <c r="F173" s="6" t="s">
        <v>60</v>
      </c>
      <c r="G173" s="6">
        <v>1010196659</v>
      </c>
      <c r="H173" t="str">
        <f t="shared" si="5"/>
        <v>INSERT INTO `parqueadero`.`vehiculo` (`Oid`, `Placa`, `Medio`, `Tipo`, `Marca`, `Color`, `IdConductor`) VALUES ('166','EJL040','CAMIONETA','COMBUSTIBLE','BMW','GRIS','1010196659');</v>
      </c>
    </row>
    <row r="174" spans="1:8" ht="14.4" x14ac:dyDescent="0.3">
      <c r="A174" s="5">
        <f t="shared" si="4"/>
        <v>167</v>
      </c>
      <c r="B174" s="17" t="s">
        <v>870</v>
      </c>
      <c r="C174" s="6" t="s">
        <v>143</v>
      </c>
      <c r="D174" s="6" t="s">
        <v>253</v>
      </c>
      <c r="E174" s="17" t="s">
        <v>294</v>
      </c>
      <c r="F174" s="17" t="s">
        <v>60</v>
      </c>
      <c r="G174" s="17">
        <v>80239647</v>
      </c>
      <c r="H174" t="str">
        <f t="shared" si="5"/>
        <v>INSERT INTO `parqueadero`.`vehiculo` (`Oid`, `Placa`, `Medio`, `Tipo`, `Marca`, `Color`, `IdConductor`) VALUES ('167','NKX356','CAMIONETA','HÍBRIDO','FORD','GRIS','80239647');</v>
      </c>
    </row>
    <row r="175" spans="1:8" ht="14.4" x14ac:dyDescent="0.3">
      <c r="A175" s="5">
        <f t="shared" si="4"/>
        <v>168</v>
      </c>
      <c r="B175" s="17" t="s">
        <v>874</v>
      </c>
      <c r="C175" s="6" t="s">
        <v>2195</v>
      </c>
      <c r="D175" s="17" t="s">
        <v>17</v>
      </c>
      <c r="E175" s="17" t="s">
        <v>56</v>
      </c>
      <c r="F175" s="17" t="s">
        <v>66</v>
      </c>
      <c r="G175" s="17">
        <v>1030543652</v>
      </c>
      <c r="H175" t="str">
        <f t="shared" si="5"/>
        <v>INSERT INTO `parqueadero`.`vehiculo` (`Oid`, `Placa`, `Medio`, `Tipo`, `Marca`, `Color`, `IdConductor`) VALUES ('168','XCP05C','MOTOCICLETA','COMBUSTIBLE','HONDA','BLANCO','1030543652');</v>
      </c>
    </row>
    <row r="176" spans="1:8" ht="14.4" x14ac:dyDescent="0.3">
      <c r="A176" s="5">
        <f t="shared" si="4"/>
        <v>169</v>
      </c>
      <c r="B176" s="6" t="s">
        <v>879</v>
      </c>
      <c r="C176" s="6" t="s">
        <v>2195</v>
      </c>
      <c r="D176" s="6" t="s">
        <v>17</v>
      </c>
      <c r="E176" s="6" t="s">
        <v>878</v>
      </c>
      <c r="F176" s="6" t="s">
        <v>880</v>
      </c>
      <c r="G176" s="6">
        <v>1010247161</v>
      </c>
      <c r="H176" t="str">
        <f t="shared" si="5"/>
        <v>INSERT INTO `parqueadero`.`vehiculo` (`Oid`, `Placa`, `Medio`, `Tipo`, `Marca`, `Color`, `IdConductor`) VALUES ('169','UDD71H','MOTOCICLETA','COMBUSTIBLE','SYM','MULTICOLOR','1010247161');</v>
      </c>
    </row>
    <row r="177" spans="1:8" ht="14.4" x14ac:dyDescent="0.3">
      <c r="A177" s="5">
        <f t="shared" si="4"/>
        <v>170</v>
      </c>
      <c r="B177" s="6" t="s">
        <v>884</v>
      </c>
      <c r="C177" s="6" t="s">
        <v>115</v>
      </c>
      <c r="D177" s="6" t="s">
        <v>17</v>
      </c>
      <c r="E177" s="6" t="s">
        <v>304</v>
      </c>
      <c r="F177" s="6" t="s">
        <v>44</v>
      </c>
      <c r="G177" s="6">
        <v>6070137</v>
      </c>
      <c r="H177" t="str">
        <f t="shared" si="5"/>
        <v>INSERT INTO `parqueadero`.`vehiculo` (`Oid`, `Placa`, `Medio`, `Tipo`, `Marca`, `Color`, `IdConductor`) VALUES ('170','LNL046','AUTOMÓVIL','COMBUSTIBLE','RENAULT','ROJO','6070137');</v>
      </c>
    </row>
    <row r="178" spans="1:8" ht="14.4" x14ac:dyDescent="0.3">
      <c r="A178" s="5">
        <f t="shared" si="4"/>
        <v>171</v>
      </c>
      <c r="B178" s="6" t="s">
        <v>888</v>
      </c>
      <c r="C178" s="6" t="s">
        <v>115</v>
      </c>
      <c r="D178" s="6" t="s">
        <v>17</v>
      </c>
      <c r="E178" s="6" t="s">
        <v>304</v>
      </c>
      <c r="F178" s="6" t="s">
        <v>66</v>
      </c>
      <c r="G178" s="6">
        <v>10305307</v>
      </c>
      <c r="H178" t="str">
        <f t="shared" si="5"/>
        <v>INSERT INTO `parqueadero`.`vehiculo` (`Oid`, `Placa`, `Medio`, `Tipo`, `Marca`, `Color`, `IdConductor`) VALUES ('171','DXT697','AUTOMÓVIL','COMBUSTIBLE','RENAULT','BLANCO','10305307');</v>
      </c>
    </row>
    <row r="179" spans="1:8" ht="14.4" x14ac:dyDescent="0.3">
      <c r="A179" s="5">
        <f t="shared" si="4"/>
        <v>172</v>
      </c>
      <c r="B179" s="6" t="s">
        <v>893</v>
      </c>
      <c r="C179" s="6" t="s">
        <v>143</v>
      </c>
      <c r="D179" s="6" t="s">
        <v>17</v>
      </c>
      <c r="E179" s="6" t="s">
        <v>892</v>
      </c>
      <c r="F179" s="6" t="s">
        <v>248</v>
      </c>
      <c r="G179" s="6">
        <v>1110494882</v>
      </c>
      <c r="H179" t="str">
        <f t="shared" si="5"/>
        <v>INSERT INTO `parqueadero`.`vehiculo` (`Oid`, `Placa`, `Medio`, `Tipo`, `Marca`, `Color`, `IdConductor`) VALUES ('172','GSQ121','CAMIONETA','COMBUSTIBLE','FORD EDGE','GRIS PLATA','1110494882');</v>
      </c>
    </row>
    <row r="180" spans="1:8" ht="14.4" x14ac:dyDescent="0.3">
      <c r="A180" s="5">
        <f t="shared" si="4"/>
        <v>173</v>
      </c>
      <c r="B180" s="17" t="s">
        <v>897</v>
      </c>
      <c r="C180" s="6" t="s">
        <v>143</v>
      </c>
      <c r="D180" s="17" t="s">
        <v>17</v>
      </c>
      <c r="E180" s="17" t="s">
        <v>58</v>
      </c>
      <c r="F180" s="17" t="s">
        <v>60</v>
      </c>
      <c r="G180" s="17">
        <v>39707570</v>
      </c>
      <c r="H180" t="str">
        <f t="shared" si="5"/>
        <v>INSERT INTO `parqueadero`.`vehiculo` (`Oid`, `Placa`, `Medio`, `Tipo`, `Marca`, `Color`, `IdConductor`) VALUES ('173','JCU242','CAMIONETA','COMBUSTIBLE','CHEVROLET','GRIS','39707570');</v>
      </c>
    </row>
    <row r="181" spans="1:8" ht="14.4" x14ac:dyDescent="0.3">
      <c r="A181" s="5">
        <f t="shared" si="4"/>
        <v>174</v>
      </c>
      <c r="B181" s="6" t="s">
        <v>901</v>
      </c>
      <c r="C181" s="6" t="s">
        <v>143</v>
      </c>
      <c r="D181" s="6" t="s">
        <v>17</v>
      </c>
      <c r="E181" s="6" t="s">
        <v>58</v>
      </c>
      <c r="F181" s="6" t="s">
        <v>653</v>
      </c>
      <c r="G181" s="6">
        <v>51563303</v>
      </c>
      <c r="H181" t="str">
        <f t="shared" si="5"/>
        <v>INSERT INTO `parqueadero`.`vehiculo` (`Oid`, `Placa`, `Medio`, `Tipo`, `Marca`, `Color`, `IdConductor`) VALUES ('174','UDY304','CAMIONETA','COMBUSTIBLE','CHEVROLET','VINOTINTO','51563303');</v>
      </c>
    </row>
    <row r="182" spans="1:8" ht="14.4" x14ac:dyDescent="0.3">
      <c r="A182" s="5">
        <f t="shared" si="4"/>
        <v>175</v>
      </c>
      <c r="B182" s="6" t="s">
        <v>906</v>
      </c>
      <c r="C182" s="6" t="s">
        <v>115</v>
      </c>
      <c r="D182" s="6" t="s">
        <v>17</v>
      </c>
      <c r="E182" s="6" t="s">
        <v>905</v>
      </c>
      <c r="F182" s="6" t="s">
        <v>66</v>
      </c>
      <c r="G182" s="6">
        <v>4978456</v>
      </c>
      <c r="H182" t="str">
        <f t="shared" si="5"/>
        <v>INSERT INTO `parqueadero`.`vehiculo` (`Oid`, `Placa`, `Medio`, `Tipo`, `Marca`, `Color`, `IdConductor`) VALUES ('175','MKU320','AUTOMÓVIL','COMBUSTIBLE','KIA CERATO FORTE','BLANCO','4978456');</v>
      </c>
    </row>
    <row r="183" spans="1:8" ht="14.4" x14ac:dyDescent="0.3">
      <c r="A183" s="5">
        <f t="shared" si="4"/>
        <v>176</v>
      </c>
      <c r="B183" s="6" t="s">
        <v>910</v>
      </c>
      <c r="C183" s="6" t="s">
        <v>2195</v>
      </c>
      <c r="D183" s="6" t="s">
        <v>17</v>
      </c>
      <c r="E183" s="6" t="s">
        <v>276</v>
      </c>
      <c r="F183" s="6" t="s">
        <v>2302</v>
      </c>
      <c r="G183" s="6">
        <v>1000008186</v>
      </c>
      <c r="H183" t="str">
        <f t="shared" si="5"/>
        <v>INSERT INTO `parqueadero`.`vehiculo` (`Oid`, `Placa`, `Medio`, `Tipo`, `Marca`, `Color`, `IdConductor`) VALUES ('176','UDK33H','MOTOCICLETA','COMBUSTIBLE','SUZUKI','AZUL CON BLANCO','1000008186');</v>
      </c>
    </row>
    <row r="184" spans="1:8" ht="14.4" x14ac:dyDescent="0.3">
      <c r="A184" s="5">
        <f t="shared" si="4"/>
        <v>177</v>
      </c>
      <c r="B184" s="6" t="s">
        <v>915</v>
      </c>
      <c r="C184" s="6" t="s">
        <v>115</v>
      </c>
      <c r="D184" s="6" t="s">
        <v>17</v>
      </c>
      <c r="E184" s="6" t="s">
        <v>75</v>
      </c>
      <c r="F184" s="6" t="s">
        <v>44</v>
      </c>
      <c r="G184" s="6">
        <v>80129534</v>
      </c>
      <c r="H184" t="str">
        <f t="shared" si="5"/>
        <v>INSERT INTO `parqueadero`.`vehiculo` (`Oid`, `Placa`, `Medio`, `Tipo`, `Marca`, `Color`, `IdConductor`) VALUES ('177','FNM864','AUTOMÓVIL','COMBUSTIBLE','MAZDA','ROJO','80129534');</v>
      </c>
    </row>
    <row r="185" spans="1:8" ht="14.4" x14ac:dyDescent="0.3">
      <c r="A185" s="5">
        <f t="shared" si="4"/>
        <v>178</v>
      </c>
      <c r="B185" s="6" t="s">
        <v>920</v>
      </c>
      <c r="C185" s="6" t="s">
        <v>115</v>
      </c>
      <c r="D185" s="6" t="s">
        <v>17</v>
      </c>
      <c r="E185" s="6" t="s">
        <v>919</v>
      </c>
      <c r="F185" s="6" t="s">
        <v>2303</v>
      </c>
      <c r="G185" s="6">
        <v>53021213</v>
      </c>
      <c r="H185" t="str">
        <f t="shared" si="5"/>
        <v>INSERT INTO `parqueadero`.`vehiculo` (`Oid`, `Placa`, `Medio`, `Tipo`, `Marca`, `Color`, `IdConductor`) VALUES ('178','BLD160','AUTOMÓVIL','COMBUSTIBLE','CHEVROLET WAGON','VERDE ESMERALDA','53021213');</v>
      </c>
    </row>
    <row r="186" spans="1:8" ht="14.4" x14ac:dyDescent="0.3">
      <c r="A186" s="5">
        <f t="shared" si="4"/>
        <v>179</v>
      </c>
      <c r="B186" s="6" t="s">
        <v>925</v>
      </c>
      <c r="C186" s="6" t="s">
        <v>115</v>
      </c>
      <c r="D186" s="6" t="s">
        <v>17</v>
      </c>
      <c r="E186" s="6" t="s">
        <v>501</v>
      </c>
      <c r="F186" s="6" t="s">
        <v>34</v>
      </c>
      <c r="G186" s="6">
        <v>80401214</v>
      </c>
      <c r="H186" t="str">
        <f t="shared" si="5"/>
        <v>INSERT INTO `parqueadero`.`vehiculo` (`Oid`, `Placa`, `Medio`, `Tipo`, `Marca`, `Color`, `IdConductor`) VALUES ('179','KAM927','AUTOMÓVIL','COMBUSTIBLE','NISSAN','BEIGE','80401214');</v>
      </c>
    </row>
    <row r="187" spans="1:8" ht="14.4" x14ac:dyDescent="0.3">
      <c r="A187" s="5">
        <f t="shared" si="4"/>
        <v>180</v>
      </c>
      <c r="B187" s="6" t="s">
        <v>930</v>
      </c>
      <c r="C187" s="6" t="s">
        <v>143</v>
      </c>
      <c r="D187" s="6" t="s">
        <v>17</v>
      </c>
      <c r="E187" s="6" t="s">
        <v>1408</v>
      </c>
      <c r="F187" s="6" t="s">
        <v>931</v>
      </c>
      <c r="G187" s="6">
        <v>79881307</v>
      </c>
      <c r="H187" t="str">
        <f t="shared" si="5"/>
        <v>INSERT INTO `parqueadero`.`vehiculo` (`Oid`, `Placa`, `Medio`, `Tipo`, `Marca`, `Color`, `IdConductor`) VALUES ('180','JNU529','CAMIONETA','COMBUSTIBLE','CITROËN','BLANCO NACAR NEGRO','79881307');</v>
      </c>
    </row>
    <row r="188" spans="1:8" ht="14.4" x14ac:dyDescent="0.3">
      <c r="A188" s="5">
        <f t="shared" si="4"/>
        <v>181</v>
      </c>
      <c r="B188" s="6" t="s">
        <v>935</v>
      </c>
      <c r="C188" s="6" t="s">
        <v>115</v>
      </c>
      <c r="D188" s="6" t="s">
        <v>129</v>
      </c>
      <c r="E188" s="6" t="s">
        <v>22</v>
      </c>
      <c r="F188" s="6" t="s">
        <v>38</v>
      </c>
      <c r="G188" s="6">
        <v>80213841</v>
      </c>
      <c r="H188" t="str">
        <f t="shared" si="5"/>
        <v>INSERT INTO `parqueadero`.`vehiculo` (`Oid`, `Placa`, `Medio`, `Tipo`, `Marca`, `Color`, `IdConductor`) VALUES ('181','NJV828','AUTOMÓVIL','ELÉCTRICO','BYD','VERDE','80213841');</v>
      </c>
    </row>
    <row r="189" spans="1:8" ht="14.4" x14ac:dyDescent="0.3">
      <c r="A189" s="5">
        <f t="shared" si="4"/>
        <v>182</v>
      </c>
      <c r="B189" s="6" t="s">
        <v>938</v>
      </c>
      <c r="C189" s="6" t="s">
        <v>143</v>
      </c>
      <c r="D189" s="6" t="s">
        <v>253</v>
      </c>
      <c r="E189" s="6" t="s">
        <v>75</v>
      </c>
      <c r="F189" s="6" t="s">
        <v>66</v>
      </c>
      <c r="G189" s="6">
        <v>79265641</v>
      </c>
      <c r="H189" t="str">
        <f t="shared" si="5"/>
        <v>INSERT INTO `parqueadero`.`vehiculo` (`Oid`, `Placa`, `Medio`, `Tipo`, `Marca`, `Color`, `IdConductor`) VALUES ('182','NGK802','CAMIONETA','HÍBRIDO','MAZDA','BLANCO','79265641');</v>
      </c>
    </row>
    <row r="190" spans="1:8" ht="14.4" x14ac:dyDescent="0.3">
      <c r="A190" s="5">
        <f t="shared" si="4"/>
        <v>183</v>
      </c>
      <c r="B190" s="6" t="s">
        <v>942</v>
      </c>
      <c r="C190" s="6" t="s">
        <v>115</v>
      </c>
      <c r="D190" s="6" t="s">
        <v>17</v>
      </c>
      <c r="E190" s="6" t="s">
        <v>304</v>
      </c>
      <c r="F190" s="6" t="s">
        <v>1133</v>
      </c>
      <c r="G190" s="6">
        <v>1140847934</v>
      </c>
      <c r="H190" t="str">
        <f t="shared" si="5"/>
        <v>INSERT INTO `parqueadero`.`vehiculo` (`Oid`, `Placa`, `Medio`, `Tipo`, `Marca`, `Color`, `IdConductor`) VALUES ('183','KHY698','AUTOMÓVIL','COMBUSTIBLE','RENAULT','GRIS ESTRELLA','1140847934');</v>
      </c>
    </row>
    <row r="191" spans="1:8" ht="14.4" x14ac:dyDescent="0.3">
      <c r="A191" s="5">
        <f t="shared" si="4"/>
        <v>184</v>
      </c>
      <c r="B191" s="6" t="s">
        <v>947</v>
      </c>
      <c r="C191" s="6" t="s">
        <v>2195</v>
      </c>
      <c r="D191" s="6" t="s">
        <v>17</v>
      </c>
      <c r="E191" s="6" t="s">
        <v>56</v>
      </c>
      <c r="F191" s="6" t="s">
        <v>44</v>
      </c>
      <c r="G191" s="6">
        <v>1000596077</v>
      </c>
      <c r="H191" t="str">
        <f t="shared" si="5"/>
        <v>INSERT INTO `parqueadero`.`vehiculo` (`Oid`, `Placa`, `Medio`, `Tipo`, `Marca`, `Color`, `IdConductor`) VALUES ('184','QPE41H','MOTOCICLETA','COMBUSTIBLE','HONDA','ROJO','1000596077');</v>
      </c>
    </row>
    <row r="192" spans="1:8" ht="14.4" x14ac:dyDescent="0.3">
      <c r="A192" s="5">
        <f t="shared" si="4"/>
        <v>185</v>
      </c>
      <c r="B192" s="6" t="s">
        <v>951</v>
      </c>
      <c r="C192" s="6" t="s">
        <v>115</v>
      </c>
      <c r="D192" s="6" t="s">
        <v>17</v>
      </c>
      <c r="E192" s="6" t="s">
        <v>202</v>
      </c>
      <c r="F192" s="6" t="s">
        <v>60</v>
      </c>
      <c r="G192" s="6">
        <v>53140489</v>
      </c>
      <c r="H192" t="str">
        <f t="shared" si="5"/>
        <v>INSERT INTO `parqueadero`.`vehiculo` (`Oid`, `Placa`, `Medio`, `Tipo`, `Marca`, `Color`, `IdConductor`) VALUES ('185','KPM313','AUTOMÓVIL','COMBUSTIBLE','VOLKSWAGEN','GRIS','53140489');</v>
      </c>
    </row>
    <row r="193" spans="1:8" ht="14.4" x14ac:dyDescent="0.3">
      <c r="A193" s="5">
        <f t="shared" si="4"/>
        <v>186</v>
      </c>
      <c r="B193" s="6" t="s">
        <v>955</v>
      </c>
      <c r="C193" s="6" t="s">
        <v>115</v>
      </c>
      <c r="D193" s="6" t="s">
        <v>17</v>
      </c>
      <c r="E193" s="6" t="s">
        <v>320</v>
      </c>
      <c r="F193" s="6" t="s">
        <v>956</v>
      </c>
      <c r="G193" s="6">
        <v>13745497</v>
      </c>
      <c r="H193" t="str">
        <f t="shared" si="5"/>
        <v>INSERT INTO `parqueadero`.`vehiculo` (`Oid`, `Placa`, `Medio`, `Tipo`, `Marca`, `Color`, `IdConductor`) VALUES ('186','ZZQ044','AUTOMÓVIL','COMBUSTIBLE','AUDI','AZUL SCUBA CON PLATA HIELO','13745497');</v>
      </c>
    </row>
    <row r="194" spans="1:8" ht="14.4" x14ac:dyDescent="0.3">
      <c r="A194" s="5">
        <f t="shared" si="4"/>
        <v>187</v>
      </c>
      <c r="B194" s="6" t="s">
        <v>960</v>
      </c>
      <c r="C194" s="6" t="s">
        <v>115</v>
      </c>
      <c r="D194" s="6" t="s">
        <v>17</v>
      </c>
      <c r="E194" s="6" t="s">
        <v>116</v>
      </c>
      <c r="F194" s="6" t="s">
        <v>44</v>
      </c>
      <c r="G194" s="6">
        <v>52855892</v>
      </c>
      <c r="H194" t="str">
        <f t="shared" si="5"/>
        <v>INSERT INTO `parqueadero`.`vehiculo` (`Oid`, `Placa`, `Medio`, `Tipo`, `Marca`, `Color`, `IdConductor`) VALUES ('187','EBN363','AUTOMÓVIL','COMBUSTIBLE','HYUNDAI','ROJO','52855892');</v>
      </c>
    </row>
    <row r="195" spans="1:8" ht="14.4" x14ac:dyDescent="0.3">
      <c r="A195" s="5">
        <f t="shared" si="4"/>
        <v>188</v>
      </c>
      <c r="B195" s="6" t="s">
        <v>964</v>
      </c>
      <c r="C195" s="6" t="s">
        <v>2195</v>
      </c>
      <c r="D195" s="6" t="s">
        <v>17</v>
      </c>
      <c r="E195" s="6" t="s">
        <v>701</v>
      </c>
      <c r="F195" s="6" t="s">
        <v>24</v>
      </c>
      <c r="G195" s="6">
        <v>1001114395</v>
      </c>
      <c r="H195" t="str">
        <f t="shared" si="5"/>
        <v>INSERT INTO `parqueadero`.`vehiculo` (`Oid`, `Placa`, `Medio`, `Tipo`, `Marca`, `Color`, `IdConductor`) VALUES ('188','DLF53C','MOTOCICLETA','COMBUSTIBLE','YAMAHA','NEGRO','1001114395');</v>
      </c>
    </row>
    <row r="196" spans="1:8" ht="14.4" x14ac:dyDescent="0.3">
      <c r="A196" s="5">
        <f t="shared" si="4"/>
        <v>189</v>
      </c>
      <c r="B196" s="6" t="s">
        <v>968</v>
      </c>
      <c r="C196" s="6" t="s">
        <v>143</v>
      </c>
      <c r="D196" s="6" t="s">
        <v>17</v>
      </c>
      <c r="E196" s="6" t="s">
        <v>64</v>
      </c>
      <c r="F196" s="6" t="s">
        <v>66</v>
      </c>
      <c r="G196" s="6">
        <v>1049640375</v>
      </c>
      <c r="H196" t="str">
        <f t="shared" si="5"/>
        <v>INSERT INTO `parqueadero`.`vehiculo` (`Oid`, `Placa`, `Medio`, `Tipo`, `Marca`, `Color`, `IdConductor`) VALUES ('189','FLM749','CAMIONETA','COMBUSTIBLE','TOYOTA','BLANCO','1049640375');</v>
      </c>
    </row>
    <row r="197" spans="1:8" ht="14.4" x14ac:dyDescent="0.3">
      <c r="A197" s="5">
        <f t="shared" si="4"/>
        <v>190</v>
      </c>
      <c r="B197" s="17" t="s">
        <v>972</v>
      </c>
      <c r="C197" s="6" t="s">
        <v>115</v>
      </c>
      <c r="D197" s="17" t="s">
        <v>17</v>
      </c>
      <c r="E197" s="17" t="s">
        <v>304</v>
      </c>
      <c r="F197" s="17" t="s">
        <v>973</v>
      </c>
      <c r="G197" s="17">
        <v>31422496</v>
      </c>
      <c r="H197" t="str">
        <f t="shared" si="5"/>
        <v>INSERT INTO `parqueadero`.`vehiculo` (`Oid`, `Placa`, `Medio`, `Tipo`, `Marca`, `Color`, `IdConductor`) VALUES ('190','HIS237','AUTOMÓVIL','COMBUSTIBLE','RENAULT','GRIS BEIGE','31422496');</v>
      </c>
    </row>
    <row r="198" spans="1:8" ht="14.4" x14ac:dyDescent="0.3">
      <c r="A198" s="5">
        <f t="shared" ref="A198:A260" si="6">ROW()-7</f>
        <v>191</v>
      </c>
      <c r="B198" s="6" t="s">
        <v>977</v>
      </c>
      <c r="C198" s="6" t="s">
        <v>115</v>
      </c>
      <c r="D198" s="6" t="s">
        <v>17</v>
      </c>
      <c r="E198" s="6" t="s">
        <v>337</v>
      </c>
      <c r="F198" s="6" t="s">
        <v>24</v>
      </c>
      <c r="G198" s="6">
        <v>1019131919</v>
      </c>
      <c r="H198" t="str">
        <f t="shared" si="5"/>
        <v>INSERT INTO `parqueadero`.`vehiculo` (`Oid`, `Placa`, `Medio`, `Tipo`, `Marca`, `Color`, `IdConductor`) VALUES ('191','NDW570','AUTOMÓVIL','COMBUSTIBLE','MERCEDES BENZ','NEGRO','1019131919');</v>
      </c>
    </row>
    <row r="199" spans="1:8" ht="14.4" x14ac:dyDescent="0.3">
      <c r="A199" s="5">
        <f t="shared" si="6"/>
        <v>192</v>
      </c>
      <c r="B199" s="17" t="s">
        <v>981</v>
      </c>
      <c r="C199" s="6" t="s">
        <v>115</v>
      </c>
      <c r="D199" s="17" t="s">
        <v>17</v>
      </c>
      <c r="E199" s="6" t="s">
        <v>202</v>
      </c>
      <c r="F199" s="17" t="s">
        <v>44</v>
      </c>
      <c r="G199" s="17">
        <v>1020806493</v>
      </c>
      <c r="H199" t="str">
        <f t="shared" si="5"/>
        <v>INSERT INTO `parqueadero`.`vehiculo` (`Oid`, `Placa`, `Medio`, `Tipo`, `Marca`, `Color`, `IdConductor`) VALUES ('192','IXR377','AUTOMÓVIL','COMBUSTIBLE','VOLKSWAGEN','ROJO','1020806493');</v>
      </c>
    </row>
    <row r="200" spans="1:8" ht="14.4" x14ac:dyDescent="0.3">
      <c r="A200" s="5">
        <f t="shared" si="6"/>
        <v>193</v>
      </c>
      <c r="B200" s="6" t="s">
        <v>984</v>
      </c>
      <c r="C200" s="6" t="s">
        <v>115</v>
      </c>
      <c r="D200" s="6" t="s">
        <v>17</v>
      </c>
      <c r="E200" s="6" t="s">
        <v>75</v>
      </c>
      <c r="F200" s="6" t="s">
        <v>985</v>
      </c>
      <c r="G200" s="6">
        <v>79802867</v>
      </c>
      <c r="H200" t="str">
        <f t="shared" ref="H200:H263" si="7">CONCATENATE("INSERT INTO `parqueadero`.`vehiculo` (`",$A$7,"`, `",$B$7,"`, `",$C$7,"`, `",$D$7,"`, `",$E$7,"`, `",$F$7,"`, `",$G$7,"`) VALUES ('",A200,"','",B200,"','",C200,"','",D200,"','",E200,"','",F200,"','",G200,"');" )</f>
        <v>INSERT INTO `parqueadero`.`vehiculo` (`Oid`, `Placa`, `Medio`, `Tipo`, `Marca`, `Color`, `IdConductor`) VALUES ('193','RCU484','AUTOMÓVIL','COMBUSTIBLE','MAZDA','GRIS METROPOLITANO','79802867');</v>
      </c>
    </row>
    <row r="201" spans="1:8" ht="14.4" x14ac:dyDescent="0.3">
      <c r="A201" s="5">
        <f t="shared" si="6"/>
        <v>194</v>
      </c>
      <c r="B201" s="6" t="s">
        <v>989</v>
      </c>
      <c r="C201" s="6" t="s">
        <v>115</v>
      </c>
      <c r="D201" s="6" t="s">
        <v>17</v>
      </c>
      <c r="E201" s="6" t="s">
        <v>2295</v>
      </c>
      <c r="F201" s="6" t="s">
        <v>990</v>
      </c>
      <c r="G201" s="6">
        <v>1023893878</v>
      </c>
      <c r="H201" t="str">
        <f t="shared" si="7"/>
        <v>INSERT INTO `parqueadero`.`vehiculo` (`Oid`, `Placa`, `Medio`, `Tipo`, `Marca`, `Color`, `IdConductor`) VALUES ('194','MBM740','AUTOMÓVIL','COMBUSTIBLE','JEEP WRANGLER','ROJO FLAMA','1023893878');</v>
      </c>
    </row>
    <row r="202" spans="1:8" ht="14.4" x14ac:dyDescent="0.3">
      <c r="A202" s="5">
        <f t="shared" si="6"/>
        <v>195</v>
      </c>
      <c r="B202" s="6" t="s">
        <v>998</v>
      </c>
      <c r="C202" s="6" t="s">
        <v>115</v>
      </c>
      <c r="D202" s="6" t="s">
        <v>17</v>
      </c>
      <c r="E202" s="6" t="s">
        <v>304</v>
      </c>
      <c r="F202" s="6" t="s">
        <v>66</v>
      </c>
      <c r="G202" s="6">
        <v>1078347237</v>
      </c>
      <c r="H202" t="str">
        <f t="shared" si="7"/>
        <v>INSERT INTO `parqueadero`.`vehiculo` (`Oid`, `Placa`, `Medio`, `Tipo`, `Marca`, `Color`, `IdConductor`) VALUES ('195','LRX282','AUTOMÓVIL','COMBUSTIBLE','RENAULT','BLANCO','1078347237');</v>
      </c>
    </row>
    <row r="203" spans="1:8" ht="14.4" x14ac:dyDescent="0.3">
      <c r="A203" s="5">
        <f t="shared" si="6"/>
        <v>196</v>
      </c>
      <c r="B203" s="6" t="s">
        <v>1002</v>
      </c>
      <c r="C203" s="6" t="s">
        <v>115</v>
      </c>
      <c r="D203" s="6" t="s">
        <v>17</v>
      </c>
      <c r="E203" s="6" t="s">
        <v>132</v>
      </c>
      <c r="F203" s="6" t="s">
        <v>259</v>
      </c>
      <c r="G203" s="6">
        <v>80085952</v>
      </c>
      <c r="H203" t="str">
        <f t="shared" si="7"/>
        <v>INSERT INTO `parqueadero`.`vehiculo` (`Oid`, `Placa`, `Medio`, `Tipo`, `Marca`, `Color`, `IdConductor`) VALUES ('196','HKS838','AUTOMÓVIL','COMBUSTIBLE','BMW','PLATEADO','80085952');</v>
      </c>
    </row>
    <row r="204" spans="1:8" ht="14.4" x14ac:dyDescent="0.3">
      <c r="A204" s="5">
        <f t="shared" si="6"/>
        <v>197</v>
      </c>
      <c r="B204" s="6" t="s">
        <v>1007</v>
      </c>
      <c r="C204" s="6" t="s">
        <v>2195</v>
      </c>
      <c r="D204" s="6" t="s">
        <v>17</v>
      </c>
      <c r="E204" s="6" t="s">
        <v>175</v>
      </c>
      <c r="F204" s="6" t="s">
        <v>24</v>
      </c>
      <c r="G204" s="6">
        <v>1015479089</v>
      </c>
      <c r="H204" t="str">
        <f t="shared" si="7"/>
        <v>INSERT INTO `parqueadero`.`vehiculo` (`Oid`, `Placa`, `Medio`, `Tipo`, `Marca`, `Color`, `IdConductor`) VALUES ('197','FVK55H','MOTOCICLETA','COMBUSTIBLE','AKT','NEGRO','1015479089');</v>
      </c>
    </row>
    <row r="205" spans="1:8" ht="14.4" x14ac:dyDescent="0.3">
      <c r="A205" s="5">
        <f t="shared" si="6"/>
        <v>198</v>
      </c>
      <c r="B205" s="6" t="s">
        <v>1011</v>
      </c>
      <c r="C205" s="6" t="s">
        <v>115</v>
      </c>
      <c r="D205" s="6" t="s">
        <v>253</v>
      </c>
      <c r="E205" s="6" t="s">
        <v>276</v>
      </c>
      <c r="F205" s="6" t="s">
        <v>60</v>
      </c>
      <c r="G205" s="6">
        <v>1072072690</v>
      </c>
      <c r="H205" t="str">
        <f t="shared" si="7"/>
        <v>INSERT INTO `parqueadero`.`vehiculo` (`Oid`, `Placa`, `Medio`, `Tipo`, `Marca`, `Color`, `IdConductor`) VALUES ('198','LNQ539','AUTOMÓVIL','HÍBRIDO','SUZUKI','GRIS','1072072690');</v>
      </c>
    </row>
    <row r="206" spans="1:8" ht="14.4" x14ac:dyDescent="0.3">
      <c r="A206" s="5">
        <f t="shared" si="6"/>
        <v>199</v>
      </c>
      <c r="B206" s="6" t="s">
        <v>1015</v>
      </c>
      <c r="C206" s="6" t="s">
        <v>2195</v>
      </c>
      <c r="D206" s="6" t="s">
        <v>17</v>
      </c>
      <c r="E206" s="6" t="s">
        <v>701</v>
      </c>
      <c r="F206" s="6" t="s">
        <v>880</v>
      </c>
      <c r="G206" s="6">
        <v>1018482735</v>
      </c>
      <c r="H206" t="str">
        <f t="shared" si="7"/>
        <v>INSERT INTO `parqueadero`.`vehiculo` (`Oid`, `Placa`, `Medio`, `Tipo`, `Marca`, `Color`, `IdConductor`) VALUES ('199','QLT32G','MOTOCICLETA','COMBUSTIBLE','YAMAHA','MULTICOLOR','1018482735');</v>
      </c>
    </row>
    <row r="207" spans="1:8" ht="14.4" x14ac:dyDescent="0.3">
      <c r="A207" s="5">
        <f t="shared" si="6"/>
        <v>200</v>
      </c>
      <c r="B207" s="6" t="s">
        <v>1020</v>
      </c>
      <c r="C207" s="6" t="s">
        <v>115</v>
      </c>
      <c r="D207" s="6" t="s">
        <v>253</v>
      </c>
      <c r="E207" s="6" t="s">
        <v>1019</v>
      </c>
      <c r="F207" s="6" t="s">
        <v>1021</v>
      </c>
      <c r="G207" s="6">
        <v>1016070278</v>
      </c>
      <c r="H207" t="str">
        <f t="shared" si="7"/>
        <v>INSERT INTO `parqueadero`.`vehiculo` (`Oid`, `Placa`, `Medio`, `Tipo`, `Marca`, `Color`, `IdConductor`) VALUES ('200','PCV468','AUTOMÓVIL','HÍBRIDO','MAZDA 3','BLANCO PERLADO','1016070278');</v>
      </c>
    </row>
    <row r="208" spans="1:8" ht="14.4" x14ac:dyDescent="0.3">
      <c r="A208" s="5">
        <f t="shared" si="6"/>
        <v>201</v>
      </c>
      <c r="B208" s="6" t="s">
        <v>1025</v>
      </c>
      <c r="C208" s="6" t="s">
        <v>115</v>
      </c>
      <c r="D208" s="6" t="s">
        <v>17</v>
      </c>
      <c r="E208" s="6" t="s">
        <v>304</v>
      </c>
      <c r="F208" s="6" t="s">
        <v>66</v>
      </c>
      <c r="G208" s="6">
        <v>1019005047</v>
      </c>
      <c r="H208" t="str">
        <f t="shared" si="7"/>
        <v>INSERT INTO `parqueadero`.`vehiculo` (`Oid`, `Placa`, `Medio`, `Tipo`, `Marca`, `Color`, `IdConductor`) VALUES ('201','RKN115','AUTOMÓVIL','COMBUSTIBLE','RENAULT','BLANCO','1019005047');</v>
      </c>
    </row>
    <row r="209" spans="1:8" ht="14.4" x14ac:dyDescent="0.3">
      <c r="A209" s="5">
        <f t="shared" si="6"/>
        <v>202</v>
      </c>
      <c r="B209" s="6" t="s">
        <v>1029</v>
      </c>
      <c r="C209" s="6" t="s">
        <v>2195</v>
      </c>
      <c r="D209" s="6" t="s">
        <v>17</v>
      </c>
      <c r="E209" s="6" t="s">
        <v>56</v>
      </c>
      <c r="F209" s="6" t="s">
        <v>24</v>
      </c>
      <c r="G209" s="6">
        <v>1030636071</v>
      </c>
      <c r="H209" t="str">
        <f t="shared" si="7"/>
        <v>INSERT INTO `parqueadero`.`vehiculo` (`Oid`, `Placa`, `Medio`, `Tipo`, `Marca`, `Color`, `IdConductor`) VALUES ('202','NAF95H','MOTOCICLETA','COMBUSTIBLE','HONDA','NEGRO','1030636071');</v>
      </c>
    </row>
    <row r="210" spans="1:8" ht="14.4" x14ac:dyDescent="0.3">
      <c r="A210" s="5">
        <f t="shared" si="6"/>
        <v>203</v>
      </c>
      <c r="B210" s="6" t="s">
        <v>1032</v>
      </c>
      <c r="C210" s="6" t="s">
        <v>115</v>
      </c>
      <c r="D210" s="6" t="s">
        <v>253</v>
      </c>
      <c r="E210" s="6" t="s">
        <v>64</v>
      </c>
      <c r="F210" s="6" t="s">
        <v>166</v>
      </c>
      <c r="G210" s="6">
        <v>1019111965</v>
      </c>
      <c r="H210" t="str">
        <f t="shared" si="7"/>
        <v>INSERT INTO `parqueadero`.`vehiculo` (`Oid`, `Placa`, `Medio`, `Tipo`, `Marca`, `Color`, `IdConductor`) VALUES ('203','KMY552','AUTOMÓVIL','HÍBRIDO','TOYOTA','GRIS OSCURO','1019111965');</v>
      </c>
    </row>
    <row r="211" spans="1:8" ht="14.4" x14ac:dyDescent="0.3">
      <c r="A211" s="5">
        <f t="shared" si="6"/>
        <v>204</v>
      </c>
      <c r="B211" s="6" t="s">
        <v>1037</v>
      </c>
      <c r="C211" s="6" t="s">
        <v>143</v>
      </c>
      <c r="D211" s="6" t="s">
        <v>253</v>
      </c>
      <c r="E211" s="6" t="s">
        <v>1036</v>
      </c>
      <c r="F211" s="6" t="s">
        <v>60</v>
      </c>
      <c r="G211" s="6">
        <v>79793117</v>
      </c>
      <c r="H211" t="str">
        <f t="shared" si="7"/>
        <v>INSERT INTO `parqueadero`.`vehiculo` (`Oid`, `Placa`, `Medio`, `Tipo`, `Marca`, `Color`, `IdConductor`) VALUES ('204','NSU353','CAMIONETA','HÍBRIDO','SUBARU','GRIS','79793117');</v>
      </c>
    </row>
    <row r="212" spans="1:8" ht="15.9" customHeight="1" x14ac:dyDescent="0.3">
      <c r="A212" s="5">
        <f t="shared" si="6"/>
        <v>205</v>
      </c>
      <c r="B212" s="17" t="s">
        <v>1042</v>
      </c>
      <c r="C212" s="6" t="s">
        <v>115</v>
      </c>
      <c r="D212" s="17" t="s">
        <v>17</v>
      </c>
      <c r="E212" s="17" t="s">
        <v>304</v>
      </c>
      <c r="F212" s="17" t="s">
        <v>1043</v>
      </c>
      <c r="G212" s="17">
        <v>1000604330</v>
      </c>
      <c r="H212" t="str">
        <f t="shared" si="7"/>
        <v>INSERT INTO `parqueadero`.`vehiculo` (`Oid`, `Placa`, `Medio`, `Tipo`, `Marca`, `Color`, `IdConductor`) VALUES ('205','IVU685','AUTOMÓVIL','COMBUSTIBLE','RENAULT','NEGRO NACARADO','1000604330');</v>
      </c>
    </row>
    <row r="213" spans="1:8" ht="14.4" x14ac:dyDescent="0.3">
      <c r="A213" s="5">
        <f t="shared" si="6"/>
        <v>206</v>
      </c>
      <c r="B213" s="17" t="s">
        <v>1047</v>
      </c>
      <c r="C213" s="6" t="s">
        <v>2195</v>
      </c>
      <c r="D213" s="17" t="s">
        <v>17</v>
      </c>
      <c r="E213" s="17" t="s">
        <v>56</v>
      </c>
      <c r="F213" s="17" t="s">
        <v>2304</v>
      </c>
      <c r="G213" s="17">
        <v>1075257769</v>
      </c>
      <c r="H213" t="str">
        <f t="shared" si="7"/>
        <v>INSERT INTO `parqueadero`.`vehiculo` (`Oid`, `Placa`, `Medio`, `Tipo`, `Marca`, `Color`, `IdConductor`) VALUES ('206','WRI85H','MOTOCICLETA','COMBUSTIBLE','HONDA','NEGRO BLANCO ROJO','1075257769');</v>
      </c>
    </row>
    <row r="214" spans="1:8" ht="14.4" x14ac:dyDescent="0.3">
      <c r="A214" s="5">
        <f t="shared" si="6"/>
        <v>207</v>
      </c>
      <c r="B214" s="6" t="s">
        <v>1052</v>
      </c>
      <c r="C214" s="6" t="s">
        <v>115</v>
      </c>
      <c r="D214" s="6" t="s">
        <v>129</v>
      </c>
      <c r="E214" s="6" t="s">
        <v>22</v>
      </c>
      <c r="F214" s="6" t="s">
        <v>66</v>
      </c>
      <c r="G214" s="6">
        <v>1018477650</v>
      </c>
      <c r="H214" t="str">
        <f t="shared" si="7"/>
        <v>INSERT INTO `parqueadero`.`vehiculo` (`Oid`, `Placa`, `Medio`, `Tipo`, `Marca`, `Color`, `IdConductor`) VALUES ('207','PZT247','AUTOMÓVIL','ELÉCTRICO','BYD','BLANCO','1018477650');</v>
      </c>
    </row>
    <row r="215" spans="1:8" ht="14.4" x14ac:dyDescent="0.3">
      <c r="A215" s="5">
        <f t="shared" si="6"/>
        <v>208</v>
      </c>
      <c r="B215" s="6" t="s">
        <v>1056</v>
      </c>
      <c r="C215" s="6" t="s">
        <v>115</v>
      </c>
      <c r="D215" s="6" t="s">
        <v>17</v>
      </c>
      <c r="E215" s="6" t="s">
        <v>343</v>
      </c>
      <c r="F215" s="6" t="s">
        <v>693</v>
      </c>
      <c r="G215" s="6">
        <v>52821918</v>
      </c>
      <c r="H215" t="str">
        <f t="shared" si="7"/>
        <v>INSERT INTO `parqueadero`.`vehiculo` (`Oid`, `Placa`, `Medio`, `Tipo`, `Marca`, `Color`, `IdConductor`) VALUES ('208','CZY815','AUTOMÓVIL','COMBUSTIBLE','RENAULT TWINGO','GRIS ECLIPSE','52821918');</v>
      </c>
    </row>
    <row r="216" spans="1:8" ht="14.4" x14ac:dyDescent="0.3">
      <c r="A216" s="5">
        <f t="shared" si="6"/>
        <v>209</v>
      </c>
      <c r="B216" s="6" t="s">
        <v>1060</v>
      </c>
      <c r="C216" s="6" t="s">
        <v>115</v>
      </c>
      <c r="D216" s="6" t="s">
        <v>17</v>
      </c>
      <c r="E216" s="6" t="s">
        <v>132</v>
      </c>
      <c r="F216" s="6" t="s">
        <v>66</v>
      </c>
      <c r="G216" s="6">
        <v>1026302740</v>
      </c>
      <c r="H216" t="str">
        <f t="shared" si="7"/>
        <v>INSERT INTO `parqueadero`.`vehiculo` (`Oid`, `Placa`, `Medio`, `Tipo`, `Marca`, `Color`, `IdConductor`) VALUES ('209','NCL288','AUTOMÓVIL','COMBUSTIBLE','BMW','BLANCO','1026302740');</v>
      </c>
    </row>
    <row r="217" spans="1:8" ht="14.4" x14ac:dyDescent="0.3">
      <c r="A217" s="5">
        <f t="shared" si="6"/>
        <v>210</v>
      </c>
      <c r="B217" s="6" t="s">
        <v>1065</v>
      </c>
      <c r="C217" s="6" t="s">
        <v>115</v>
      </c>
      <c r="D217" s="6" t="s">
        <v>17</v>
      </c>
      <c r="E217" s="6" t="s">
        <v>304</v>
      </c>
      <c r="F217" s="6" t="s">
        <v>44</v>
      </c>
      <c r="G217" s="6">
        <v>24731198</v>
      </c>
      <c r="H217" t="str">
        <f t="shared" si="7"/>
        <v>INSERT INTO `parqueadero`.`vehiculo` (`Oid`, `Placa`, `Medio`, `Tipo`, `Marca`, `Color`, `IdConductor`) VALUES ('210','EFL237','AUTOMÓVIL','COMBUSTIBLE','RENAULT','ROJO','24731198');</v>
      </c>
    </row>
    <row r="218" spans="1:8" ht="14.4" x14ac:dyDescent="0.3">
      <c r="A218" s="5">
        <f t="shared" si="6"/>
        <v>211</v>
      </c>
      <c r="B218" s="6" t="s">
        <v>1070</v>
      </c>
      <c r="C218" s="6" t="s">
        <v>143</v>
      </c>
      <c r="D218" s="6" t="s">
        <v>17</v>
      </c>
      <c r="E218" s="6" t="s">
        <v>1069</v>
      </c>
      <c r="F218" s="6" t="s">
        <v>44</v>
      </c>
      <c r="G218" s="6">
        <v>1022360944</v>
      </c>
      <c r="H218" t="str">
        <f t="shared" si="7"/>
        <v>INSERT INTO `parqueadero`.`vehiculo` (`Oid`, `Placa`, `Medio`, `Tipo`, `Marca`, `Color`, `IdConductor`) VALUES ('211','JVT888','CAMIONETA','COMBUSTIBLE','BRONCO','ROJO','1022360944');</v>
      </c>
    </row>
    <row r="219" spans="1:8" ht="14.4" x14ac:dyDescent="0.3">
      <c r="A219" s="5">
        <f t="shared" si="6"/>
        <v>212</v>
      </c>
      <c r="B219" s="6" t="s">
        <v>1074</v>
      </c>
      <c r="C219" s="6" t="s">
        <v>115</v>
      </c>
      <c r="D219" s="6" t="s">
        <v>17</v>
      </c>
      <c r="E219" s="6" t="s">
        <v>202</v>
      </c>
      <c r="F219" s="6" t="s">
        <v>60</v>
      </c>
      <c r="G219" s="6">
        <v>3181809</v>
      </c>
      <c r="H219" t="str">
        <f t="shared" si="7"/>
        <v>INSERT INTO `parqueadero`.`vehiculo` (`Oid`, `Placa`, `Medio`, `Tipo`, `Marca`, `Color`, `IdConductor`) VALUES ('212','LLR904','AUTOMÓVIL','COMBUSTIBLE','VOLKSWAGEN','GRIS','3181809');</v>
      </c>
    </row>
    <row r="220" spans="1:8" ht="14.4" x14ac:dyDescent="0.3">
      <c r="A220" s="5">
        <f t="shared" si="6"/>
        <v>213</v>
      </c>
      <c r="B220" s="6" t="s">
        <v>1078</v>
      </c>
      <c r="C220" s="6" t="s">
        <v>115</v>
      </c>
      <c r="D220" s="6" t="s">
        <v>17</v>
      </c>
      <c r="E220" s="6" t="s">
        <v>164</v>
      </c>
      <c r="F220" s="6" t="s">
        <v>60</v>
      </c>
      <c r="G220" s="6">
        <v>1010184160</v>
      </c>
      <c r="H220" t="str">
        <f t="shared" si="7"/>
        <v>INSERT INTO `parqueadero`.`vehiculo` (`Oid`, `Placa`, `Medio`, `Tipo`, `Marca`, `Color`, `IdConductor`) VALUES ('213','ZXS854','AUTOMÓVIL','COMBUSTIBLE','KIA','GRIS','1010184160');</v>
      </c>
    </row>
    <row r="221" spans="1:8" ht="14.4" x14ac:dyDescent="0.3">
      <c r="A221" s="5">
        <f t="shared" si="6"/>
        <v>214</v>
      </c>
      <c r="B221" s="6" t="s">
        <v>1082</v>
      </c>
      <c r="C221" s="6" t="s">
        <v>143</v>
      </c>
      <c r="D221" s="6" t="s">
        <v>17</v>
      </c>
      <c r="E221" s="6" t="s">
        <v>214</v>
      </c>
      <c r="F221" s="6" t="s">
        <v>1083</v>
      </c>
      <c r="G221" s="6">
        <v>80268446</v>
      </c>
      <c r="H221" t="str">
        <f t="shared" si="7"/>
        <v>INSERT INTO `parqueadero`.`vehiculo` (`Oid`, `Placa`, `Medio`, `Tipo`, `Marca`, `Color`, `IdConductor`) VALUES ('214','UCT114','CAMIONETA','COMBUSTIBLE','CHEVROLET TRACKER','GRIS TECHNO','80268446');</v>
      </c>
    </row>
    <row r="222" spans="1:8" ht="14.4" x14ac:dyDescent="0.3">
      <c r="A222" s="5">
        <f t="shared" si="6"/>
        <v>215</v>
      </c>
      <c r="B222" s="17" t="s">
        <v>1088</v>
      </c>
      <c r="C222" s="6" t="s">
        <v>115</v>
      </c>
      <c r="D222" s="17" t="s">
        <v>17</v>
      </c>
      <c r="E222" s="6" t="s">
        <v>138</v>
      </c>
      <c r="F222" s="17" t="s">
        <v>66</v>
      </c>
      <c r="G222" s="17">
        <v>1140821506</v>
      </c>
      <c r="H222" t="str">
        <f t="shared" si="7"/>
        <v>INSERT INTO `parqueadero`.`vehiculo` (`Oid`, `Placa`, `Medio`, `Tipo`, `Marca`, `Color`, `IdConductor`) VALUES ('215','HWM047','AUTOMÓVIL','COMBUSTIBLE','RENAULT SANDERO','BLANCO','1140821506');</v>
      </c>
    </row>
    <row r="223" spans="1:8" ht="14.4" x14ac:dyDescent="0.3">
      <c r="A223" s="5">
        <f t="shared" si="6"/>
        <v>216</v>
      </c>
      <c r="B223" s="6" t="s">
        <v>1092</v>
      </c>
      <c r="C223" s="6" t="s">
        <v>143</v>
      </c>
      <c r="D223" s="6" t="s">
        <v>17</v>
      </c>
      <c r="E223" s="6" t="s">
        <v>1036</v>
      </c>
      <c r="F223" s="6" t="s">
        <v>1093</v>
      </c>
      <c r="G223" s="6">
        <v>52146673</v>
      </c>
      <c r="H223" t="str">
        <f t="shared" si="7"/>
        <v>INSERT INTO `parqueadero`.`vehiculo` (`Oid`, `Placa`, `Medio`, `Tipo`, `Marca`, `Color`, `IdConductor`) VALUES ('216','GPX812','CAMIONETA','COMBUSTIBLE','SUBARU','TUGSTENO','52146673');</v>
      </c>
    </row>
    <row r="224" spans="1:8" ht="14.4" x14ac:dyDescent="0.3">
      <c r="A224" s="5">
        <f t="shared" si="6"/>
        <v>217</v>
      </c>
      <c r="B224" s="6" t="s">
        <v>1097</v>
      </c>
      <c r="C224" s="6" t="s">
        <v>115</v>
      </c>
      <c r="D224" s="6" t="s">
        <v>17</v>
      </c>
      <c r="E224" s="6" t="s">
        <v>304</v>
      </c>
      <c r="F224" s="6" t="s">
        <v>248</v>
      </c>
      <c r="G224" s="6">
        <v>52353521</v>
      </c>
      <c r="H224" t="str">
        <f t="shared" si="7"/>
        <v>INSERT INTO `parqueadero`.`vehiculo` (`Oid`, `Placa`, `Medio`, `Tipo`, `Marca`, `Color`, `IdConductor`) VALUES ('217','RGN450','AUTOMÓVIL','COMBUSTIBLE','RENAULT','GRIS PLATA','52353521');</v>
      </c>
    </row>
    <row r="225" spans="1:8" ht="14.4" x14ac:dyDescent="0.3">
      <c r="A225" s="5">
        <f t="shared" si="6"/>
        <v>218</v>
      </c>
      <c r="B225" s="17" t="s">
        <v>1102</v>
      </c>
      <c r="C225" s="6" t="s">
        <v>115</v>
      </c>
      <c r="D225" s="6" t="s">
        <v>253</v>
      </c>
      <c r="E225" s="17" t="s">
        <v>1101</v>
      </c>
      <c r="F225" s="17" t="s">
        <v>248</v>
      </c>
      <c r="G225" s="17">
        <v>53178070</v>
      </c>
      <c r="H225" t="str">
        <f t="shared" si="7"/>
        <v>INSERT INTO `parqueadero`.`vehiculo` (`Oid`, `Placa`, `Medio`, `Tipo`, `Marca`, `Color`, `IdConductor`) VALUES ('218','PCN272','AUTOMÓVIL','HÍBRIDO','CHERY TIGO','GRIS PLATA','53178070');</v>
      </c>
    </row>
    <row r="226" spans="1:8" ht="14.4" x14ac:dyDescent="0.3">
      <c r="A226" s="5">
        <f t="shared" si="6"/>
        <v>219</v>
      </c>
      <c r="B226" s="6" t="s">
        <v>1106</v>
      </c>
      <c r="C226" s="6" t="s">
        <v>143</v>
      </c>
      <c r="D226" s="6" t="s">
        <v>17</v>
      </c>
      <c r="E226" s="6" t="s">
        <v>501</v>
      </c>
      <c r="F226" s="6" t="s">
        <v>52</v>
      </c>
      <c r="G226" s="6">
        <v>79867029</v>
      </c>
      <c r="H226" t="str">
        <f t="shared" si="7"/>
        <v>INSERT INTO `parqueadero`.`vehiculo` (`Oid`, `Placa`, `Medio`, `Tipo`, `Marca`, `Color`, `IdConductor`) VALUES ('219','HVU392','CAMIONETA','COMBUSTIBLE','NISSAN','PLATA','79867029');</v>
      </c>
    </row>
    <row r="227" spans="1:8" ht="14.4" x14ac:dyDescent="0.3">
      <c r="A227" s="5">
        <f t="shared" si="6"/>
        <v>220</v>
      </c>
      <c r="B227" s="6" t="s">
        <v>1110</v>
      </c>
      <c r="C227" s="6" t="s">
        <v>115</v>
      </c>
      <c r="D227" s="6" t="s">
        <v>17</v>
      </c>
      <c r="E227" s="6" t="s">
        <v>294</v>
      </c>
      <c r="F227" s="6" t="s">
        <v>24</v>
      </c>
      <c r="G227" s="6">
        <v>79944990</v>
      </c>
      <c r="H227" t="str">
        <f t="shared" si="7"/>
        <v>INSERT INTO `parqueadero`.`vehiculo` (`Oid`, `Placa`, `Medio`, `Tipo`, `Marca`, `Color`, `IdConductor`) VALUES ('220','FYO593','AUTOMÓVIL','COMBUSTIBLE','FORD','NEGRO','79944990');</v>
      </c>
    </row>
    <row r="228" spans="1:8" ht="14.4" x14ac:dyDescent="0.3">
      <c r="A228" s="5">
        <f t="shared" si="6"/>
        <v>221</v>
      </c>
      <c r="B228" s="17" t="s">
        <v>1114</v>
      </c>
      <c r="C228" s="6" t="s">
        <v>143</v>
      </c>
      <c r="D228" s="17" t="s">
        <v>17</v>
      </c>
      <c r="E228" s="6" t="s">
        <v>202</v>
      </c>
      <c r="F228" s="17" t="s">
        <v>44</v>
      </c>
      <c r="G228" s="17">
        <v>79328078</v>
      </c>
      <c r="H228" t="str">
        <f t="shared" si="7"/>
        <v>INSERT INTO `parqueadero`.`vehiculo` (`Oid`, `Placa`, `Medio`, `Tipo`, `Marca`, `Color`, `IdConductor`) VALUES ('221','NUS236','CAMIONETA','COMBUSTIBLE','VOLKSWAGEN','ROJO','79328078');</v>
      </c>
    </row>
    <row r="229" spans="1:8" ht="14.4" x14ac:dyDescent="0.3">
      <c r="A229" s="5">
        <f t="shared" si="6"/>
        <v>222</v>
      </c>
      <c r="B229" s="17" t="s">
        <v>1118</v>
      </c>
      <c r="C229" s="6" t="s">
        <v>2195</v>
      </c>
      <c r="D229" s="17" t="s">
        <v>17</v>
      </c>
      <c r="E229" s="17" t="s">
        <v>276</v>
      </c>
      <c r="F229" s="17" t="s">
        <v>24</v>
      </c>
      <c r="G229" s="17">
        <v>1014279715</v>
      </c>
      <c r="H229" t="str">
        <f t="shared" si="7"/>
        <v>INSERT INTO `parqueadero`.`vehiculo` (`Oid`, `Placa`, `Medio`, `Tipo`, `Marca`, `Color`, `IdConductor`) VALUES ('222','LUM74G','MOTOCICLETA','COMBUSTIBLE','SUZUKI','NEGRO','1014279715');</v>
      </c>
    </row>
    <row r="230" spans="1:8" ht="14.4" x14ac:dyDescent="0.3">
      <c r="A230" s="5">
        <f t="shared" si="6"/>
        <v>223</v>
      </c>
      <c r="B230" s="6" t="s">
        <v>1123</v>
      </c>
      <c r="C230" s="6" t="s">
        <v>115</v>
      </c>
      <c r="D230" s="6" t="s">
        <v>17</v>
      </c>
      <c r="E230" s="6" t="s">
        <v>1122</v>
      </c>
      <c r="F230" s="6" t="s">
        <v>60</v>
      </c>
      <c r="G230" s="6">
        <v>1026302501</v>
      </c>
      <c r="H230" t="str">
        <f t="shared" si="7"/>
        <v>INSERT INTO `parqueadero`.`vehiculo` (`Oid`, `Placa`, `Medio`, `Tipo`, `Marca`, `Color`, `IdConductor`) VALUES ('223','ZXY753','AUTOMÓVIL','COMBUSTIBLE','DODGE','GRIS','1026302501');</v>
      </c>
    </row>
    <row r="231" spans="1:8" ht="14.4" x14ac:dyDescent="0.3">
      <c r="A231" s="5">
        <f t="shared" si="6"/>
        <v>224</v>
      </c>
      <c r="B231" s="6" t="s">
        <v>1128</v>
      </c>
      <c r="C231" s="6" t="s">
        <v>143</v>
      </c>
      <c r="D231" s="6" t="s">
        <v>17</v>
      </c>
      <c r="E231" s="6" t="s">
        <v>1127</v>
      </c>
      <c r="F231" s="6" t="s">
        <v>18</v>
      </c>
      <c r="G231" s="6">
        <v>1110473907</v>
      </c>
      <c r="H231" t="str">
        <f t="shared" si="7"/>
        <v>INSERT INTO `parqueadero`.`vehiculo` (`Oid`, `Placa`, `Medio`, `Tipo`, `Marca`, `Color`, `IdConductor`) VALUES ('224','JXV942','CAMIONETA','COMBUSTIBLE','AUDI Q3','AZUL','1110473907');</v>
      </c>
    </row>
    <row r="232" spans="1:8" ht="14.4" x14ac:dyDescent="0.3">
      <c r="A232" s="5">
        <f t="shared" si="6"/>
        <v>225</v>
      </c>
      <c r="B232" s="6" t="s">
        <v>1132</v>
      </c>
      <c r="C232" s="6" t="s">
        <v>115</v>
      </c>
      <c r="D232" s="6" t="s">
        <v>17</v>
      </c>
      <c r="E232" s="6" t="s">
        <v>1543</v>
      </c>
      <c r="F232" s="6" t="s">
        <v>1133</v>
      </c>
      <c r="G232" s="6">
        <v>79867042</v>
      </c>
      <c r="H232" t="str">
        <f t="shared" si="7"/>
        <v>INSERT INTO `parqueadero`.`vehiculo` (`Oid`, `Placa`, `Medio`, `Tipo`, `Marca`, `Color`, `IdConductor`) VALUES ('225','JUW580','AUTOMÓVIL','COMBUSTIBLE','RENAULT LOGAN','GRIS ESTRELLA','79867042');</v>
      </c>
    </row>
    <row r="233" spans="1:8" ht="14.4" x14ac:dyDescent="0.3">
      <c r="A233" s="5">
        <f t="shared" si="6"/>
        <v>226</v>
      </c>
      <c r="B233" s="6" t="s">
        <v>1137</v>
      </c>
      <c r="C233" s="6" t="s">
        <v>2195</v>
      </c>
      <c r="D233" s="6" t="s">
        <v>17</v>
      </c>
      <c r="E233" s="6" t="s">
        <v>56</v>
      </c>
      <c r="F233" s="6" t="s">
        <v>24</v>
      </c>
      <c r="G233" s="6">
        <v>1049632235</v>
      </c>
      <c r="H233" t="str">
        <f t="shared" si="7"/>
        <v>INSERT INTO `parqueadero`.`vehiculo` (`Oid`, `Placa`, `Medio`, `Tipo`, `Marca`, `Color`, `IdConductor`) VALUES ('226','BTD47G','MOTOCICLETA','COMBUSTIBLE','HONDA','NEGRO','1049632235');</v>
      </c>
    </row>
    <row r="234" spans="1:8" ht="14.4" x14ac:dyDescent="0.3">
      <c r="A234" s="5">
        <f t="shared" si="6"/>
        <v>227</v>
      </c>
      <c r="B234" s="6" t="s">
        <v>1142</v>
      </c>
      <c r="C234" s="6" t="s">
        <v>2195</v>
      </c>
      <c r="D234" s="6" t="s">
        <v>17</v>
      </c>
      <c r="E234" s="6" t="s">
        <v>276</v>
      </c>
      <c r="F234" s="6" t="s">
        <v>24</v>
      </c>
      <c r="G234" s="6">
        <v>1018492612</v>
      </c>
      <c r="H234" t="str">
        <f t="shared" si="7"/>
        <v>INSERT INTO `parqueadero`.`vehiculo` (`Oid`, `Placa`, `Medio`, `Tipo`, `Marca`, `Color`, `IdConductor`) VALUES ('227','IBM82G','MOTOCICLETA','COMBUSTIBLE','SUZUKI','NEGRO','1018492612');</v>
      </c>
    </row>
    <row r="235" spans="1:8" ht="14.4" x14ac:dyDescent="0.3">
      <c r="A235" s="5">
        <f t="shared" si="6"/>
        <v>228</v>
      </c>
      <c r="B235" s="6" t="s">
        <v>1147</v>
      </c>
      <c r="C235" s="6" t="s">
        <v>115</v>
      </c>
      <c r="D235" s="6" t="s">
        <v>17</v>
      </c>
      <c r="E235" s="6" t="s">
        <v>1543</v>
      </c>
      <c r="F235" s="6" t="s">
        <v>221</v>
      </c>
      <c r="G235" s="6">
        <v>52226898</v>
      </c>
      <c r="H235" t="str">
        <f t="shared" si="7"/>
        <v>INSERT INTO `parqueadero`.`vehiculo` (`Oid`, `Placa`, `Medio`, `Tipo`, `Marca`, `Color`, `IdConductor`) VALUES ('228','LNL250','AUTOMÓVIL','COMBUSTIBLE','RENAULT LOGAN','GRIS CASIOPE','52226898');</v>
      </c>
    </row>
    <row r="236" spans="1:8" ht="14.4" x14ac:dyDescent="0.3">
      <c r="A236" s="5">
        <f t="shared" si="6"/>
        <v>229</v>
      </c>
      <c r="B236" s="6" t="s">
        <v>1157</v>
      </c>
      <c r="C236" s="6" t="s">
        <v>115</v>
      </c>
      <c r="D236" s="6" t="s">
        <v>17</v>
      </c>
      <c r="E236" s="6" t="s">
        <v>1156</v>
      </c>
      <c r="F236" s="6" t="s">
        <v>66</v>
      </c>
      <c r="G236" s="6">
        <v>1002524810</v>
      </c>
      <c r="H236" t="str">
        <f t="shared" si="7"/>
        <v>INSERT INTO `parqueadero`.`vehiculo` (`Oid`, `Placa`, `Medio`, `Tipo`, `Marca`, `Color`, `IdConductor`) VALUES ('229','FNY049','AUTOMÓVIL','COMBUSTIBLE','CHEVROLET SPARK','BLANCO','1002524810');</v>
      </c>
    </row>
    <row r="237" spans="1:8" ht="14.4" x14ac:dyDescent="0.3">
      <c r="A237" s="5">
        <f t="shared" si="6"/>
        <v>230</v>
      </c>
      <c r="B237" s="6" t="s">
        <v>1162</v>
      </c>
      <c r="C237" s="6" t="s">
        <v>2195</v>
      </c>
      <c r="D237" s="6" t="s">
        <v>17</v>
      </c>
      <c r="E237" s="6" t="s">
        <v>1161</v>
      </c>
      <c r="F237" s="6" t="s">
        <v>24</v>
      </c>
      <c r="G237" s="6">
        <v>1020828035</v>
      </c>
      <c r="H237" t="str">
        <f t="shared" si="7"/>
        <v>INSERT INTO `parqueadero`.`vehiculo` (`Oid`, `Placa`, `Medio`, `Tipo`, `Marca`, `Color`, `IdConductor`) VALUES ('230','KXE25G','MOTOCICLETA','COMBUSTIBLE','VICTORY','NEGRO','1020828035');</v>
      </c>
    </row>
    <row r="238" spans="1:8" ht="14.4" x14ac:dyDescent="0.3">
      <c r="A238" s="5">
        <f t="shared" si="6"/>
        <v>231</v>
      </c>
      <c r="B238" s="17" t="s">
        <v>1167</v>
      </c>
      <c r="C238" s="6" t="s">
        <v>143</v>
      </c>
      <c r="D238" s="6" t="s">
        <v>253</v>
      </c>
      <c r="E238" s="17" t="s">
        <v>1166</v>
      </c>
      <c r="F238" s="17" t="s">
        <v>773</v>
      </c>
      <c r="G238" s="17">
        <v>1136888167</v>
      </c>
      <c r="H238" t="str">
        <f t="shared" si="7"/>
        <v>INSERT INTO `parqueadero`.`vehiculo` (`Oid`, `Placa`, `Medio`, `Tipo`, `Marca`, `Color`, `IdConductor`) VALUES ('231','PAX983','CAMIONETA','HÍBRIDO','CHANGAN','GRIS GRAFITO','1136888167');</v>
      </c>
    </row>
    <row r="239" spans="1:8" ht="14.4" x14ac:dyDescent="0.3">
      <c r="A239" s="5">
        <f t="shared" si="6"/>
        <v>232</v>
      </c>
      <c r="B239" s="6" t="s">
        <v>1170</v>
      </c>
      <c r="C239" s="6" t="s">
        <v>115</v>
      </c>
      <c r="D239" s="6" t="s">
        <v>17</v>
      </c>
      <c r="E239" s="6" t="s">
        <v>138</v>
      </c>
      <c r="F239" s="6" t="s">
        <v>1171</v>
      </c>
      <c r="G239" s="6">
        <v>52084821</v>
      </c>
      <c r="H239" t="str">
        <f t="shared" si="7"/>
        <v>INSERT INTO `parqueadero`.`vehiculo` (`Oid`, `Placa`, `Medio`, `Tipo`, `Marca`, `Color`, `IdConductor`) VALUES ('232','GCQ531','AUTOMÓVIL','COMBUSTIBLE','RENAULT SANDERO','GRIS PERLA','52084821');</v>
      </c>
    </row>
    <row r="240" spans="1:8" ht="14.4" x14ac:dyDescent="0.3">
      <c r="A240" s="5">
        <f t="shared" si="6"/>
        <v>233</v>
      </c>
      <c r="B240" s="17" t="s">
        <v>1179</v>
      </c>
      <c r="C240" s="6" t="s">
        <v>2195</v>
      </c>
      <c r="D240" s="17" t="s">
        <v>17</v>
      </c>
      <c r="E240" s="17" t="s">
        <v>701</v>
      </c>
      <c r="F240" s="17" t="s">
        <v>66</v>
      </c>
      <c r="G240" s="17">
        <v>80897139</v>
      </c>
      <c r="H240" t="str">
        <f t="shared" si="7"/>
        <v>INSERT INTO `parqueadero`.`vehiculo` (`Oid`, `Placa`, `Medio`, `Tipo`, `Marca`, `Color`, `IdConductor`) VALUES ('233','QVH56C','MOTOCICLETA','COMBUSTIBLE','YAMAHA','BLANCO','80897139');</v>
      </c>
    </row>
    <row r="241" spans="1:8" ht="14.4" x14ac:dyDescent="0.3">
      <c r="A241" s="5">
        <f t="shared" si="6"/>
        <v>234</v>
      </c>
      <c r="B241" s="6" t="s">
        <v>1182</v>
      </c>
      <c r="C241" s="6" t="s">
        <v>143</v>
      </c>
      <c r="D241" s="6" t="s">
        <v>17</v>
      </c>
      <c r="E241" s="6" t="s">
        <v>202</v>
      </c>
      <c r="F241" s="6" t="s">
        <v>96</v>
      </c>
      <c r="G241" s="6">
        <v>51736627</v>
      </c>
      <c r="H241" t="str">
        <f t="shared" si="7"/>
        <v>INSERT INTO `parqueadero`.`vehiculo` (`Oid`, `Placa`, `Medio`, `Tipo`, `Marca`, `Color`, `IdConductor`) VALUES ('234','FPV215','CAMIONETA','COMBUSTIBLE','VOLKSWAGEN','GRIS PLATINO METALICO','51736627');</v>
      </c>
    </row>
    <row r="242" spans="1:8" ht="14.4" x14ac:dyDescent="0.3">
      <c r="A242" s="5">
        <f t="shared" si="6"/>
        <v>235</v>
      </c>
      <c r="B242" s="6" t="s">
        <v>1186</v>
      </c>
      <c r="C242" s="6" t="s">
        <v>115</v>
      </c>
      <c r="D242" s="6" t="s">
        <v>17</v>
      </c>
      <c r="E242" s="6" t="s">
        <v>781</v>
      </c>
      <c r="F242" s="6" t="s">
        <v>166</v>
      </c>
      <c r="G242" s="6">
        <v>51655384</v>
      </c>
      <c r="H242" t="str">
        <f t="shared" si="7"/>
        <v>INSERT INTO `parqueadero`.`vehiculo` (`Oid`, `Placa`, `Medio`, `Tipo`, `Marca`, `Color`, `IdConductor`) VALUES ('235','IJL691','AUTOMÓVIL','COMBUSTIBLE','CHEVROLET SONIC','GRIS OSCURO','51655384');</v>
      </c>
    </row>
    <row r="243" spans="1:8" ht="14.4" x14ac:dyDescent="0.3">
      <c r="A243" s="5">
        <f t="shared" si="6"/>
        <v>236</v>
      </c>
      <c r="B243" s="6" t="s">
        <v>1191</v>
      </c>
      <c r="C243" s="6" t="s">
        <v>115</v>
      </c>
      <c r="D243" s="6" t="s">
        <v>17</v>
      </c>
      <c r="E243" s="6" t="s">
        <v>1190</v>
      </c>
      <c r="F243" s="6" t="s">
        <v>1192</v>
      </c>
      <c r="G243" s="6">
        <v>19366198</v>
      </c>
      <c r="H243" t="str">
        <f t="shared" si="7"/>
        <v>INSERT INTO `parqueadero`.`vehiculo` (`Oid`, `Placa`, `Medio`, `Tipo`, `Marca`, `Color`, `IdConductor`) VALUES ('236','KOV035','AUTOMÓVIL','COMBUSTIBLE','CHEVROLET JOY','GRIS SATIN','19366198');</v>
      </c>
    </row>
    <row r="244" spans="1:8" ht="14.4" x14ac:dyDescent="0.3">
      <c r="A244" s="5">
        <f t="shared" si="6"/>
        <v>237</v>
      </c>
      <c r="B244" s="17" t="s">
        <v>1196</v>
      </c>
      <c r="C244" s="6" t="s">
        <v>143</v>
      </c>
      <c r="D244" s="17" t="s">
        <v>17</v>
      </c>
      <c r="E244" s="17" t="s">
        <v>75</v>
      </c>
      <c r="F244" s="17" t="s">
        <v>66</v>
      </c>
      <c r="G244" s="17">
        <v>1010185027</v>
      </c>
      <c r="H244" t="str">
        <f t="shared" si="7"/>
        <v>INSERT INTO `parqueadero`.`vehiculo` (`Oid`, `Placa`, `Medio`, `Tipo`, `Marca`, `Color`, `IdConductor`) VALUES ('237','FQP716','CAMIONETA','COMBUSTIBLE','MAZDA','BLANCO','1010185027');</v>
      </c>
    </row>
    <row r="245" spans="1:8" ht="14.4" x14ac:dyDescent="0.3">
      <c r="A245" s="5">
        <f t="shared" si="6"/>
        <v>238</v>
      </c>
      <c r="B245" s="17" t="s">
        <v>1201</v>
      </c>
      <c r="C245" s="6" t="s">
        <v>143</v>
      </c>
      <c r="D245" s="17" t="s">
        <v>17</v>
      </c>
      <c r="E245" s="17" t="s">
        <v>1200</v>
      </c>
      <c r="F245" s="17" t="s">
        <v>66</v>
      </c>
      <c r="G245" s="17">
        <v>1019025949</v>
      </c>
      <c r="H245" t="str">
        <f t="shared" si="7"/>
        <v>INSERT INTO `parqueadero`.`vehiculo` (`Oid`, `Placa`, `Medio`, `Tipo`, `Marca`, `Color`, `IdConductor`) VALUES ('238','RKP236','CAMIONETA','COMBUSTIBLE','CHEVROLET CAPTIVA','BLANCO','1019025949');</v>
      </c>
    </row>
    <row r="246" spans="1:8" ht="14.4" x14ac:dyDescent="0.3">
      <c r="A246" s="5">
        <f t="shared" si="6"/>
        <v>239</v>
      </c>
      <c r="B246" s="17" t="s">
        <v>1205</v>
      </c>
      <c r="C246" s="6" t="s">
        <v>115</v>
      </c>
      <c r="D246" s="17" t="s">
        <v>17</v>
      </c>
      <c r="E246" s="17" t="s">
        <v>196</v>
      </c>
      <c r="F246" s="17" t="s">
        <v>1206</v>
      </c>
      <c r="G246" s="17">
        <v>79967484</v>
      </c>
      <c r="H246" t="str">
        <f t="shared" si="7"/>
        <v>INSERT INTO `parqueadero`.`vehiculo` (`Oid`, `Placa`, `Medio`, `Tipo`, `Marca`, `Color`, `IdConductor`) VALUES ('239','JWY962','AUTOMÓVIL','COMBUSTIBLE','NISSAN VERSA','AZUL COBALTO','79967484');</v>
      </c>
    </row>
    <row r="247" spans="1:8" ht="14.4" x14ac:dyDescent="0.3">
      <c r="A247" s="5">
        <f t="shared" si="6"/>
        <v>240</v>
      </c>
      <c r="B247" s="17" t="s">
        <v>1210</v>
      </c>
      <c r="C247" s="6" t="s">
        <v>115</v>
      </c>
      <c r="D247" s="17" t="s">
        <v>17</v>
      </c>
      <c r="E247" s="17" t="s">
        <v>304</v>
      </c>
      <c r="F247" s="17" t="s">
        <v>24</v>
      </c>
      <c r="G247" s="17">
        <v>74370778</v>
      </c>
      <c r="H247" t="str">
        <f t="shared" si="7"/>
        <v>INSERT INTO `parqueadero`.`vehiculo` (`Oid`, `Placa`, `Medio`, `Tipo`, `Marca`, `Color`, `IdConductor`) VALUES ('240','IWP358','AUTOMÓVIL','COMBUSTIBLE','RENAULT','NEGRO','74370778');</v>
      </c>
    </row>
    <row r="248" spans="1:8" ht="14.4" x14ac:dyDescent="0.3">
      <c r="A248" s="5">
        <f t="shared" si="6"/>
        <v>241</v>
      </c>
      <c r="B248" s="6" t="s">
        <v>1215</v>
      </c>
      <c r="C248" s="6" t="s">
        <v>115</v>
      </c>
      <c r="D248" s="6" t="s">
        <v>253</v>
      </c>
      <c r="E248" s="6" t="s">
        <v>1214</v>
      </c>
      <c r="F248" s="6" t="s">
        <v>1216</v>
      </c>
      <c r="G248" s="6">
        <v>1015399199</v>
      </c>
      <c r="H248" t="str">
        <f t="shared" si="7"/>
        <v>INSERT INTO `parqueadero`.`vehiculo` (`Oid`, `Placa`, `Medio`, `Tipo`, `Marca`, `Color`, `IdConductor`) VALUES ('241','PDX410','AUTOMÓVIL','HÍBRIDO','CUPRA','GRIS NOCHE','1015399199');</v>
      </c>
    </row>
    <row r="249" spans="1:8" ht="14.4" x14ac:dyDescent="0.3">
      <c r="A249" s="5">
        <f t="shared" si="6"/>
        <v>242</v>
      </c>
      <c r="B249" s="6" t="s">
        <v>1221</v>
      </c>
      <c r="C249" s="6" t="s">
        <v>115</v>
      </c>
      <c r="D249" s="6" t="s">
        <v>253</v>
      </c>
      <c r="E249" s="6" t="s">
        <v>1220</v>
      </c>
      <c r="F249" s="6" t="s">
        <v>60</v>
      </c>
      <c r="G249" s="6">
        <v>79331288</v>
      </c>
      <c r="H249" t="str">
        <f t="shared" si="7"/>
        <v>INSERT INTO `parqueadero`.`vehiculo` (`Oid`, `Placa`, `Medio`, `Tipo`, `Marca`, `Color`, `IdConductor`) VALUES ('242','PZS643','AUTOMÓVIL','HÍBRIDO','HIUNDAY','GRIS','79331288');</v>
      </c>
    </row>
    <row r="250" spans="1:8" ht="14.4" x14ac:dyDescent="0.3">
      <c r="A250" s="5">
        <f t="shared" si="6"/>
        <v>243</v>
      </c>
      <c r="B250" s="17" t="s">
        <v>1225</v>
      </c>
      <c r="C250" s="6" t="s">
        <v>115</v>
      </c>
      <c r="D250" s="17" t="s">
        <v>17</v>
      </c>
      <c r="E250" s="17" t="s">
        <v>58</v>
      </c>
      <c r="F250" s="17" t="s">
        <v>18</v>
      </c>
      <c r="G250" s="17">
        <v>1012383494</v>
      </c>
      <c r="H250" t="str">
        <f t="shared" si="7"/>
        <v>INSERT INTO `parqueadero`.`vehiculo` (`Oid`, `Placa`, `Medio`, `Tipo`, `Marca`, `Color`, `IdConductor`) VALUES ('243','JLX436','AUTOMÓVIL','COMBUSTIBLE','CHEVROLET','AZUL','1012383494');</v>
      </c>
    </row>
    <row r="251" spans="1:8" ht="14.4" x14ac:dyDescent="0.3">
      <c r="A251" s="5">
        <f t="shared" si="6"/>
        <v>244</v>
      </c>
      <c r="B251" s="17" t="s">
        <v>1231</v>
      </c>
      <c r="C251" s="6" t="s">
        <v>2195</v>
      </c>
      <c r="D251" s="17" t="s">
        <v>17</v>
      </c>
      <c r="E251" s="17" t="s">
        <v>1230</v>
      </c>
      <c r="F251" s="17" t="s">
        <v>1232</v>
      </c>
      <c r="G251" s="17">
        <v>1026578164</v>
      </c>
      <c r="H251" t="str">
        <f t="shared" si="7"/>
        <v>INSERT INTO `parqueadero`.`vehiculo` (`Oid`, `Placa`, `Medio`, `Tipo`, `Marca`, `Color`, `IdConductor`) VALUES ('244','VEK73F','MOTOCICLETA','COMBUSTIBLE','KTM','NARANJA Y NEGRO','1026578164');</v>
      </c>
    </row>
    <row r="252" spans="1:8" ht="14.4" x14ac:dyDescent="0.3">
      <c r="A252" s="5">
        <f t="shared" si="6"/>
        <v>245</v>
      </c>
      <c r="B252" s="6" t="s">
        <v>1235</v>
      </c>
      <c r="C252" s="6" t="s">
        <v>115</v>
      </c>
      <c r="D252" s="6" t="s">
        <v>253</v>
      </c>
      <c r="E252" s="6" t="s">
        <v>276</v>
      </c>
      <c r="F252" s="6" t="s">
        <v>18</v>
      </c>
      <c r="G252" s="6">
        <v>79794570</v>
      </c>
      <c r="H252" t="str">
        <f t="shared" si="7"/>
        <v>INSERT INTO `parqueadero`.`vehiculo` (`Oid`, `Placa`, `Medio`, `Tipo`, `Marca`, `Color`, `IdConductor`) VALUES ('245','NLZ576','AUTOMÓVIL','HÍBRIDO','SUZUKI','AZUL','79794570');</v>
      </c>
    </row>
    <row r="253" spans="1:8" ht="14.4" x14ac:dyDescent="0.3">
      <c r="A253" s="5">
        <f t="shared" si="6"/>
        <v>246</v>
      </c>
      <c r="B253" s="6" t="s">
        <v>1239</v>
      </c>
      <c r="C253" s="6" t="s">
        <v>115</v>
      </c>
      <c r="D253" s="6" t="s">
        <v>17</v>
      </c>
      <c r="E253" s="6" t="s">
        <v>452</v>
      </c>
      <c r="F253" s="6" t="s">
        <v>1240</v>
      </c>
      <c r="G253" s="6">
        <v>80755333</v>
      </c>
      <c r="H253" t="str">
        <f t="shared" si="7"/>
        <v>INSERT INTO `parqueadero`.`vehiculo` (`Oid`, `Placa`, `Medio`, `Tipo`, `Marca`, `Color`, `IdConductor`) VALUES ('246','POT373','AUTOMÓVIL','COMBUSTIBLE','KWID','AZUL IRON','80755333');</v>
      </c>
    </row>
    <row r="254" spans="1:8" ht="14.4" x14ac:dyDescent="0.3">
      <c r="A254" s="5">
        <f t="shared" si="6"/>
        <v>247</v>
      </c>
      <c r="B254" s="6" t="s">
        <v>1244</v>
      </c>
      <c r="C254" s="6" t="s">
        <v>143</v>
      </c>
      <c r="D254" s="6" t="s">
        <v>17</v>
      </c>
      <c r="E254" s="6" t="s">
        <v>2296</v>
      </c>
      <c r="F254" s="6" t="s">
        <v>1245</v>
      </c>
      <c r="G254" s="6">
        <v>79547192</v>
      </c>
      <c r="H254" t="str">
        <f t="shared" si="7"/>
        <v>INSERT INTO `parqueadero`.`vehiculo` (`Oid`, `Placa`, `Medio`, `Tipo`, `Marca`, `Color`, `IdConductor`) VALUES ('247','URT559','CAMIONETA','COMBUSTIBLE','CHERY VAN','ROJO IMPERIAL','79547192');</v>
      </c>
    </row>
    <row r="255" spans="1:8" ht="14.4" x14ac:dyDescent="0.3">
      <c r="A255" s="5">
        <f t="shared" si="6"/>
        <v>248</v>
      </c>
      <c r="B255" s="6" t="s">
        <v>1249</v>
      </c>
      <c r="C255" s="6" t="s">
        <v>143</v>
      </c>
      <c r="D255" s="6" t="s">
        <v>253</v>
      </c>
      <c r="E255" s="6" t="s">
        <v>64</v>
      </c>
      <c r="F255" s="6" t="s">
        <v>60</v>
      </c>
      <c r="G255" s="6">
        <v>63548541</v>
      </c>
      <c r="H255" t="str">
        <f t="shared" si="7"/>
        <v>INSERT INTO `parqueadero`.`vehiculo` (`Oid`, `Placa`, `Medio`, `Tipo`, `Marca`, `Color`, `IdConductor`) VALUES ('248','KWO992','CAMIONETA','HÍBRIDO','TOYOTA','GRIS','63548541');</v>
      </c>
    </row>
    <row r="256" spans="1:8" ht="14.4" x14ac:dyDescent="0.3">
      <c r="A256" s="5">
        <f t="shared" si="6"/>
        <v>249</v>
      </c>
      <c r="B256" s="6" t="s">
        <v>1253</v>
      </c>
      <c r="C256" s="6" t="s">
        <v>115</v>
      </c>
      <c r="D256" s="6" t="s">
        <v>17</v>
      </c>
      <c r="E256" s="6" t="s">
        <v>202</v>
      </c>
      <c r="F256" s="6" t="s">
        <v>60</v>
      </c>
      <c r="G256" s="6">
        <v>52265674</v>
      </c>
      <c r="H256" t="str">
        <f t="shared" si="7"/>
        <v>INSERT INTO `parqueadero`.`vehiculo` (`Oid`, `Placa`, `Medio`, `Tipo`, `Marca`, `Color`, `IdConductor`) VALUES ('249','LOZ836','AUTOMÓVIL','COMBUSTIBLE','VOLKSWAGEN','GRIS','52265674');</v>
      </c>
    </row>
    <row r="257" spans="1:8" ht="14.4" x14ac:dyDescent="0.3">
      <c r="A257" s="5">
        <f t="shared" si="6"/>
        <v>250</v>
      </c>
      <c r="B257" s="6" t="s">
        <v>1257</v>
      </c>
      <c r="C257" s="6" t="s">
        <v>143</v>
      </c>
      <c r="D257" s="6" t="s">
        <v>17</v>
      </c>
      <c r="E257" s="6" t="s">
        <v>501</v>
      </c>
      <c r="F257" s="6" t="s">
        <v>52</v>
      </c>
      <c r="G257" s="6">
        <v>43877882</v>
      </c>
      <c r="H257" t="str">
        <f t="shared" si="7"/>
        <v>INSERT INTO `parqueadero`.`vehiculo` (`Oid`, `Placa`, `Medio`, `Tipo`, `Marca`, `Color`, `IdConductor`) VALUES ('250','ELS298','CAMIONETA','COMBUSTIBLE','NISSAN','PLATA','43877882');</v>
      </c>
    </row>
    <row r="258" spans="1:8" ht="14.4" x14ac:dyDescent="0.3">
      <c r="A258" s="5">
        <f t="shared" si="6"/>
        <v>251</v>
      </c>
      <c r="B258" s="6" t="s">
        <v>1262</v>
      </c>
      <c r="C258" s="6" t="s">
        <v>2195</v>
      </c>
      <c r="D258" s="6" t="s">
        <v>17</v>
      </c>
      <c r="E258" s="6" t="s">
        <v>276</v>
      </c>
      <c r="F258" s="6" t="s">
        <v>1263</v>
      </c>
      <c r="G258" s="6">
        <v>1010243381</v>
      </c>
      <c r="H258" t="str">
        <f t="shared" si="7"/>
        <v>INSERT INTO `parqueadero`.`vehiculo` (`Oid`, `Placa`, `Medio`, `Tipo`, `Marca`, `Color`, `IdConductor`) VALUES ('251','RSX87G','MOTOCICLETA','COMBUSTIBLE','SUZUKI','AZUL MATE','1010243381');</v>
      </c>
    </row>
    <row r="259" spans="1:8" ht="14.4" x14ac:dyDescent="0.3">
      <c r="A259" s="5">
        <f t="shared" si="6"/>
        <v>252</v>
      </c>
      <c r="B259" s="6" t="s">
        <v>1266</v>
      </c>
      <c r="C259" s="6" t="s">
        <v>115</v>
      </c>
      <c r="D259" s="6" t="s">
        <v>17</v>
      </c>
      <c r="E259" s="6" t="s">
        <v>58</v>
      </c>
      <c r="F259" s="6" t="s">
        <v>60</v>
      </c>
      <c r="G259" s="6">
        <v>1018493253</v>
      </c>
      <c r="H259" t="str">
        <f t="shared" si="7"/>
        <v>INSERT INTO `parqueadero`.`vehiculo` (`Oid`, `Placa`, `Medio`, `Tipo`, `Marca`, `Color`, `IdConductor`) VALUES ('252','MCZ065','AUTOMÓVIL','COMBUSTIBLE','CHEVROLET','GRIS','1018493253');</v>
      </c>
    </row>
    <row r="260" spans="1:8" ht="14.4" x14ac:dyDescent="0.3">
      <c r="A260" s="5">
        <f t="shared" si="6"/>
        <v>253</v>
      </c>
      <c r="B260" s="6" t="s">
        <v>1270</v>
      </c>
      <c r="C260" s="6" t="s">
        <v>2195</v>
      </c>
      <c r="D260" s="6" t="s">
        <v>17</v>
      </c>
      <c r="E260" s="6" t="s">
        <v>1269</v>
      </c>
      <c r="F260" s="6" t="s">
        <v>18</v>
      </c>
      <c r="G260" s="6">
        <v>1018428215</v>
      </c>
      <c r="H260" t="str">
        <f t="shared" si="7"/>
        <v>INSERT INTO `parqueadero`.`vehiculo` (`Oid`, `Placa`, `Medio`, `Tipo`, `Marca`, `Color`, `IdConductor`) VALUES ('253','BWG20C','MOTOCICLETA','COMBUSTIBLE','SUZUKI GS125','AZUL','1018428215');</v>
      </c>
    </row>
    <row r="261" spans="1:8" ht="14.4" x14ac:dyDescent="0.3">
      <c r="A261" s="5">
        <f t="shared" ref="A261:A322" si="8">ROW()-7</f>
        <v>254</v>
      </c>
      <c r="B261" s="6" t="s">
        <v>1273</v>
      </c>
      <c r="C261" s="6" t="s">
        <v>2195</v>
      </c>
      <c r="D261" s="6" t="s">
        <v>17</v>
      </c>
      <c r="E261" s="6" t="s">
        <v>1272</v>
      </c>
      <c r="F261" s="6" t="s">
        <v>1856</v>
      </c>
      <c r="G261" s="6">
        <v>1012397431</v>
      </c>
      <c r="H261" t="str">
        <f t="shared" si="7"/>
        <v>INSERT INTO `parqueadero`.`vehiculo` (`Oid`, `Placa`, `Medio`, `Tipo`, `Marca`, `Color`, `IdConductor`) VALUES ('254','UAQ31H','MOTOCICLETA','COMBUSTIBLE','YAMAHA FZ25 3.0','NEGRO - GRIS','1012397431');</v>
      </c>
    </row>
    <row r="262" spans="1:8" ht="14.4" x14ac:dyDescent="0.3">
      <c r="A262" s="5">
        <f t="shared" si="8"/>
        <v>255</v>
      </c>
      <c r="B262" s="6" t="s">
        <v>1277</v>
      </c>
      <c r="C262" s="6" t="s">
        <v>2195</v>
      </c>
      <c r="D262" s="6" t="s">
        <v>17</v>
      </c>
      <c r="E262" s="6" t="s">
        <v>1276</v>
      </c>
      <c r="F262" s="6" t="s">
        <v>24</v>
      </c>
      <c r="G262" s="6">
        <v>1012337063</v>
      </c>
      <c r="H262" t="str">
        <f t="shared" si="7"/>
        <v>INSERT INTO `parqueadero`.`vehiculo` (`Oid`, `Placa`, `Medio`, `Tipo`, `Marca`, `Color`, `IdConductor`) VALUES ('255','FXV46H','MOTOCICLETA','COMBUSTIBLE','HERO HUNK 160R','NEGRO','1012337063');</v>
      </c>
    </row>
    <row r="263" spans="1:8" ht="14.4" x14ac:dyDescent="0.3">
      <c r="A263" s="5">
        <f t="shared" si="8"/>
        <v>256</v>
      </c>
      <c r="B263" s="6" t="s">
        <v>1284</v>
      </c>
      <c r="C263" s="6" t="s">
        <v>143</v>
      </c>
      <c r="D263" s="6" t="s">
        <v>253</v>
      </c>
      <c r="E263" s="6" t="s">
        <v>1036</v>
      </c>
      <c r="F263" s="6" t="s">
        <v>66</v>
      </c>
      <c r="G263" s="6">
        <v>275407</v>
      </c>
      <c r="H263" t="str">
        <f t="shared" si="7"/>
        <v>INSERT INTO `parqueadero`.`vehiculo` (`Oid`, `Placa`, `Medio`, `Tipo`, `Marca`, `Color`, `IdConductor`) VALUES ('256','KWZ493','CAMIONETA','HÍBRIDO','SUBARU','BLANCO','275407');</v>
      </c>
    </row>
    <row r="264" spans="1:8" ht="14.4" x14ac:dyDescent="0.3">
      <c r="A264" s="5">
        <f t="shared" si="8"/>
        <v>257</v>
      </c>
      <c r="B264" s="6" t="s">
        <v>1287</v>
      </c>
      <c r="C264" s="6" t="s">
        <v>2195</v>
      </c>
      <c r="D264" s="6" t="s">
        <v>17</v>
      </c>
      <c r="E264" s="6" t="s">
        <v>2297</v>
      </c>
      <c r="F264" s="6" t="s">
        <v>66</v>
      </c>
      <c r="G264" s="6">
        <v>1000180027</v>
      </c>
      <c r="H264" t="str">
        <f t="shared" ref="H264:H327" si="9">CONCATENATE("INSERT INTO `parqueadero`.`vehiculo` (`",$A$7,"`, `",$B$7,"`, `",$C$7,"`, `",$D$7,"`, `",$E$7,"`, `",$F$7,"`, `",$G$7,"`) VALUES ('",A264,"','",B264,"','",C264,"','",D264,"','",E264,"','",F264,"','",G264,"');" )</f>
        <v>INSERT INTO `parqueadero`.`vehiculo` (`Oid`, `Placa`, `Medio`, `Tipo`, `Marca`, `Color`, `IdConductor`) VALUES ('257','ZFD64H','MOTOCICLETA','COMBUSTIBLE','AKT NKD 125','BLANCO','1000180027');</v>
      </c>
    </row>
    <row r="265" spans="1:8" ht="14.4" x14ac:dyDescent="0.3">
      <c r="A265" s="5">
        <f t="shared" si="8"/>
        <v>258</v>
      </c>
      <c r="B265" s="6" t="s">
        <v>1291</v>
      </c>
      <c r="C265" s="6" t="s">
        <v>143</v>
      </c>
      <c r="D265" s="6" t="s">
        <v>17</v>
      </c>
      <c r="E265" s="6" t="s">
        <v>1290</v>
      </c>
      <c r="F265" s="6" t="s">
        <v>18</v>
      </c>
      <c r="G265" s="6">
        <v>52712916</v>
      </c>
      <c r="H265" t="str">
        <f t="shared" si="9"/>
        <v>INSERT INTO `parqueadero`.`vehiculo` (`Oid`, `Placa`, `Medio`, `Tipo`, `Marca`, `Color`, `IdConductor`) VALUES ('258','EJU191','CAMIONETA','COMBUSTIBLE','JEEP RENEGADE','AZUL','52712916');</v>
      </c>
    </row>
    <row r="266" spans="1:8" ht="14.4" x14ac:dyDescent="0.3">
      <c r="A266" s="5">
        <f t="shared" si="8"/>
        <v>259</v>
      </c>
      <c r="B266" s="6" t="s">
        <v>1294</v>
      </c>
      <c r="C266" s="6" t="s">
        <v>115</v>
      </c>
      <c r="D266" s="6" t="s">
        <v>17</v>
      </c>
      <c r="E266" s="6" t="s">
        <v>164</v>
      </c>
      <c r="F266" s="6" t="s">
        <v>60</v>
      </c>
      <c r="G266" s="6">
        <v>79605849</v>
      </c>
      <c r="H266" t="str">
        <f t="shared" si="9"/>
        <v>INSERT INTO `parqueadero`.`vehiculo` (`Oid`, `Placa`, `Medio`, `Tipo`, `Marca`, `Color`, `IdConductor`) VALUES ('259','ZYM788','AUTOMÓVIL','COMBUSTIBLE','KIA','GRIS','79605849');</v>
      </c>
    </row>
    <row r="267" spans="1:8" ht="14.4" x14ac:dyDescent="0.3">
      <c r="A267" s="5">
        <f t="shared" si="8"/>
        <v>260</v>
      </c>
      <c r="B267" s="6" t="s">
        <v>1303</v>
      </c>
      <c r="C267" s="6" t="s">
        <v>143</v>
      </c>
      <c r="D267" s="6" t="s">
        <v>17</v>
      </c>
      <c r="E267" s="6" t="s">
        <v>1036</v>
      </c>
      <c r="F267" s="6" t="s">
        <v>18</v>
      </c>
      <c r="G267" s="6">
        <v>79688967</v>
      </c>
      <c r="H267" t="str">
        <f t="shared" si="9"/>
        <v>INSERT INTO `parqueadero`.`vehiculo` (`Oid`, `Placa`, `Medio`, `Tipo`, `Marca`, `Color`, `IdConductor`) VALUES ('260','GMZ660','CAMIONETA','COMBUSTIBLE','SUBARU','AZUL','79688967');</v>
      </c>
    </row>
    <row r="268" spans="1:8" ht="14.4" x14ac:dyDescent="0.3">
      <c r="A268" s="5">
        <f t="shared" si="8"/>
        <v>261</v>
      </c>
      <c r="B268" s="6" t="s">
        <v>1307</v>
      </c>
      <c r="C268" s="6" t="s">
        <v>115</v>
      </c>
      <c r="D268" s="6" t="s">
        <v>17</v>
      </c>
      <c r="E268" s="6" t="s">
        <v>202</v>
      </c>
      <c r="F268" s="6" t="s">
        <v>18</v>
      </c>
      <c r="G268" s="6">
        <v>1001299742</v>
      </c>
      <c r="H268" t="str">
        <f t="shared" si="9"/>
        <v>INSERT INTO `parqueadero`.`vehiculo` (`Oid`, `Placa`, `Medio`, `Tipo`, `Marca`, `Color`, `IdConductor`) VALUES ('261','JYK889','AUTOMÓVIL','COMBUSTIBLE','VOLKSWAGEN','AZUL','1001299742');</v>
      </c>
    </row>
    <row r="269" spans="1:8" ht="14.4" x14ac:dyDescent="0.3">
      <c r="A269" s="5">
        <f t="shared" si="8"/>
        <v>262</v>
      </c>
      <c r="B269" s="6" t="s">
        <v>1312</v>
      </c>
      <c r="C269" s="6" t="s">
        <v>115</v>
      </c>
      <c r="D269" s="6" t="s">
        <v>17</v>
      </c>
      <c r="E269" s="6" t="s">
        <v>1311</v>
      </c>
      <c r="F269" s="6" t="s">
        <v>24</v>
      </c>
      <c r="G269" s="6">
        <v>52086502</v>
      </c>
      <c r="H269" t="str">
        <f t="shared" si="9"/>
        <v>INSERT INTO `parqueadero`.`vehiculo` (`Oid`, `Placa`, `Medio`, `Tipo`, `Marca`, `Color`, `IdConductor`) VALUES ('262','IKU268','AUTOMÓVIL','COMBUSTIBLE','NISSAN MARCH','NEGRO','52086502');</v>
      </c>
    </row>
    <row r="270" spans="1:8" ht="14.4" x14ac:dyDescent="0.3">
      <c r="A270" s="5">
        <f t="shared" si="8"/>
        <v>263</v>
      </c>
      <c r="B270" s="6" t="s">
        <v>1317</v>
      </c>
      <c r="C270" s="6" t="s">
        <v>143</v>
      </c>
      <c r="D270" s="6" t="s">
        <v>253</v>
      </c>
      <c r="E270" s="6" t="s">
        <v>2287</v>
      </c>
      <c r="F270" s="6" t="s">
        <v>60</v>
      </c>
      <c r="G270" s="6">
        <v>1022399279</v>
      </c>
      <c r="H270" t="str">
        <f t="shared" si="9"/>
        <v>INSERT INTO `parqueadero`.`vehiculo` (`Oid`, `Placa`, `Medio`, `Tipo`, `Marca`, `Color`, `IdConductor`) VALUES ('263','PGR386','CAMIONETA','HÍBRIDO','SUZUKI SCROSS','GRIS','1022399279');</v>
      </c>
    </row>
    <row r="271" spans="1:8" ht="14.4" x14ac:dyDescent="0.3">
      <c r="A271" s="5">
        <f t="shared" si="8"/>
        <v>264</v>
      </c>
      <c r="B271" s="6" t="s">
        <v>1325</v>
      </c>
      <c r="C271" s="6" t="s">
        <v>115</v>
      </c>
      <c r="D271" s="6" t="s">
        <v>17</v>
      </c>
      <c r="E271" s="6" t="s">
        <v>132</v>
      </c>
      <c r="F271" s="6" t="s">
        <v>24</v>
      </c>
      <c r="G271" s="6">
        <v>1083000460</v>
      </c>
      <c r="H271" t="str">
        <f t="shared" si="9"/>
        <v>INSERT INTO `parqueadero`.`vehiculo` (`Oid`, `Placa`, `Medio`, `Tipo`, `Marca`, `Color`, `IdConductor`) VALUES ('264','UUQ628','AUTOMÓVIL','COMBUSTIBLE','BMW','NEGRO','1083000460');</v>
      </c>
    </row>
    <row r="272" spans="1:8" ht="14.4" x14ac:dyDescent="0.3">
      <c r="A272" s="5">
        <f t="shared" si="8"/>
        <v>265</v>
      </c>
      <c r="B272" s="6" t="s">
        <v>1329</v>
      </c>
      <c r="C272" s="6" t="s">
        <v>143</v>
      </c>
      <c r="D272" s="6" t="s">
        <v>129</v>
      </c>
      <c r="E272" s="6" t="s">
        <v>22</v>
      </c>
      <c r="F272" s="6" t="s">
        <v>60</v>
      </c>
      <c r="G272" s="6">
        <v>1010169744</v>
      </c>
      <c r="H272" t="str">
        <f t="shared" si="9"/>
        <v>INSERT INTO `parqueadero`.`vehiculo` (`Oid`, `Placa`, `Medio`, `Tipo`, `Marca`, `Color`, `IdConductor`) VALUES ('265','KXV319','CAMIONETA','ELÉCTRICO','BYD','GRIS','1010169744');</v>
      </c>
    </row>
    <row r="273" spans="1:8" ht="14.4" x14ac:dyDescent="0.3">
      <c r="A273" s="5">
        <f t="shared" si="8"/>
        <v>266</v>
      </c>
      <c r="B273" s="6" t="s">
        <v>1334</v>
      </c>
      <c r="C273" s="6" t="s">
        <v>143</v>
      </c>
      <c r="D273" s="6" t="s">
        <v>17</v>
      </c>
      <c r="E273" s="6" t="s">
        <v>1333</v>
      </c>
      <c r="F273" s="6" t="s">
        <v>60</v>
      </c>
      <c r="G273" s="6">
        <v>52243622</v>
      </c>
      <c r="H273" t="str">
        <f t="shared" si="9"/>
        <v>INSERT INTO `parqueadero`.`vehiculo` (`Oid`, `Placa`, `Medio`, `Tipo`, `Marca`, `Color`, `IdConductor`) VALUES ('266','JRL402','CAMIONETA','COMBUSTIBLE','PEUGEOT','GRIS','52243622');</v>
      </c>
    </row>
    <row r="274" spans="1:8" ht="14.4" x14ac:dyDescent="0.3">
      <c r="A274" s="5">
        <f t="shared" si="8"/>
        <v>267</v>
      </c>
      <c r="B274" s="6" t="s">
        <v>1340</v>
      </c>
      <c r="C274" s="6" t="s">
        <v>115</v>
      </c>
      <c r="D274" s="6" t="s">
        <v>17</v>
      </c>
      <c r="E274" s="6" t="s">
        <v>1339</v>
      </c>
      <c r="F274" s="6" t="s">
        <v>44</v>
      </c>
      <c r="G274" s="6">
        <v>1018491200</v>
      </c>
      <c r="H274" t="str">
        <f t="shared" si="9"/>
        <v>INSERT INTO `parqueadero`.`vehiculo` (`Oid`, `Placa`, `Medio`, `Tipo`, `Marca`, `Color`, `IdConductor`) VALUES ('267','MCV622','AUTOMÓVIL','COMBUSTIBLE','FORD FIESTA','ROJO','1018491200');</v>
      </c>
    </row>
    <row r="275" spans="1:8" ht="14.4" x14ac:dyDescent="0.3">
      <c r="A275" s="5">
        <f t="shared" si="8"/>
        <v>268</v>
      </c>
      <c r="B275" s="6" t="s">
        <v>1344</v>
      </c>
      <c r="C275" s="6" t="s">
        <v>115</v>
      </c>
      <c r="D275" s="6" t="s">
        <v>17</v>
      </c>
      <c r="E275" s="6" t="s">
        <v>501</v>
      </c>
      <c r="F275" s="6" t="s">
        <v>24</v>
      </c>
      <c r="G275" s="6">
        <v>1024568532</v>
      </c>
      <c r="H275" t="str">
        <f t="shared" si="9"/>
        <v>INSERT INTO `parqueadero`.`vehiculo` (`Oid`, `Placa`, `Medio`, `Tipo`, `Marca`, `Color`, `IdConductor`) VALUES ('268','GPQ549','AUTOMÓVIL','COMBUSTIBLE','NISSAN','NEGRO','1024568532');</v>
      </c>
    </row>
    <row r="276" spans="1:8" ht="14.4" x14ac:dyDescent="0.3">
      <c r="A276" s="5">
        <f t="shared" si="8"/>
        <v>269</v>
      </c>
      <c r="B276" s="6" t="s">
        <v>1349</v>
      </c>
      <c r="C276" s="6" t="s">
        <v>143</v>
      </c>
      <c r="D276" s="6" t="s">
        <v>17</v>
      </c>
      <c r="E276" s="6" t="s">
        <v>1408</v>
      </c>
      <c r="F276" s="6" t="s">
        <v>60</v>
      </c>
      <c r="G276" s="6">
        <v>1013579971</v>
      </c>
      <c r="H276" t="str">
        <f t="shared" si="9"/>
        <v>INSERT INTO `parqueadero`.`vehiculo` (`Oid`, `Placa`, `Medio`, `Tipo`, `Marca`, `Color`, `IdConductor`) VALUES ('269','EBO249','CAMIONETA','COMBUSTIBLE','CITROËN','GRIS','1013579971');</v>
      </c>
    </row>
    <row r="277" spans="1:8" ht="14.4" x14ac:dyDescent="0.3">
      <c r="A277" s="5">
        <f t="shared" si="8"/>
        <v>270</v>
      </c>
      <c r="B277" s="6" t="s">
        <v>1354</v>
      </c>
      <c r="C277" s="6" t="s">
        <v>115</v>
      </c>
      <c r="D277" s="6" t="s">
        <v>17</v>
      </c>
      <c r="E277" s="6" t="s">
        <v>304</v>
      </c>
      <c r="F277" s="6" t="s">
        <v>60</v>
      </c>
      <c r="G277" s="6">
        <v>1015402271</v>
      </c>
      <c r="H277" t="str">
        <f t="shared" si="9"/>
        <v>INSERT INTO `parqueadero`.`vehiculo` (`Oid`, `Placa`, `Medio`, `Tipo`, `Marca`, `Color`, `IdConductor`) VALUES ('270','FOS164','AUTOMÓVIL','COMBUSTIBLE','RENAULT','GRIS','1015402271');</v>
      </c>
    </row>
    <row r="278" spans="1:8" ht="14.4" x14ac:dyDescent="0.3">
      <c r="A278" s="5">
        <f t="shared" si="8"/>
        <v>271</v>
      </c>
      <c r="B278" s="6" t="s">
        <v>1358</v>
      </c>
      <c r="C278" s="6" t="s">
        <v>143</v>
      </c>
      <c r="D278" s="6" t="s">
        <v>17</v>
      </c>
      <c r="E278" s="6" t="s">
        <v>75</v>
      </c>
      <c r="F278" s="6" t="s">
        <v>1359</v>
      </c>
      <c r="G278" s="6">
        <v>1014261209</v>
      </c>
      <c r="H278" t="str">
        <f t="shared" si="9"/>
        <v>INSERT INTO `parqueadero`.`vehiculo` (`Oid`, `Placa`, `Medio`, `Tipo`, `Marca`, `Color`, `IdConductor`) VALUES ('271','FNR778','CAMIONETA','COMBUSTIBLE','MAZDA','ROJO DIAMANTE','1014261209');</v>
      </c>
    </row>
    <row r="279" spans="1:8" ht="14.4" x14ac:dyDescent="0.3">
      <c r="A279" s="5">
        <f t="shared" si="8"/>
        <v>272</v>
      </c>
      <c r="B279" s="6" t="s">
        <v>1363</v>
      </c>
      <c r="C279" s="6" t="s">
        <v>2195</v>
      </c>
      <c r="D279" s="6" t="s">
        <v>17</v>
      </c>
      <c r="E279" s="6" t="s">
        <v>56</v>
      </c>
      <c r="F279" s="6" t="s">
        <v>18</v>
      </c>
      <c r="G279" s="6">
        <v>1016019711</v>
      </c>
      <c r="H279" t="str">
        <f t="shared" si="9"/>
        <v>INSERT INTO `parqueadero`.`vehiculo` (`Oid`, `Placa`, `Medio`, `Tipo`, `Marca`, `Color`, `IdConductor`) VALUES ('272','DHC86H','MOTOCICLETA','COMBUSTIBLE','HONDA','AZUL','1016019711');</v>
      </c>
    </row>
    <row r="280" spans="1:8" ht="14.4" x14ac:dyDescent="0.3">
      <c r="A280" s="5">
        <f t="shared" si="8"/>
        <v>273</v>
      </c>
      <c r="B280" s="6" t="s">
        <v>1370</v>
      </c>
      <c r="C280" s="6" t="s">
        <v>115</v>
      </c>
      <c r="D280" s="6" t="s">
        <v>17</v>
      </c>
      <c r="E280" s="6" t="s">
        <v>294</v>
      </c>
      <c r="F280" s="6" t="s">
        <v>60</v>
      </c>
      <c r="G280" s="6">
        <v>19494499</v>
      </c>
      <c r="H280" t="str">
        <f t="shared" si="9"/>
        <v>INSERT INTO `parqueadero`.`vehiculo` (`Oid`, `Placa`, `Medio`, `Tipo`, `Marca`, `Color`, `IdConductor`) VALUES ('273','RHN498','AUTOMÓVIL','COMBUSTIBLE','FORD','GRIS','19494499');</v>
      </c>
    </row>
    <row r="281" spans="1:8" ht="14.4" x14ac:dyDescent="0.3">
      <c r="A281" s="5">
        <f t="shared" si="8"/>
        <v>274</v>
      </c>
      <c r="B281" s="6" t="s">
        <v>1375</v>
      </c>
      <c r="C281" s="6" t="s">
        <v>115</v>
      </c>
      <c r="D281" s="6" t="s">
        <v>129</v>
      </c>
      <c r="E281" s="6" t="s">
        <v>1374</v>
      </c>
      <c r="F281" s="6" t="s">
        <v>66</v>
      </c>
      <c r="G281" s="6">
        <v>1030579761</v>
      </c>
      <c r="H281" t="str">
        <f t="shared" si="9"/>
        <v>INSERT INTO `parqueadero`.`vehiculo` (`Oid`, `Placa`, `Medio`, `Tipo`, `Marca`, `Color`, `IdConductor`) VALUES ('274','PCM354','AUTOMÓVIL','ELÉCTRICO','BYD SEAGULL','BLANCO','1030579761');</v>
      </c>
    </row>
    <row r="282" spans="1:8" ht="14.4" x14ac:dyDescent="0.3">
      <c r="A282" s="5">
        <f t="shared" si="8"/>
        <v>275</v>
      </c>
      <c r="B282" s="6" t="s">
        <v>1379</v>
      </c>
      <c r="C282" s="6" t="s">
        <v>115</v>
      </c>
      <c r="D282" s="6" t="s">
        <v>17</v>
      </c>
      <c r="E282" s="6" t="s">
        <v>58</v>
      </c>
      <c r="F282" s="6" t="s">
        <v>248</v>
      </c>
      <c r="G282" s="6">
        <v>53167119</v>
      </c>
      <c r="H282" t="str">
        <f t="shared" si="9"/>
        <v>INSERT INTO `parqueadero`.`vehiculo` (`Oid`, `Placa`, `Medio`, `Tipo`, `Marca`, `Color`, `IdConductor`) VALUES ('275','NDR248','AUTOMÓVIL','COMBUSTIBLE','CHEVROLET','GRIS PLATA','53167119');</v>
      </c>
    </row>
    <row r="283" spans="1:8" ht="14.4" x14ac:dyDescent="0.3">
      <c r="A283" s="5">
        <f t="shared" si="8"/>
        <v>276</v>
      </c>
      <c r="B283" s="17" t="s">
        <v>1382</v>
      </c>
      <c r="C283" s="6" t="s">
        <v>115</v>
      </c>
      <c r="D283" s="17" t="s">
        <v>17</v>
      </c>
      <c r="E283" s="17" t="s">
        <v>294</v>
      </c>
      <c r="F283" s="17" t="s">
        <v>24</v>
      </c>
      <c r="G283" s="17">
        <v>79290465</v>
      </c>
      <c r="H283" t="str">
        <f t="shared" si="9"/>
        <v>INSERT INTO `parqueadero`.`vehiculo` (`Oid`, `Placa`, `Medio`, `Tipo`, `Marca`, `Color`, `IdConductor`) VALUES ('276','DBN175','AUTOMÓVIL','COMBUSTIBLE','FORD','NEGRO','79290465');</v>
      </c>
    </row>
    <row r="284" spans="1:8" ht="14.4" x14ac:dyDescent="0.3">
      <c r="A284" s="5">
        <f t="shared" si="8"/>
        <v>277</v>
      </c>
      <c r="B284" s="6" t="s">
        <v>1391</v>
      </c>
      <c r="C284" s="6" t="s">
        <v>2195</v>
      </c>
      <c r="D284" s="6" t="s">
        <v>17</v>
      </c>
      <c r="E284" s="6" t="s">
        <v>701</v>
      </c>
      <c r="F284" s="6" t="s">
        <v>66</v>
      </c>
      <c r="G284" s="6">
        <v>80147258</v>
      </c>
      <c r="H284" t="str">
        <f t="shared" si="9"/>
        <v>INSERT INTO `parqueadero`.`vehiculo` (`Oid`, `Placa`, `Medio`, `Tipo`, `Marca`, `Color`, `IdConductor`) VALUES ('277','GZJ15G','MOTOCICLETA','COMBUSTIBLE','YAMAHA','BLANCO','80147258');</v>
      </c>
    </row>
    <row r="285" spans="1:8" ht="14.4" x14ac:dyDescent="0.3">
      <c r="A285" s="5">
        <f t="shared" si="8"/>
        <v>278</v>
      </c>
      <c r="B285" s="6" t="s">
        <v>1396</v>
      </c>
      <c r="C285" s="6" t="s">
        <v>115</v>
      </c>
      <c r="D285" s="6" t="s">
        <v>17</v>
      </c>
      <c r="E285" s="6" t="s">
        <v>1339</v>
      </c>
      <c r="F285" s="6" t="s">
        <v>44</v>
      </c>
      <c r="G285" s="6">
        <v>1022421202</v>
      </c>
      <c r="H285" t="str">
        <f t="shared" si="9"/>
        <v>INSERT INTO `parqueadero`.`vehiculo` (`Oid`, `Placa`, `Medio`, `Tipo`, `Marca`, `Color`, `IdConductor`) VALUES ('278','HVV023','AUTOMÓVIL','COMBUSTIBLE','FORD FIESTA','ROJO','1022421202');</v>
      </c>
    </row>
    <row r="286" spans="1:8" ht="14.4" x14ac:dyDescent="0.3">
      <c r="A286" s="5">
        <f t="shared" si="8"/>
        <v>279</v>
      </c>
      <c r="B286" s="6" t="s">
        <v>1400</v>
      </c>
      <c r="C286" s="6" t="s">
        <v>143</v>
      </c>
      <c r="D286" s="6" t="s">
        <v>253</v>
      </c>
      <c r="E286" s="6" t="s">
        <v>1036</v>
      </c>
      <c r="F286" s="6" t="s">
        <v>60</v>
      </c>
      <c r="G286" s="6">
        <v>79945548</v>
      </c>
      <c r="H286" t="str">
        <f t="shared" si="9"/>
        <v>INSERT INTO `parqueadero`.`vehiculo` (`Oid`, `Placa`, `Medio`, `Tipo`, `Marca`, `Color`, `IdConductor`) VALUES ('279','PGR369','CAMIONETA','HÍBRIDO','SUBARU','GRIS','79945548');</v>
      </c>
    </row>
    <row r="287" spans="1:8" ht="14.4" x14ac:dyDescent="0.3">
      <c r="A287" s="5">
        <f t="shared" si="8"/>
        <v>280</v>
      </c>
      <c r="B287" s="6" t="s">
        <v>1404</v>
      </c>
      <c r="C287" s="6" t="s">
        <v>143</v>
      </c>
      <c r="D287" s="6" t="s">
        <v>17</v>
      </c>
      <c r="E287" s="6" t="s">
        <v>501</v>
      </c>
      <c r="F287" s="6" t="s">
        <v>60</v>
      </c>
      <c r="G287" s="6">
        <v>1069078793</v>
      </c>
      <c r="H287" t="str">
        <f t="shared" si="9"/>
        <v>INSERT INTO `parqueadero`.`vehiculo` (`Oid`, `Placa`, `Medio`, `Tipo`, `Marca`, `Color`, `IdConductor`) VALUES ('280','UCW304','CAMIONETA','COMBUSTIBLE','NISSAN','GRIS','1069078793');</v>
      </c>
    </row>
    <row r="288" spans="1:8" ht="14.4" x14ac:dyDescent="0.3">
      <c r="A288" s="5">
        <f t="shared" si="8"/>
        <v>281</v>
      </c>
      <c r="B288" s="6" t="s">
        <v>1409</v>
      </c>
      <c r="C288" s="6" t="s">
        <v>115</v>
      </c>
      <c r="D288" s="6" t="s">
        <v>17</v>
      </c>
      <c r="E288" s="6" t="s">
        <v>1408</v>
      </c>
      <c r="F288" s="6" t="s">
        <v>1410</v>
      </c>
      <c r="G288" s="6">
        <v>1053838523</v>
      </c>
      <c r="H288" t="str">
        <f t="shared" si="9"/>
        <v>INSERT INTO `parqueadero`.`vehiculo` (`Oid`, `Placa`, `Medio`, `Tipo`, `Marca`, `Color`, `IdConductor`) VALUES ('281','NNU114','AUTOMÓVIL','COMBUSTIBLE','CITROËN','BLANCO TECHO NEGRO','1053838523');</v>
      </c>
    </row>
    <row r="289" spans="1:8" ht="14.4" x14ac:dyDescent="0.3">
      <c r="A289" s="5">
        <f t="shared" si="8"/>
        <v>282</v>
      </c>
      <c r="B289" s="6" t="s">
        <v>1414</v>
      </c>
      <c r="C289" s="6" t="s">
        <v>115</v>
      </c>
      <c r="D289" s="6" t="s">
        <v>17</v>
      </c>
      <c r="E289" s="6" t="s">
        <v>304</v>
      </c>
      <c r="F289" s="6" t="s">
        <v>44</v>
      </c>
      <c r="G289" s="6">
        <v>1032475428</v>
      </c>
      <c r="H289" t="str">
        <f t="shared" si="9"/>
        <v>INSERT INTO `parqueadero`.`vehiculo` (`Oid`, `Placa`, `Medio`, `Tipo`, `Marca`, `Color`, `IdConductor`) VALUES ('282','KOV728','AUTOMÓVIL','COMBUSTIBLE','RENAULT','ROJO','1032475428');</v>
      </c>
    </row>
    <row r="290" spans="1:8" ht="14.4" x14ac:dyDescent="0.3">
      <c r="A290" s="5">
        <f t="shared" si="8"/>
        <v>283</v>
      </c>
      <c r="B290" s="6" t="s">
        <v>1418</v>
      </c>
      <c r="C290" s="6" t="s">
        <v>143</v>
      </c>
      <c r="D290" s="6" t="s">
        <v>17</v>
      </c>
      <c r="E290" s="6" t="s">
        <v>294</v>
      </c>
      <c r="F290" s="6" t="s">
        <v>44</v>
      </c>
      <c r="G290" s="6">
        <v>80197126</v>
      </c>
      <c r="H290" t="str">
        <f t="shared" si="9"/>
        <v>INSERT INTO `parqueadero`.`vehiculo` (`Oid`, `Placa`, `Medio`, `Tipo`, `Marca`, `Color`, `IdConductor`) VALUES ('283','IXN649','CAMIONETA','COMBUSTIBLE','FORD','ROJO','80197126');</v>
      </c>
    </row>
    <row r="291" spans="1:8" ht="14.4" x14ac:dyDescent="0.3">
      <c r="A291" s="5">
        <f t="shared" si="8"/>
        <v>284</v>
      </c>
      <c r="B291" s="6" t="s">
        <v>1423</v>
      </c>
      <c r="C291" s="6" t="s">
        <v>2195</v>
      </c>
      <c r="D291" s="6" t="s">
        <v>17</v>
      </c>
      <c r="E291" s="6" t="s">
        <v>1422</v>
      </c>
      <c r="F291" s="6" t="s">
        <v>1424</v>
      </c>
      <c r="G291" s="6">
        <v>1019111258</v>
      </c>
      <c r="H291" t="str">
        <f t="shared" si="9"/>
        <v>INSERT INTO `parqueadero`.`vehiculo` (`Oid`, `Placa`, `Medio`, `Tipo`, `Marca`, `Color`, `IdConductor`) VALUES ('284','BFW48H','MOTOCICLETA','COMBUSTIBLE','BAJAJ','AZUL AZALEA','1019111258');</v>
      </c>
    </row>
    <row r="292" spans="1:8" ht="14.4" x14ac:dyDescent="0.3">
      <c r="A292" s="5">
        <f t="shared" si="8"/>
        <v>285</v>
      </c>
      <c r="B292" s="6" t="s">
        <v>1428</v>
      </c>
      <c r="C292" s="6" t="s">
        <v>115</v>
      </c>
      <c r="D292" s="6" t="s">
        <v>17</v>
      </c>
      <c r="E292" s="6" t="s">
        <v>202</v>
      </c>
      <c r="F292" s="6" t="s">
        <v>60</v>
      </c>
      <c r="G292" s="6">
        <v>1026275767</v>
      </c>
      <c r="H292" t="str">
        <f t="shared" si="9"/>
        <v>INSERT INTO `parqueadero`.`vehiculo` (`Oid`, `Placa`, `Medio`, `Tipo`, `Marca`, `Color`, `IdConductor`) VALUES ('285','HJZ984','AUTOMÓVIL','COMBUSTIBLE','VOLKSWAGEN','GRIS','1026275767');</v>
      </c>
    </row>
    <row r="293" spans="1:8" ht="14.4" x14ac:dyDescent="0.3">
      <c r="A293" s="5">
        <f t="shared" si="8"/>
        <v>286</v>
      </c>
      <c r="B293" s="17" t="s">
        <v>1432</v>
      </c>
      <c r="C293" s="6" t="s">
        <v>143</v>
      </c>
      <c r="D293" s="17" t="s">
        <v>17</v>
      </c>
      <c r="E293" s="17" t="s">
        <v>501</v>
      </c>
      <c r="F293" s="17" t="s">
        <v>259</v>
      </c>
      <c r="G293" s="17">
        <v>37863986</v>
      </c>
      <c r="H293" t="str">
        <f t="shared" si="9"/>
        <v>INSERT INTO `parqueadero`.`vehiculo` (`Oid`, `Placa`, `Medio`, `Tipo`, `Marca`, `Color`, `IdConductor`) VALUES ('286','IRP136','CAMIONETA','COMBUSTIBLE','NISSAN','PLATEADO','37863986');</v>
      </c>
    </row>
    <row r="294" spans="1:8" ht="14.4" x14ac:dyDescent="0.3">
      <c r="A294" s="5">
        <f t="shared" si="8"/>
        <v>287</v>
      </c>
      <c r="B294" s="6" t="s">
        <v>1437</v>
      </c>
      <c r="C294" s="6" t="s">
        <v>115</v>
      </c>
      <c r="D294" s="6" t="s">
        <v>17</v>
      </c>
      <c r="E294" s="6" t="s">
        <v>2284</v>
      </c>
      <c r="F294" s="6" t="s">
        <v>60</v>
      </c>
      <c r="G294" s="6">
        <v>79595346</v>
      </c>
      <c r="H294" t="str">
        <f t="shared" si="9"/>
        <v>INSERT INTO `parqueadero`.`vehiculo` (`Oid`, `Placa`, `Medio`, `Tipo`, `Marca`, `Color`, `IdConductor`) VALUES ('287','EBR912','AUTOMÓVIL','COMBUSTIBLE','MERCEDES','GRIS','79595346');</v>
      </c>
    </row>
    <row r="295" spans="1:8" ht="14.4" x14ac:dyDescent="0.3">
      <c r="A295" s="5">
        <f t="shared" si="8"/>
        <v>288</v>
      </c>
      <c r="B295" s="6" t="s">
        <v>1442</v>
      </c>
      <c r="C295" s="6" t="s">
        <v>115</v>
      </c>
      <c r="D295" s="6" t="s">
        <v>17</v>
      </c>
      <c r="E295" s="6" t="s">
        <v>1441</v>
      </c>
      <c r="F295" s="6" t="s">
        <v>259</v>
      </c>
      <c r="G295" s="6">
        <v>46672265</v>
      </c>
      <c r="H295" t="str">
        <f t="shared" si="9"/>
        <v>INSERT INTO `parqueadero`.`vehiculo` (`Oid`, `Placa`, `Medio`, `Tipo`, `Marca`, `Color`, `IdConductor`) VALUES ('288','JUR582','AUTOMÓVIL','COMBUSTIBLE','PEGOUT 2008','PLATEADO','46672265');</v>
      </c>
    </row>
    <row r="296" spans="1:8" ht="14.4" x14ac:dyDescent="0.3">
      <c r="A296" s="5">
        <f t="shared" si="8"/>
        <v>289</v>
      </c>
      <c r="B296" s="6" t="s">
        <v>1446</v>
      </c>
      <c r="C296" s="6" t="s">
        <v>115</v>
      </c>
      <c r="D296" s="6" t="s">
        <v>17</v>
      </c>
      <c r="E296" s="6" t="s">
        <v>116</v>
      </c>
      <c r="F296" s="6" t="s">
        <v>2305</v>
      </c>
      <c r="G296" s="6">
        <v>2996355</v>
      </c>
      <c r="H296" t="str">
        <f t="shared" si="9"/>
        <v>INSERT INTO `parqueadero`.`vehiculo` (`Oid`, `Placa`, `Medio`, `Tipo`, `Marca`, `Color`, `IdConductor`) VALUES ('289','BJN042','AUTOMÓVIL','COMBUSTIBLE','HYUNDAI','ORO AZÚCAR','2996355');</v>
      </c>
    </row>
    <row r="297" spans="1:8" ht="14.4" x14ac:dyDescent="0.3">
      <c r="A297" s="5">
        <f t="shared" si="8"/>
        <v>290</v>
      </c>
      <c r="B297" s="6" t="s">
        <v>1450</v>
      </c>
      <c r="C297" s="6" t="s">
        <v>115</v>
      </c>
      <c r="D297" s="6" t="s">
        <v>17</v>
      </c>
      <c r="E297" s="6" t="s">
        <v>164</v>
      </c>
      <c r="F297" s="6" t="s">
        <v>60</v>
      </c>
      <c r="G297" s="6">
        <v>79385393</v>
      </c>
      <c r="H297" t="str">
        <f t="shared" si="9"/>
        <v>INSERT INTO `parqueadero`.`vehiculo` (`Oid`, `Placa`, `Medio`, `Tipo`, `Marca`, `Color`, `IdConductor`) VALUES ('290','REO339','AUTOMÓVIL','COMBUSTIBLE','KIA','GRIS','79385393');</v>
      </c>
    </row>
    <row r="298" spans="1:8" ht="14.4" x14ac:dyDescent="0.3">
      <c r="A298" s="5">
        <f t="shared" si="8"/>
        <v>291</v>
      </c>
      <c r="B298" s="6" t="s">
        <v>1454</v>
      </c>
      <c r="C298" s="6" t="s">
        <v>2195</v>
      </c>
      <c r="D298" s="6" t="s">
        <v>17</v>
      </c>
      <c r="E298" s="6" t="s">
        <v>1453</v>
      </c>
      <c r="F298" s="6" t="s">
        <v>1455</v>
      </c>
      <c r="G298" s="6">
        <v>1010162896</v>
      </c>
      <c r="H298" t="str">
        <f t="shared" si="9"/>
        <v>INSERT INTO `parqueadero`.`vehiculo` (`Oid`, `Placa`, `Medio`, `Tipo`, `Marca`, `Color`, `IdConductor`) VALUES ('291','GCD58H','MOTOCICLETA','COMBUSTIBLE','ROYAL ENFIELD','AMARILLO','1010162896');</v>
      </c>
    </row>
    <row r="299" spans="1:8" ht="14.4" x14ac:dyDescent="0.3">
      <c r="A299" s="5">
        <f t="shared" si="8"/>
        <v>292</v>
      </c>
      <c r="B299" s="6" t="s">
        <v>1457</v>
      </c>
      <c r="C299" s="6" t="s">
        <v>115</v>
      </c>
      <c r="D299" s="6" t="s">
        <v>17</v>
      </c>
      <c r="E299" s="6" t="s">
        <v>501</v>
      </c>
      <c r="F299" s="6" t="s">
        <v>60</v>
      </c>
      <c r="G299" s="6">
        <v>1010162896</v>
      </c>
      <c r="H299" t="str">
        <f t="shared" si="9"/>
        <v>INSERT INTO `parqueadero`.`vehiculo` (`Oid`, `Placa`, `Medio`, `Tipo`, `Marca`, `Color`, `IdConductor`) VALUES ('292','EFN811','AUTOMÓVIL','COMBUSTIBLE','NISSAN','GRIS','1010162896');</v>
      </c>
    </row>
    <row r="300" spans="1:8" ht="14.4" x14ac:dyDescent="0.3">
      <c r="A300" s="5">
        <f t="shared" si="8"/>
        <v>293</v>
      </c>
      <c r="B300" s="6" t="s">
        <v>1466</v>
      </c>
      <c r="C300" s="6" t="s">
        <v>115</v>
      </c>
      <c r="D300" s="6" t="s">
        <v>17</v>
      </c>
      <c r="E300" s="6" t="s">
        <v>1465</v>
      </c>
      <c r="F300" s="6" t="s">
        <v>248</v>
      </c>
      <c r="G300" s="6">
        <v>1022984445</v>
      </c>
      <c r="H300" t="str">
        <f t="shared" si="9"/>
        <v>INSERT INTO `parqueadero`.`vehiculo` (`Oid`, `Placa`, `Medio`, `Tipo`, `Marca`, `Color`, `IdConductor`) VALUES ('293','BTX400','AUTOMÓVIL','COMBUSTIBLE','VOLKSWAGEN JETTA','GRIS PLATA','1022984445');</v>
      </c>
    </row>
    <row r="301" spans="1:8" ht="14.4" x14ac:dyDescent="0.3">
      <c r="A301" s="5">
        <f t="shared" si="8"/>
        <v>294</v>
      </c>
      <c r="B301" s="6" t="s">
        <v>1470</v>
      </c>
      <c r="C301" s="6" t="s">
        <v>143</v>
      </c>
      <c r="D301" s="6" t="s">
        <v>129</v>
      </c>
      <c r="E301" s="6" t="s">
        <v>22</v>
      </c>
      <c r="F301" s="6" t="s">
        <v>2306</v>
      </c>
      <c r="G301" s="6">
        <v>1015442158</v>
      </c>
      <c r="H301" t="str">
        <f t="shared" si="9"/>
        <v>INSERT INTO `parqueadero`.`vehiculo` (`Oid`, `Placa`, `Medio`, `Tipo`, `Marca`, `Color`, `IdConductor`) VALUES ('294','PXT458','CAMIONETA','ELÉCTRICO','BYD','CIAN OSCURO MALAQUITA','1015442158');</v>
      </c>
    </row>
    <row r="302" spans="1:8" ht="14.4" x14ac:dyDescent="0.3">
      <c r="A302" s="5">
        <f t="shared" si="8"/>
        <v>295</v>
      </c>
      <c r="B302" s="6" t="s">
        <v>1477</v>
      </c>
      <c r="C302" s="6" t="s">
        <v>115</v>
      </c>
      <c r="D302" s="6" t="s">
        <v>17</v>
      </c>
      <c r="E302" s="6" t="s">
        <v>1476</v>
      </c>
      <c r="F302" s="6" t="s">
        <v>66</v>
      </c>
      <c r="G302" s="6">
        <v>1030623154</v>
      </c>
      <c r="H302" t="str">
        <f t="shared" si="9"/>
        <v>INSERT INTO `parqueadero`.`vehiculo` (`Oid`, `Placa`, `Medio`, `Tipo`, `Marca`, `Color`, `IdConductor`) VALUES ('295','JYL341','AUTOMÓVIL','COMBUSTIBLE','OPEL','BLANCO','1030623154');</v>
      </c>
    </row>
    <row r="303" spans="1:8" ht="14.4" x14ac:dyDescent="0.3">
      <c r="A303" s="5">
        <f t="shared" si="8"/>
        <v>296</v>
      </c>
      <c r="B303" s="6" t="s">
        <v>1480</v>
      </c>
      <c r="C303" s="6" t="s">
        <v>2195</v>
      </c>
      <c r="D303" s="6" t="s">
        <v>17</v>
      </c>
      <c r="E303" s="6" t="s">
        <v>175</v>
      </c>
      <c r="F303" s="6" t="s">
        <v>66</v>
      </c>
      <c r="G303" s="6">
        <v>32711441</v>
      </c>
      <c r="H303" t="str">
        <f t="shared" si="9"/>
        <v>INSERT INTO `parqueadero`.`vehiculo` (`Oid`, `Placa`, `Medio`, `Tipo`, `Marca`, `Color`, `IdConductor`) VALUES ('296','UWK57D','MOTOCICLETA','COMBUSTIBLE','AKT','BLANCO','32711441');</v>
      </c>
    </row>
    <row r="304" spans="1:8" ht="14.4" x14ac:dyDescent="0.3">
      <c r="A304" s="5">
        <f t="shared" si="8"/>
        <v>297</v>
      </c>
      <c r="B304" s="17" t="s">
        <v>1485</v>
      </c>
      <c r="C304" s="6" t="s">
        <v>115</v>
      </c>
      <c r="D304" s="17" t="s">
        <v>17</v>
      </c>
      <c r="E304" s="17" t="s">
        <v>1465</v>
      </c>
      <c r="F304" s="17" t="s">
        <v>60</v>
      </c>
      <c r="G304" s="17">
        <v>52883834</v>
      </c>
      <c r="H304" t="str">
        <f t="shared" si="9"/>
        <v>INSERT INTO `parqueadero`.`vehiculo` (`Oid`, `Placa`, `Medio`, `Tipo`, `Marca`, `Color`, `IdConductor`) VALUES ('297','HKM570','AUTOMÓVIL','COMBUSTIBLE','VOLKSWAGEN JETTA','GRIS','52883834');</v>
      </c>
    </row>
    <row r="305" spans="1:8" ht="14.4" x14ac:dyDescent="0.3">
      <c r="A305" s="5">
        <f t="shared" si="8"/>
        <v>298</v>
      </c>
      <c r="B305" s="6" t="s">
        <v>1489</v>
      </c>
      <c r="C305" s="6" t="s">
        <v>115</v>
      </c>
      <c r="D305" s="6" t="s">
        <v>253</v>
      </c>
      <c r="E305" s="6" t="s">
        <v>75</v>
      </c>
      <c r="F305" s="6" t="s">
        <v>66</v>
      </c>
      <c r="G305" s="6">
        <v>80206130</v>
      </c>
      <c r="H305" t="str">
        <f t="shared" si="9"/>
        <v>INSERT INTO `parqueadero`.`vehiculo` (`Oid`, `Placa`, `Medio`, `Tipo`, `Marca`, `Color`, `IdConductor`) VALUES ('298','NIW853','AUTOMÓVIL','HÍBRIDO','MAZDA','BLANCO','80206130');</v>
      </c>
    </row>
    <row r="306" spans="1:8" ht="14.4" x14ac:dyDescent="0.3">
      <c r="A306" s="5">
        <f t="shared" si="8"/>
        <v>299</v>
      </c>
      <c r="B306" s="6" t="s">
        <v>1493</v>
      </c>
      <c r="C306" s="6" t="s">
        <v>143</v>
      </c>
      <c r="D306" s="6" t="s">
        <v>253</v>
      </c>
      <c r="E306" s="6" t="s">
        <v>294</v>
      </c>
      <c r="F306" s="6" t="s">
        <v>66</v>
      </c>
      <c r="G306" s="6">
        <v>1016021569</v>
      </c>
      <c r="H306" t="str">
        <f t="shared" si="9"/>
        <v>INSERT INTO `parqueadero`.`vehiculo` (`Oid`, `Placa`, `Medio`, `Tipo`, `Marca`, `Color`, `IdConductor`) VALUES ('299','JWT919','CAMIONETA','HÍBRIDO','FORD','BLANCO','1016021569');</v>
      </c>
    </row>
    <row r="307" spans="1:8" ht="14.4" x14ac:dyDescent="0.3">
      <c r="A307" s="5">
        <f t="shared" si="8"/>
        <v>300</v>
      </c>
      <c r="B307" s="6" t="s">
        <v>1494</v>
      </c>
      <c r="C307" s="6" t="s">
        <v>2195</v>
      </c>
      <c r="D307" s="6" t="s">
        <v>17</v>
      </c>
      <c r="E307" s="6" t="s">
        <v>701</v>
      </c>
      <c r="F307" s="6" t="s">
        <v>24</v>
      </c>
      <c r="G307" s="6">
        <v>1016021569</v>
      </c>
      <c r="H307" t="str">
        <f t="shared" si="9"/>
        <v>INSERT INTO `parqueadero`.`vehiculo` (`Oid`, `Placa`, `Medio`, `Tipo`, `Marca`, `Color`, `IdConductor`) VALUES ('300','CIA56F','MOTOCICLETA','COMBUSTIBLE','YAMAHA','NEGRO','1016021569');</v>
      </c>
    </row>
    <row r="308" spans="1:8" ht="14.4" x14ac:dyDescent="0.3">
      <c r="A308" s="5">
        <f t="shared" si="8"/>
        <v>301</v>
      </c>
      <c r="B308" s="17" t="s">
        <v>1500</v>
      </c>
      <c r="C308" s="6" t="s">
        <v>115</v>
      </c>
      <c r="D308" s="17" t="s">
        <v>17</v>
      </c>
      <c r="E308" s="6" t="s">
        <v>202</v>
      </c>
      <c r="F308" s="17" t="s">
        <v>24</v>
      </c>
      <c r="G308" s="17">
        <v>80019944</v>
      </c>
      <c r="H308" t="str">
        <f t="shared" si="9"/>
        <v>INSERT INTO `parqueadero`.`vehiculo` (`Oid`, `Placa`, `Medio`, `Tipo`, `Marca`, `Color`, `IdConductor`) VALUES ('301','GLX335','AUTOMÓVIL','COMBUSTIBLE','VOLKSWAGEN','NEGRO','80019944');</v>
      </c>
    </row>
    <row r="309" spans="1:8" ht="14.4" x14ac:dyDescent="0.3">
      <c r="A309" s="5">
        <f t="shared" si="8"/>
        <v>302</v>
      </c>
      <c r="B309" s="6" t="s">
        <v>1501</v>
      </c>
      <c r="C309" s="6" t="s">
        <v>2195</v>
      </c>
      <c r="D309" s="6" t="s">
        <v>17</v>
      </c>
      <c r="E309" s="6" t="s">
        <v>701</v>
      </c>
      <c r="F309" s="6" t="s">
        <v>60</v>
      </c>
      <c r="G309" s="6">
        <v>80019944</v>
      </c>
      <c r="H309" t="str">
        <f t="shared" si="9"/>
        <v>INSERT INTO `parqueadero`.`vehiculo` (`Oid`, `Placa`, `Medio`, `Tipo`, `Marca`, `Color`, `IdConductor`) VALUES ('302','XCG92G','MOTOCICLETA','COMBUSTIBLE','YAMAHA','GRIS','80019944');</v>
      </c>
    </row>
    <row r="310" spans="1:8" ht="14.4" x14ac:dyDescent="0.3">
      <c r="A310" s="5">
        <f t="shared" si="8"/>
        <v>303</v>
      </c>
      <c r="B310" s="6" t="s">
        <v>1510</v>
      </c>
      <c r="C310" s="6" t="s">
        <v>115</v>
      </c>
      <c r="D310" s="6" t="s">
        <v>17</v>
      </c>
      <c r="E310" s="6" t="s">
        <v>1509</v>
      </c>
      <c r="F310" s="6" t="s">
        <v>24</v>
      </c>
      <c r="G310" s="6">
        <v>91492909</v>
      </c>
      <c r="H310" t="str">
        <f t="shared" si="9"/>
        <v>INSERT INTO `parqueadero`.`vehiculo` (`Oid`, `Placa`, `Medio`, `Tipo`, `Marca`, `Color`, `IdConductor`) VALUES ('303','REP460','AUTOMÓVIL','COMBUSTIBLE','STEPWAY','NEGRO','91492909');</v>
      </c>
    </row>
    <row r="311" spans="1:8" ht="14.4" x14ac:dyDescent="0.3">
      <c r="A311" s="5">
        <f t="shared" si="8"/>
        <v>304</v>
      </c>
      <c r="B311" s="6" t="s">
        <v>1516</v>
      </c>
      <c r="C311" s="6" t="s">
        <v>143</v>
      </c>
      <c r="D311" s="6" t="s">
        <v>129</v>
      </c>
      <c r="E311" s="6" t="s">
        <v>22</v>
      </c>
      <c r="F311" s="6" t="s">
        <v>18</v>
      </c>
      <c r="G311" s="6">
        <v>79244560</v>
      </c>
      <c r="H311" t="str">
        <f t="shared" si="9"/>
        <v>INSERT INTO `parqueadero`.`vehiculo` (`Oid`, `Placa`, `Medio`, `Tipo`, `Marca`, `Color`, `IdConductor`) VALUES ('304','LNQ833','CAMIONETA','ELÉCTRICO','BYD','AZUL','79244560');</v>
      </c>
    </row>
    <row r="312" spans="1:8" ht="14.4" x14ac:dyDescent="0.3">
      <c r="A312" s="5">
        <f t="shared" si="8"/>
        <v>305</v>
      </c>
      <c r="B312" s="17" t="s">
        <v>1520</v>
      </c>
      <c r="C312" s="6" t="s">
        <v>143</v>
      </c>
      <c r="D312" s="17" t="s">
        <v>17</v>
      </c>
      <c r="E312" s="17" t="s">
        <v>294</v>
      </c>
      <c r="F312" s="17" t="s">
        <v>60</v>
      </c>
      <c r="G312" s="17">
        <v>80061648</v>
      </c>
      <c r="H312" t="str">
        <f t="shared" si="9"/>
        <v>INSERT INTO `parqueadero`.`vehiculo` (`Oid`, `Placa`, `Medio`, `Tipo`, `Marca`, `Color`, `IdConductor`) VALUES ('305','GJW626','CAMIONETA','COMBUSTIBLE','FORD','GRIS','80061648');</v>
      </c>
    </row>
    <row r="313" spans="1:8" ht="14.4" x14ac:dyDescent="0.3">
      <c r="A313" s="5">
        <f t="shared" si="8"/>
        <v>306</v>
      </c>
      <c r="B313" s="6" t="s">
        <v>1524</v>
      </c>
      <c r="C313" s="6" t="s">
        <v>115</v>
      </c>
      <c r="D313" s="6" t="s">
        <v>17</v>
      </c>
      <c r="E313" s="6" t="s">
        <v>1523</v>
      </c>
      <c r="F313" s="6" t="s">
        <v>1525</v>
      </c>
      <c r="G313" s="6">
        <v>32798171</v>
      </c>
      <c r="H313" t="str">
        <f t="shared" si="9"/>
        <v>INSERT INTO `parqueadero`.`vehiculo` (`Oid`, `Placa`, `Medio`, `Tipo`, `Marca`, `Color`, `IdConductor`) VALUES ('306','EFL417','AUTOMÓVIL','COMBUSTIBLE','MINI COOPER','GRIS RATÓN','32798171');</v>
      </c>
    </row>
    <row r="314" spans="1:8" ht="14.4" x14ac:dyDescent="0.3">
      <c r="A314" s="5">
        <f t="shared" si="8"/>
        <v>307</v>
      </c>
      <c r="B314" s="17" t="s">
        <v>1528</v>
      </c>
      <c r="C314" s="6" t="s">
        <v>143</v>
      </c>
      <c r="D314" s="17" t="s">
        <v>17</v>
      </c>
      <c r="E314" s="17" t="s">
        <v>64</v>
      </c>
      <c r="F314" s="17" t="s">
        <v>24</v>
      </c>
      <c r="G314" s="17">
        <v>4228842</v>
      </c>
      <c r="H314" t="str">
        <f t="shared" si="9"/>
        <v>INSERT INTO `parqueadero`.`vehiculo` (`Oid`, `Placa`, `Medio`, `Tipo`, `Marca`, `Color`, `IdConductor`) VALUES ('307','FPP374','CAMIONETA','COMBUSTIBLE','TOYOTA','NEGRO','4228842');</v>
      </c>
    </row>
    <row r="315" spans="1:8" ht="14.4" x14ac:dyDescent="0.3">
      <c r="A315" s="5">
        <f t="shared" si="8"/>
        <v>308</v>
      </c>
      <c r="B315" s="6" t="s">
        <v>1531</v>
      </c>
      <c r="C315" s="6" t="s">
        <v>2195</v>
      </c>
      <c r="D315" s="6" t="s">
        <v>17</v>
      </c>
      <c r="E315" s="6" t="s">
        <v>56</v>
      </c>
      <c r="F315" s="6" t="s">
        <v>38</v>
      </c>
      <c r="G315" s="6">
        <v>52707802</v>
      </c>
      <c r="H315" t="str">
        <f t="shared" si="9"/>
        <v>INSERT INTO `parqueadero`.`vehiculo` (`Oid`, `Placa`, `Medio`, `Tipo`, `Marca`, `Color`, `IdConductor`) VALUES ('308','MVR40E','MOTOCICLETA','COMBUSTIBLE','HONDA','VERDE','52707802');</v>
      </c>
    </row>
    <row r="316" spans="1:8" ht="14.4" x14ac:dyDescent="0.3">
      <c r="A316" s="5">
        <f t="shared" si="8"/>
        <v>309</v>
      </c>
      <c r="B316" s="6" t="s">
        <v>1532</v>
      </c>
      <c r="C316" s="6" t="s">
        <v>115</v>
      </c>
      <c r="D316" s="6" t="s">
        <v>17</v>
      </c>
      <c r="E316" s="6" t="s">
        <v>276</v>
      </c>
      <c r="F316" s="6" t="s">
        <v>60</v>
      </c>
      <c r="G316" s="6">
        <v>52707802</v>
      </c>
      <c r="H316" t="str">
        <f t="shared" si="9"/>
        <v>INSERT INTO `parqueadero`.`vehiculo` (`Oid`, `Placa`, `Medio`, `Tipo`, `Marca`, `Color`, `IdConductor`) VALUES ('309','LLS761','AUTOMÓVIL','COMBUSTIBLE','SUZUKI','GRIS','52707802');</v>
      </c>
    </row>
    <row r="317" spans="1:8" ht="14.4" x14ac:dyDescent="0.3">
      <c r="A317" s="5">
        <f t="shared" si="8"/>
        <v>310</v>
      </c>
      <c r="B317" s="6" t="s">
        <v>1535</v>
      </c>
      <c r="C317" s="6" t="s">
        <v>115</v>
      </c>
      <c r="D317" s="6" t="s">
        <v>17</v>
      </c>
      <c r="E317" s="6" t="s">
        <v>116</v>
      </c>
      <c r="F317" s="6" t="s">
        <v>653</v>
      </c>
      <c r="G317" s="6">
        <v>15958519</v>
      </c>
      <c r="H317" t="str">
        <f t="shared" si="9"/>
        <v>INSERT INTO `parqueadero`.`vehiculo` (`Oid`, `Placa`, `Medio`, `Tipo`, `Marca`, `Color`, `IdConductor`) VALUES ('310','DCC898','AUTOMÓVIL','COMBUSTIBLE','HYUNDAI','VINOTINTO','15958519');</v>
      </c>
    </row>
    <row r="318" spans="1:8" ht="14.4" x14ac:dyDescent="0.3">
      <c r="A318" s="5">
        <f t="shared" si="8"/>
        <v>311</v>
      </c>
      <c r="B318" s="6" t="s">
        <v>1537</v>
      </c>
      <c r="C318" s="6" t="s">
        <v>2195</v>
      </c>
      <c r="D318" s="6" t="s">
        <v>17</v>
      </c>
      <c r="E318" s="6" t="s">
        <v>805</v>
      </c>
      <c r="F318" s="6" t="s">
        <v>44</v>
      </c>
      <c r="G318" s="6">
        <v>15958519</v>
      </c>
      <c r="H318" t="str">
        <f t="shared" si="9"/>
        <v>INSERT INTO `parqueadero`.`vehiculo` (`Oid`, `Placa`, `Medio`, `Tipo`, `Marca`, `Color`, `IdConductor`) VALUES ('311','LQD87C','MOTOCICLETA','COMBUSTIBLE','KYMCO','ROJO','15958519');</v>
      </c>
    </row>
    <row r="319" spans="1:8" ht="14.4" x14ac:dyDescent="0.3">
      <c r="A319" s="5">
        <f t="shared" si="8"/>
        <v>312</v>
      </c>
      <c r="B319" s="6" t="s">
        <v>1541</v>
      </c>
      <c r="C319" s="6" t="s">
        <v>2195</v>
      </c>
      <c r="D319" s="6" t="s">
        <v>17</v>
      </c>
      <c r="E319" s="6" t="s">
        <v>132</v>
      </c>
      <c r="F319" s="6" t="s">
        <v>1542</v>
      </c>
      <c r="G319" s="6">
        <v>1072656830</v>
      </c>
      <c r="H319" t="str">
        <f t="shared" si="9"/>
        <v>INSERT INTO `parqueadero`.`vehiculo` (`Oid`, `Placa`, `Medio`, `Tipo`, `Marca`, `Color`, `IdConductor`) VALUES ('312','LCK17F','MOTOCICLETA','COMBUSTIBLE','BMW','AZUL METALIZADO','1072656830');</v>
      </c>
    </row>
    <row r="320" spans="1:8" ht="14.4" x14ac:dyDescent="0.3">
      <c r="A320" s="5">
        <f t="shared" si="8"/>
        <v>313</v>
      </c>
      <c r="B320" s="6" t="s">
        <v>1544</v>
      </c>
      <c r="C320" s="6" t="s">
        <v>115</v>
      </c>
      <c r="D320" s="6" t="s">
        <v>17</v>
      </c>
      <c r="E320" s="6" t="s">
        <v>1543</v>
      </c>
      <c r="F320" s="6" t="s">
        <v>44</v>
      </c>
      <c r="G320" s="6">
        <v>1072656830</v>
      </c>
      <c r="H320" t="str">
        <f t="shared" si="9"/>
        <v>INSERT INTO `parqueadero`.`vehiculo` (`Oid`, `Placa`, `Medio`, `Tipo`, `Marca`, `Color`, `IdConductor`) VALUES ('313','HFO454','AUTOMÓVIL','COMBUSTIBLE','RENAULT LOGAN','ROJO','1072656830');</v>
      </c>
    </row>
    <row r="321" spans="1:8" ht="14.4" x14ac:dyDescent="0.3">
      <c r="A321" s="5">
        <f t="shared" si="8"/>
        <v>314</v>
      </c>
      <c r="B321" s="6" t="s">
        <v>1548</v>
      </c>
      <c r="C321" s="6" t="s">
        <v>2195</v>
      </c>
      <c r="D321" s="6" t="s">
        <v>17</v>
      </c>
      <c r="E321" s="6" t="s">
        <v>276</v>
      </c>
      <c r="F321" s="6" t="s">
        <v>157</v>
      </c>
      <c r="G321" s="6">
        <v>79926309</v>
      </c>
      <c r="H321" t="str">
        <f t="shared" si="9"/>
        <v>INSERT INTO `parqueadero`.`vehiculo` (`Oid`, `Placa`, `Medio`, `Tipo`, `Marca`, `Color`, `IdConductor`) VALUES ('314','PET56F','MOTOCICLETA','COMBUSTIBLE','SUZUKI','NEGRA','79926309');</v>
      </c>
    </row>
    <row r="322" spans="1:8" ht="14.4" x14ac:dyDescent="0.3">
      <c r="A322" s="5">
        <f t="shared" si="8"/>
        <v>315</v>
      </c>
      <c r="B322" s="6" t="s">
        <v>1552</v>
      </c>
      <c r="C322" s="6" t="s">
        <v>115</v>
      </c>
      <c r="D322" s="6" t="s">
        <v>17</v>
      </c>
      <c r="E322" s="6" t="s">
        <v>58</v>
      </c>
      <c r="F322" s="6" t="s">
        <v>1553</v>
      </c>
      <c r="G322" s="6">
        <v>79652526</v>
      </c>
      <c r="H322" t="str">
        <f t="shared" si="9"/>
        <v>INSERT INTO `parqueadero`.`vehiculo` (`Oid`, `Placa`, `Medio`, `Tipo`, `Marca`, `Color`, `IdConductor`) VALUES ('315','BTI086','AUTOMÓVIL','COMBUSTIBLE','CHEVROLET','GRIS BRETAÑA','79652526');</v>
      </c>
    </row>
    <row r="323" spans="1:8" ht="14.4" x14ac:dyDescent="0.3">
      <c r="A323" s="5">
        <f t="shared" ref="A323:A386" si="10">ROW()-7</f>
        <v>316</v>
      </c>
      <c r="B323" s="6" t="s">
        <v>1558</v>
      </c>
      <c r="C323" s="6" t="s">
        <v>143</v>
      </c>
      <c r="D323" s="6" t="s">
        <v>17</v>
      </c>
      <c r="E323" s="6" t="s">
        <v>1557</v>
      </c>
      <c r="F323" s="6" t="s">
        <v>238</v>
      </c>
      <c r="G323" s="6">
        <v>63560810</v>
      </c>
      <c r="H323" t="str">
        <f t="shared" si="9"/>
        <v>INSERT INTO `parqueadero`.`vehiculo` (`Oid`, `Placa`, `Medio`, `Tipo`, `Marca`, `Color`, `IdConductor`) VALUES ('316','JOU639','CAMIONETA','COMBUSTIBLE','DUSTER','BLANCA','63560810');</v>
      </c>
    </row>
    <row r="324" spans="1:8" ht="14.4" x14ac:dyDescent="0.3">
      <c r="A324" s="5">
        <f t="shared" si="10"/>
        <v>317</v>
      </c>
      <c r="B324" s="17" t="s">
        <v>1564</v>
      </c>
      <c r="C324" s="6" t="s">
        <v>115</v>
      </c>
      <c r="D324" s="17" t="s">
        <v>17</v>
      </c>
      <c r="E324" s="17" t="s">
        <v>1563</v>
      </c>
      <c r="F324" s="17" t="s">
        <v>1565</v>
      </c>
      <c r="G324" s="17">
        <v>1018466744</v>
      </c>
      <c r="H324" t="str">
        <f t="shared" si="9"/>
        <v>INSERT INTO `parqueadero`.`vehiculo` (`Oid`, `Placa`, `Medio`, `Tipo`, `Marca`, `Color`, `IdConductor`) VALUES ('317','EMM895','AUTOMÓVIL','COMBUSTIBLE','NISSAN QASHQAI','ROJO PERLADO','1018466744');</v>
      </c>
    </row>
    <row r="325" spans="1:8" ht="14.4" x14ac:dyDescent="0.3">
      <c r="A325" s="5">
        <f t="shared" si="10"/>
        <v>318</v>
      </c>
      <c r="B325" s="17" t="s">
        <v>1568</v>
      </c>
      <c r="C325" s="6" t="s">
        <v>2195</v>
      </c>
      <c r="D325" s="17" t="s">
        <v>17</v>
      </c>
      <c r="E325" s="17" t="s">
        <v>1567</v>
      </c>
      <c r="F325" s="17" t="s">
        <v>24</v>
      </c>
      <c r="G325" s="17">
        <v>1018466744</v>
      </c>
      <c r="H325" t="str">
        <f t="shared" si="9"/>
        <v>INSERT INTO `parqueadero`.`vehiculo` (`Oid`, `Placa`, `Medio`, `Tipo`, `Marca`, `Color`, `IdConductor`) VALUES ('318','YGT93F','MOTOCICLETA','COMBUSTIBLE','BENELLI TNT 150I','NEGRO','1018466744');</v>
      </c>
    </row>
    <row r="326" spans="1:8" ht="14.4" x14ac:dyDescent="0.3">
      <c r="A326" s="5">
        <f t="shared" si="10"/>
        <v>319</v>
      </c>
      <c r="B326" s="6" t="s">
        <v>1572</v>
      </c>
      <c r="C326" s="6" t="s">
        <v>115</v>
      </c>
      <c r="D326" s="6" t="s">
        <v>17</v>
      </c>
      <c r="E326" s="6" t="s">
        <v>294</v>
      </c>
      <c r="F326" s="6" t="s">
        <v>52</v>
      </c>
      <c r="G326" s="6">
        <v>80075631</v>
      </c>
      <c r="H326" t="str">
        <f t="shared" si="9"/>
        <v>INSERT INTO `parqueadero`.`vehiculo` (`Oid`, `Placa`, `Medio`, `Tipo`, `Marca`, `Color`, `IdConductor`) VALUES ('319','LTW027','AUTOMÓVIL','COMBUSTIBLE','FORD','PLATA','80075631');</v>
      </c>
    </row>
    <row r="327" spans="1:8" ht="14.4" x14ac:dyDescent="0.3">
      <c r="A327" s="5">
        <f t="shared" si="10"/>
        <v>320</v>
      </c>
      <c r="B327" s="6" t="s">
        <v>1576</v>
      </c>
      <c r="C327" s="6" t="s">
        <v>2195</v>
      </c>
      <c r="D327" s="6" t="s">
        <v>17</v>
      </c>
      <c r="E327" s="6" t="s">
        <v>2298</v>
      </c>
      <c r="F327" s="6" t="s">
        <v>24</v>
      </c>
      <c r="G327" s="6">
        <v>74282260</v>
      </c>
      <c r="H327" t="str">
        <f t="shared" si="9"/>
        <v>INSERT INTO `parqueadero`.`vehiculo` (`Oid`, `Placa`, `Medio`, `Tipo`, `Marca`, `Color`, `IdConductor`) VALUES ('320','UZY09D','MOTOCICLETA','COMBUSTIBLE','DISCOVERY','NEGRO','74282260');</v>
      </c>
    </row>
    <row r="328" spans="1:8" ht="14.4" x14ac:dyDescent="0.3">
      <c r="A328" s="5">
        <f t="shared" si="10"/>
        <v>321</v>
      </c>
      <c r="B328" s="6" t="s">
        <v>1578</v>
      </c>
      <c r="C328" s="6" t="s">
        <v>143</v>
      </c>
      <c r="D328" s="6" t="s">
        <v>17</v>
      </c>
      <c r="E328" s="6" t="s">
        <v>1577</v>
      </c>
      <c r="F328" s="6" t="s">
        <v>60</v>
      </c>
      <c r="G328" s="6">
        <v>74282260</v>
      </c>
      <c r="H328" t="str">
        <f t="shared" ref="H328:H391" si="11">CONCATENATE("INSERT INTO `parqueadero`.`vehiculo` (`",$A$7,"`, `",$B$7,"`, `",$C$7,"`, `",$D$7,"`, `",$E$7,"`, `",$F$7,"`, `",$G$7,"`) VALUES ('",A328,"','",B328,"','",C328,"','",D328,"','",E328,"','",F328,"','",G328,"');" )</f>
        <v>INSERT INTO `parqueadero`.`vehiculo` (`Oid`, `Placa`, `Medio`, `Tipo`, `Marca`, `Color`, `IdConductor`) VALUES ('321','LWM604','CAMIONETA','COMBUSTIBLE','SUBARU FORESTER','GRIS','74282260');</v>
      </c>
    </row>
    <row r="329" spans="1:8" ht="14.4" x14ac:dyDescent="0.3">
      <c r="A329" s="5">
        <f t="shared" si="10"/>
        <v>322</v>
      </c>
      <c r="B329" s="6" t="s">
        <v>1582</v>
      </c>
      <c r="C329" s="6" t="s">
        <v>2195</v>
      </c>
      <c r="D329" s="6" t="s">
        <v>17</v>
      </c>
      <c r="E329" s="6" t="s">
        <v>1422</v>
      </c>
      <c r="F329" s="6" t="s">
        <v>38</v>
      </c>
      <c r="G329" s="6">
        <v>80047722</v>
      </c>
      <c r="H329" t="str">
        <f t="shared" si="11"/>
        <v>INSERT INTO `parqueadero`.`vehiculo` (`Oid`, `Placa`, `Medio`, `Tipo`, `Marca`, `Color`, `IdConductor`) VALUES ('322','HKH77E','MOTOCICLETA','COMBUSTIBLE','BAJAJ','VERDE','80047722');</v>
      </c>
    </row>
    <row r="330" spans="1:8" ht="14.4" x14ac:dyDescent="0.3">
      <c r="A330" s="5">
        <f t="shared" si="10"/>
        <v>323</v>
      </c>
      <c r="B330" s="6" t="s">
        <v>1583</v>
      </c>
      <c r="C330" s="6" t="s">
        <v>115</v>
      </c>
      <c r="D330" s="6" t="s">
        <v>17</v>
      </c>
      <c r="E330" s="6" t="s">
        <v>56</v>
      </c>
      <c r="F330" s="6" t="s">
        <v>44</v>
      </c>
      <c r="G330" s="6">
        <v>80047722</v>
      </c>
      <c r="H330" t="str">
        <f t="shared" si="11"/>
        <v>INSERT INTO `parqueadero`.`vehiculo` (`Oid`, `Placa`, `Medio`, `Tipo`, `Marca`, `Color`, `IdConductor`) VALUES ('323','BUE779','AUTOMÓVIL','COMBUSTIBLE','HONDA','ROJO','80047722');</v>
      </c>
    </row>
    <row r="331" spans="1:8" ht="14.4" x14ac:dyDescent="0.3">
      <c r="A331" s="5">
        <f t="shared" si="10"/>
        <v>324</v>
      </c>
      <c r="B331" s="6" t="s">
        <v>1584</v>
      </c>
      <c r="C331" s="6" t="s">
        <v>2195</v>
      </c>
      <c r="D331" s="6" t="s">
        <v>17</v>
      </c>
      <c r="E331" s="6" t="s">
        <v>701</v>
      </c>
      <c r="F331" s="6" t="s">
        <v>24</v>
      </c>
      <c r="G331" s="6">
        <v>80075631</v>
      </c>
      <c r="H331" t="str">
        <f t="shared" si="11"/>
        <v>INSERT INTO `parqueadero`.`vehiculo` (`Oid`, `Placa`, `Medio`, `Tipo`, `Marca`, `Color`, `IdConductor`) VALUES ('324','HVE88C','MOTOCICLETA','COMBUSTIBLE','YAMAHA','NEGRO','80075631');</v>
      </c>
    </row>
    <row r="332" spans="1:8" ht="14.4" x14ac:dyDescent="0.3">
      <c r="A332" s="5">
        <f t="shared" si="10"/>
        <v>325</v>
      </c>
      <c r="B332" s="6" t="s">
        <v>1587</v>
      </c>
      <c r="C332" s="6" t="s">
        <v>2195</v>
      </c>
      <c r="D332" s="6" t="s">
        <v>17</v>
      </c>
      <c r="E332" s="6" t="s">
        <v>670</v>
      </c>
      <c r="F332" s="6" t="s">
        <v>797</v>
      </c>
      <c r="G332" s="6">
        <v>1018431754</v>
      </c>
      <c r="H332" t="str">
        <f t="shared" si="11"/>
        <v>INSERT INTO `parqueadero`.`vehiculo` (`Oid`, `Placa`, `Medio`, `Tipo`, `Marca`, `Color`, `IdConductor`) VALUES ('325','PGQ89H','MOTOCICLETA','COMBUSTIBLE','TRIUMPH','ROJO - NEGRO','1018431754');</v>
      </c>
    </row>
    <row r="333" spans="1:8" ht="14.4" x14ac:dyDescent="0.3">
      <c r="A333" s="5">
        <f t="shared" si="10"/>
        <v>326</v>
      </c>
      <c r="B333" s="6" t="s">
        <v>1589</v>
      </c>
      <c r="C333" s="6" t="s">
        <v>115</v>
      </c>
      <c r="D333" s="6" t="s">
        <v>129</v>
      </c>
      <c r="E333" s="6" t="s">
        <v>22</v>
      </c>
      <c r="F333" s="6" t="s">
        <v>44</v>
      </c>
      <c r="G333" s="6">
        <v>1018431754</v>
      </c>
      <c r="H333" t="str">
        <f t="shared" si="11"/>
        <v>INSERT INTO `parqueadero`.`vehiculo` (`Oid`, `Placa`, `Medio`, `Tipo`, `Marca`, `Color`, `IdConductor`) VALUES ('326','LOU019','AUTOMÓVIL','ELÉCTRICO','BYD','ROJO','1018431754');</v>
      </c>
    </row>
    <row r="334" spans="1:8" ht="14.4" x14ac:dyDescent="0.3">
      <c r="A334" s="5">
        <f t="shared" si="10"/>
        <v>327</v>
      </c>
      <c r="B334" s="6" t="s">
        <v>1592</v>
      </c>
      <c r="C334" s="6" t="s">
        <v>2195</v>
      </c>
      <c r="D334" s="6" t="s">
        <v>17</v>
      </c>
      <c r="E334" s="6" t="s">
        <v>1591</v>
      </c>
      <c r="F334" s="6" t="s">
        <v>24</v>
      </c>
      <c r="G334" s="6">
        <v>1015466109</v>
      </c>
      <c r="H334" t="str">
        <f t="shared" si="11"/>
        <v>INSERT INTO `parqueadero`.`vehiculo` (`Oid`, `Placa`, `Medio`, `Tipo`, `Marca`, `Color`, `IdConductor`) VALUES ('327','HIE19G','MOTOCICLETA','COMBUSTIBLE','BAJAJ DOMINAR','NEGRO','1015466109');</v>
      </c>
    </row>
    <row r="335" spans="1:8" ht="14.4" x14ac:dyDescent="0.3">
      <c r="A335" s="5">
        <f t="shared" si="10"/>
        <v>328</v>
      </c>
      <c r="B335" s="6" t="s">
        <v>1596</v>
      </c>
      <c r="C335" s="6" t="s">
        <v>115</v>
      </c>
      <c r="D335" s="6" t="s">
        <v>17</v>
      </c>
      <c r="E335" s="6" t="s">
        <v>164</v>
      </c>
      <c r="F335" s="6" t="s">
        <v>24</v>
      </c>
      <c r="G335" s="6">
        <v>51975445</v>
      </c>
      <c r="H335" t="str">
        <f t="shared" si="11"/>
        <v>INSERT INTO `parqueadero`.`vehiculo` (`Oid`, `Placa`, `Medio`, `Tipo`, `Marca`, `Color`, `IdConductor`) VALUES ('328','DBH553','AUTOMÓVIL','COMBUSTIBLE','KIA','NEGRO','51975445');</v>
      </c>
    </row>
    <row r="336" spans="1:8" ht="14.4" x14ac:dyDescent="0.3">
      <c r="A336" s="5">
        <f t="shared" si="10"/>
        <v>329</v>
      </c>
      <c r="B336" s="6" t="s">
        <v>1601</v>
      </c>
      <c r="C336" s="6" t="s">
        <v>2195</v>
      </c>
      <c r="D336" s="6" t="s">
        <v>17</v>
      </c>
      <c r="E336" s="6" t="s">
        <v>1600</v>
      </c>
      <c r="F336" s="6" t="s">
        <v>1602</v>
      </c>
      <c r="G336" s="6">
        <v>1075624493</v>
      </c>
      <c r="H336" t="str">
        <f t="shared" si="11"/>
        <v>INSERT INTO `parqueadero`.`vehiculo` (`Oid`, `Placa`, `Medio`, `Tipo`, `Marca`, `Color`, `IdConductor`) VALUES ('329','IWW58H','MOTOCICLETA','COMBUSTIBLE','KTM DUKE 390','AZUL/GRIS','1075624493');</v>
      </c>
    </row>
    <row r="337" spans="1:8" ht="14.4" x14ac:dyDescent="0.3">
      <c r="A337" s="5">
        <f t="shared" si="10"/>
        <v>330</v>
      </c>
      <c r="B337" s="6" t="s">
        <v>1604</v>
      </c>
      <c r="C337" s="6" t="s">
        <v>143</v>
      </c>
      <c r="D337" s="6" t="s">
        <v>17</v>
      </c>
      <c r="E337" s="6" t="s">
        <v>1603</v>
      </c>
      <c r="F337" s="6" t="s">
        <v>1605</v>
      </c>
      <c r="G337" s="6">
        <v>1075624493</v>
      </c>
      <c r="H337" t="str">
        <f t="shared" si="11"/>
        <v>INSERT INTO `parqueadero`.`vehiculo` (`Oid`, `Placa`, `Medio`, `Tipo`, `Marca`, `Color`, `IdConductor`) VALUES ('330','PUL897','CAMIONETA','COMBUSTIBLE','KIA K3','GRIS/PLATA','1075624493');</v>
      </c>
    </row>
    <row r="338" spans="1:8" ht="14.4" x14ac:dyDescent="0.3">
      <c r="A338" s="5">
        <f t="shared" si="10"/>
        <v>331</v>
      </c>
      <c r="B338" s="6" t="s">
        <v>1610</v>
      </c>
      <c r="C338" s="6" t="s">
        <v>2195</v>
      </c>
      <c r="D338" s="6" t="s">
        <v>17</v>
      </c>
      <c r="E338" s="6" t="s">
        <v>1609</v>
      </c>
      <c r="F338" s="6" t="s">
        <v>24</v>
      </c>
      <c r="G338" s="6">
        <v>1013577285</v>
      </c>
      <c r="H338" t="str">
        <f t="shared" si="11"/>
        <v>INSERT INTO `parqueadero`.`vehiculo` (`Oid`, `Placa`, `Medio`, `Tipo`, `Marca`, `Color`, `IdConductor`) VALUES ('331','GMG67E','MOTOCICLETA','COMBUSTIBLE','TVS APACHE','NEGRO','1013577285');</v>
      </c>
    </row>
    <row r="339" spans="1:8" ht="14.4" x14ac:dyDescent="0.3">
      <c r="A339" s="5">
        <f t="shared" si="10"/>
        <v>332</v>
      </c>
      <c r="B339" s="6" t="s">
        <v>1611</v>
      </c>
      <c r="C339" s="6" t="s">
        <v>143</v>
      </c>
      <c r="D339" s="6" t="s">
        <v>17</v>
      </c>
      <c r="E339" s="6" t="s">
        <v>1200</v>
      </c>
      <c r="F339" s="6" t="s">
        <v>248</v>
      </c>
      <c r="G339" s="6">
        <v>1013577285</v>
      </c>
      <c r="H339" t="str">
        <f t="shared" si="11"/>
        <v>INSERT INTO `parqueadero`.`vehiculo` (`Oid`, `Placa`, `Medio`, `Tipo`, `Marca`, `Color`, `IdConductor`) VALUES ('332','RHZ663','CAMIONETA','COMBUSTIBLE','CHEVROLET CAPTIVA','GRIS PLATA','1013577285');</v>
      </c>
    </row>
    <row r="340" spans="1:8" ht="14.4" x14ac:dyDescent="0.3">
      <c r="A340" s="5">
        <f t="shared" si="10"/>
        <v>333</v>
      </c>
      <c r="B340" s="6" t="s">
        <v>1615</v>
      </c>
      <c r="C340" s="6" t="s">
        <v>143</v>
      </c>
      <c r="D340" s="6" t="s">
        <v>253</v>
      </c>
      <c r="E340" s="6" t="s">
        <v>294</v>
      </c>
      <c r="F340" s="6" t="s">
        <v>60</v>
      </c>
      <c r="G340" s="6">
        <v>1018437843</v>
      </c>
      <c r="H340" t="str">
        <f t="shared" si="11"/>
        <v>INSERT INTO `parqueadero`.`vehiculo` (`Oid`, `Placa`, `Medio`, `Tipo`, `Marca`, `Color`, `IdConductor`) VALUES ('333','DQN051','CAMIONETA','HÍBRIDO','FORD','GRIS','1018437843');</v>
      </c>
    </row>
    <row r="341" spans="1:8" ht="14.4" x14ac:dyDescent="0.3">
      <c r="A341" s="5">
        <f t="shared" si="10"/>
        <v>334</v>
      </c>
      <c r="B341" s="6" t="s">
        <v>1620</v>
      </c>
      <c r="C341" s="6" t="s">
        <v>115</v>
      </c>
      <c r="D341" s="6" t="s">
        <v>17</v>
      </c>
      <c r="E341" s="6" t="s">
        <v>56</v>
      </c>
      <c r="F341" s="6" t="s">
        <v>44</v>
      </c>
      <c r="G341" s="6">
        <v>1010196411</v>
      </c>
      <c r="H341" t="str">
        <f t="shared" si="11"/>
        <v>INSERT INTO `parqueadero`.`vehiculo` (`Oid`, `Placa`, `Medio`, `Tipo`, `Marca`, `Color`, `IdConductor`) VALUES ('334','BCG853','AUTOMÓVIL','COMBUSTIBLE','HONDA','ROJO','1010196411');</v>
      </c>
    </row>
    <row r="342" spans="1:8" ht="14.4" x14ac:dyDescent="0.3">
      <c r="A342" s="5">
        <f t="shared" si="10"/>
        <v>335</v>
      </c>
      <c r="B342" s="6" t="s">
        <v>1625</v>
      </c>
      <c r="C342" s="6" t="s">
        <v>115</v>
      </c>
      <c r="D342" s="6" t="s">
        <v>17</v>
      </c>
      <c r="E342" s="6" t="s">
        <v>2299</v>
      </c>
      <c r="F342" s="6" t="s">
        <v>44</v>
      </c>
      <c r="G342" s="6">
        <v>1015466109</v>
      </c>
      <c r="H342" t="str">
        <f t="shared" si="11"/>
        <v>INSERT INTO `parqueadero`.`vehiculo` (`Oid`, `Placa`, `Medio`, `Tipo`, `Marca`, `Color`, `IdConductor`) VALUES ('335','DNT647','AUTOMÓVIL','COMBUSTIBLE','CHEVROLET SAIL','ROJO','1015466109');</v>
      </c>
    </row>
    <row r="343" spans="1:8" ht="14.4" x14ac:dyDescent="0.3">
      <c r="A343" s="5">
        <f t="shared" si="10"/>
        <v>336</v>
      </c>
      <c r="B343" s="6" t="s">
        <v>1630</v>
      </c>
      <c r="C343" s="6" t="s">
        <v>115</v>
      </c>
      <c r="D343" s="6" t="s">
        <v>253</v>
      </c>
      <c r="E343" s="6" t="s">
        <v>1629</v>
      </c>
      <c r="F343" s="6" t="s">
        <v>1171</v>
      </c>
      <c r="G343" s="6">
        <v>1085296515</v>
      </c>
      <c r="H343" t="str">
        <f t="shared" si="11"/>
        <v>INSERT INTO `parqueadero`.`vehiculo` (`Oid`, `Placa`, `Medio`, `Tipo`, `Marca`, `Color`, `IdConductor`) VALUES ('336','NFX124','AUTOMÓVIL','HÍBRIDO','SUZUKI SWIFT HIBRIDO','GRIS PERLA','1085296515');</v>
      </c>
    </row>
    <row r="344" spans="1:8" ht="14.4" x14ac:dyDescent="0.3">
      <c r="A344" s="5">
        <f t="shared" si="10"/>
        <v>337</v>
      </c>
      <c r="B344" s="6" t="s">
        <v>1635</v>
      </c>
      <c r="C344" s="6" t="s">
        <v>143</v>
      </c>
      <c r="D344" s="6" t="s">
        <v>129</v>
      </c>
      <c r="E344" s="6" t="s">
        <v>22</v>
      </c>
      <c r="F344" s="6" t="s">
        <v>66</v>
      </c>
      <c r="G344" s="6">
        <v>52916779</v>
      </c>
      <c r="H344" t="str">
        <f t="shared" si="11"/>
        <v>INSERT INTO `parqueadero`.`vehiculo` (`Oid`, `Placa`, `Medio`, `Tipo`, `Marca`, `Color`, `IdConductor`) VALUES ('337','PZX788','CAMIONETA','ELÉCTRICO','BYD','BLANCO','52916779');</v>
      </c>
    </row>
    <row r="345" spans="1:8" ht="14.4" x14ac:dyDescent="0.3">
      <c r="A345" s="5">
        <f t="shared" si="10"/>
        <v>338</v>
      </c>
      <c r="B345" s="6" t="s">
        <v>1640</v>
      </c>
      <c r="C345" s="6" t="s">
        <v>143</v>
      </c>
      <c r="D345" s="6" t="s">
        <v>17</v>
      </c>
      <c r="E345" s="6" t="s">
        <v>1639</v>
      </c>
      <c r="F345" s="6" t="s">
        <v>166</v>
      </c>
      <c r="G345" s="6">
        <v>79507738</v>
      </c>
      <c r="H345" t="str">
        <f t="shared" si="11"/>
        <v>INSERT INTO `parqueadero`.`vehiculo` (`Oid`, `Placa`, `Medio`, `Tipo`, `Marca`, `Color`, `IdConductor`) VALUES ('338','EJT705','CAMIONETA','COMBUSTIBLE','HONDA CRV','GRIS OSCURO','79507738');</v>
      </c>
    </row>
    <row r="346" spans="1:8" ht="14.4" x14ac:dyDescent="0.3">
      <c r="A346" s="5">
        <f t="shared" si="10"/>
        <v>339</v>
      </c>
      <c r="B346" s="6" t="s">
        <v>1644</v>
      </c>
      <c r="C346" s="6" t="s">
        <v>143</v>
      </c>
      <c r="D346" s="6" t="s">
        <v>17</v>
      </c>
      <c r="E346" s="6" t="s">
        <v>164</v>
      </c>
      <c r="F346" s="6" t="s">
        <v>52</v>
      </c>
      <c r="G346" s="6">
        <v>79645809</v>
      </c>
      <c r="H346" t="str">
        <f t="shared" si="11"/>
        <v>INSERT INTO `parqueadero`.`vehiculo` (`Oid`, `Placa`, `Medio`, `Tipo`, `Marca`, `Color`, `IdConductor`) VALUES ('339','MCP475','CAMIONETA','COMBUSTIBLE','KIA','PLATA','79645809');</v>
      </c>
    </row>
    <row r="347" spans="1:8" ht="14.4" x14ac:dyDescent="0.3">
      <c r="A347" s="5">
        <f t="shared" si="10"/>
        <v>340</v>
      </c>
      <c r="B347" s="6" t="s">
        <v>1645</v>
      </c>
      <c r="C347" s="6" t="s">
        <v>2195</v>
      </c>
      <c r="D347" s="6" t="s">
        <v>17</v>
      </c>
      <c r="E347" s="6" t="s">
        <v>276</v>
      </c>
      <c r="F347" s="6" t="s">
        <v>1646</v>
      </c>
      <c r="G347" s="6">
        <v>79645809</v>
      </c>
      <c r="H347" t="str">
        <f t="shared" si="11"/>
        <v>INSERT INTO `parqueadero`.`vehiculo` (`Oid`, `Placa`, `Medio`, `Tipo`, `Marca`, `Color`, `IdConductor`) VALUES ('340','RBH01C','MOTOCICLETA','COMBUSTIBLE','SUZUKI','NARANJA','79645809');</v>
      </c>
    </row>
    <row r="348" spans="1:8" ht="14.4" x14ac:dyDescent="0.3">
      <c r="A348" s="5">
        <f t="shared" si="10"/>
        <v>341</v>
      </c>
      <c r="B348" s="6" t="s">
        <v>1648</v>
      </c>
      <c r="C348" s="6" t="s">
        <v>2195</v>
      </c>
      <c r="D348" s="6" t="s">
        <v>17</v>
      </c>
      <c r="E348" s="6" t="s">
        <v>805</v>
      </c>
      <c r="F348" s="6" t="s">
        <v>24</v>
      </c>
      <c r="G348" s="6">
        <v>79652526</v>
      </c>
      <c r="H348" t="str">
        <f t="shared" si="11"/>
        <v>INSERT INTO `parqueadero`.`vehiculo` (`Oid`, `Placa`, `Medio`, `Tipo`, `Marca`, `Color`, `IdConductor`) VALUES ('341','LOW27C','MOTOCICLETA','COMBUSTIBLE','KYMCO','NEGRO','79652526');</v>
      </c>
    </row>
    <row r="349" spans="1:8" ht="14.4" x14ac:dyDescent="0.3">
      <c r="A349" s="5">
        <f t="shared" si="10"/>
        <v>342</v>
      </c>
      <c r="B349" s="6" t="s">
        <v>1654</v>
      </c>
      <c r="C349" s="6" t="s">
        <v>115</v>
      </c>
      <c r="D349" s="6" t="s">
        <v>17</v>
      </c>
      <c r="E349" s="6" t="s">
        <v>1333</v>
      </c>
      <c r="F349" s="6" t="s">
        <v>44</v>
      </c>
      <c r="G349" s="6">
        <v>1014307682</v>
      </c>
      <c r="H349" t="str">
        <f t="shared" si="11"/>
        <v>INSERT INTO `parqueadero`.`vehiculo` (`Oid`, `Placa`, `Medio`, `Tipo`, `Marca`, `Color`, `IdConductor`) VALUES ('342','BYC674','AUTOMÓVIL','COMBUSTIBLE','PEUGEOT','ROJO','1014307682');</v>
      </c>
    </row>
    <row r="350" spans="1:8" ht="14.4" x14ac:dyDescent="0.3">
      <c r="A350" s="5">
        <f t="shared" si="10"/>
        <v>343</v>
      </c>
      <c r="B350" s="6" t="s">
        <v>1658</v>
      </c>
      <c r="C350" s="6" t="s">
        <v>143</v>
      </c>
      <c r="D350" s="6" t="s">
        <v>17</v>
      </c>
      <c r="E350" s="6" t="s">
        <v>214</v>
      </c>
      <c r="F350" s="6" t="s">
        <v>1083</v>
      </c>
      <c r="G350" s="6">
        <v>1023010822</v>
      </c>
      <c r="H350" t="str">
        <f t="shared" si="11"/>
        <v>INSERT INTO `parqueadero`.`vehiculo` (`Oid`, `Placa`, `Medio`, `Tipo`, `Marca`, `Color`, `IdConductor`) VALUES ('343','ABR967','CAMIONETA','COMBUSTIBLE','CHEVROLET TRACKER','GRIS TECHNO','1023010822');</v>
      </c>
    </row>
    <row r="351" spans="1:8" ht="14.4" x14ac:dyDescent="0.3">
      <c r="A351" s="5">
        <f t="shared" si="10"/>
        <v>344</v>
      </c>
      <c r="B351" s="6" t="s">
        <v>1659</v>
      </c>
      <c r="C351" s="6" t="s">
        <v>143</v>
      </c>
      <c r="D351" s="6" t="s">
        <v>17</v>
      </c>
      <c r="E351" s="6" t="s">
        <v>132</v>
      </c>
      <c r="F351" s="6" t="s">
        <v>30</v>
      </c>
      <c r="G351" s="6">
        <v>79751974</v>
      </c>
      <c r="H351" t="str">
        <f t="shared" si="11"/>
        <v>INSERT INTO `parqueadero`.`vehiculo` (`Oid`, `Placa`, `Medio`, `Tipo`, `Marca`, `Color`, `IdConductor`) VALUES ('344','NXQ369','CAMIONETA','COMBUSTIBLE','BMW','PENDIENTE','79751974');</v>
      </c>
    </row>
    <row r="352" spans="1:8" ht="14.4" x14ac:dyDescent="0.3">
      <c r="A352" s="5">
        <f t="shared" si="10"/>
        <v>345</v>
      </c>
      <c r="B352" s="6" t="s">
        <v>1663</v>
      </c>
      <c r="C352" s="6" t="s">
        <v>115</v>
      </c>
      <c r="D352" s="6" t="s">
        <v>17</v>
      </c>
      <c r="E352" s="6" t="s">
        <v>1662</v>
      </c>
      <c r="F352" s="6" t="s">
        <v>18</v>
      </c>
      <c r="G352" s="6">
        <v>79334791</v>
      </c>
      <c r="H352" t="str">
        <f t="shared" si="11"/>
        <v>INSERT INTO `parqueadero`.`vehiculo` (`Oid`, `Placa`, `Medio`, `Tipo`, `Marca`, `Color`, `IdConductor`) VALUES ('345','CUP251','AUTOMÓVIL','COMBUSTIBLE','BMW 525i','AZUL','79334791');</v>
      </c>
    </row>
    <row r="353" spans="1:8" ht="14.4" x14ac:dyDescent="0.3">
      <c r="A353" s="5">
        <f t="shared" si="10"/>
        <v>346</v>
      </c>
      <c r="B353" s="6" t="s">
        <v>1669</v>
      </c>
      <c r="C353" s="6" t="s">
        <v>115</v>
      </c>
      <c r="D353" s="6" t="s">
        <v>129</v>
      </c>
      <c r="E353" s="6" t="s">
        <v>1668</v>
      </c>
      <c r="F353" s="6" t="s">
        <v>38</v>
      </c>
      <c r="G353" s="6">
        <v>79553690</v>
      </c>
      <c r="H353" t="str">
        <f t="shared" si="11"/>
        <v>INSERT INTO `parqueadero`.`vehiculo` (`Oid`, `Placa`, `Medio`, `Tipo`, `Marca`, `Color`, `IdConductor`) VALUES ('346','PZP227','AUTOMÓVIL','ELÉCTRICO','JAC E30X','VERDE','79553690');</v>
      </c>
    </row>
    <row r="354" spans="1:8" ht="14.4" x14ac:dyDescent="0.3">
      <c r="A354" s="5">
        <f t="shared" si="10"/>
        <v>347</v>
      </c>
      <c r="B354" s="6" t="s">
        <v>1670</v>
      </c>
      <c r="C354" s="6" t="s">
        <v>115</v>
      </c>
      <c r="D354" s="6" t="s">
        <v>129</v>
      </c>
      <c r="E354" s="6" t="s">
        <v>1374</v>
      </c>
      <c r="F354" s="6" t="s">
        <v>66</v>
      </c>
      <c r="G354" s="6">
        <v>79553690</v>
      </c>
      <c r="H354" t="str">
        <f t="shared" si="11"/>
        <v>INSERT INTO `parqueadero`.`vehiculo` (`Oid`, `Placa`, `Medio`, `Tipo`, `Marca`, `Color`, `IdConductor`) VALUES ('347','PBM692','AUTOMÓVIL','ELÉCTRICO','BYD SEAGULL','BLANCO','79553690');</v>
      </c>
    </row>
    <row r="355" spans="1:8" ht="14.4" x14ac:dyDescent="0.3">
      <c r="A355" s="5">
        <f t="shared" si="10"/>
        <v>348</v>
      </c>
      <c r="B355" s="6" t="s">
        <v>1671</v>
      </c>
      <c r="C355" s="6" t="s">
        <v>115</v>
      </c>
      <c r="D355" s="6" t="s">
        <v>17</v>
      </c>
      <c r="E355" s="6" t="s">
        <v>58</v>
      </c>
      <c r="F355" s="6" t="s">
        <v>24</v>
      </c>
      <c r="G355" s="6">
        <v>79941715</v>
      </c>
      <c r="H355" t="str">
        <f t="shared" si="11"/>
        <v>INSERT INTO `parqueadero`.`vehiculo` (`Oid`, `Placa`, `Medio`, `Tipo`, `Marca`, `Color`, `IdConductor`) VALUES ('348','RDU359','AUTOMÓVIL','COMBUSTIBLE','CHEVROLET','NEGRO','79941715');</v>
      </c>
    </row>
    <row r="356" spans="1:8" ht="14.4" x14ac:dyDescent="0.3">
      <c r="A356" s="5">
        <f t="shared" si="10"/>
        <v>349</v>
      </c>
      <c r="B356" s="6" t="s">
        <v>1674</v>
      </c>
      <c r="C356" s="6" t="s">
        <v>143</v>
      </c>
      <c r="D356" s="6" t="s">
        <v>17</v>
      </c>
      <c r="E356" s="6" t="s">
        <v>58</v>
      </c>
      <c r="F356" s="6" t="s">
        <v>60</v>
      </c>
      <c r="G356" s="6">
        <v>79756400</v>
      </c>
      <c r="H356" t="str">
        <f t="shared" si="11"/>
        <v>INSERT INTO `parqueadero`.`vehiculo` (`Oid`, `Placa`, `Medio`, `Tipo`, `Marca`, `Color`, `IdConductor`) VALUES ('349','MHW775','CAMIONETA','COMBUSTIBLE','CHEVROLET','GRIS','79756400');</v>
      </c>
    </row>
    <row r="357" spans="1:8" ht="14.4" x14ac:dyDescent="0.3">
      <c r="A357" s="5">
        <f t="shared" si="10"/>
        <v>350</v>
      </c>
      <c r="B357" s="6" t="s">
        <v>1679</v>
      </c>
      <c r="C357" s="6" t="s">
        <v>143</v>
      </c>
      <c r="D357" s="6" t="s">
        <v>129</v>
      </c>
      <c r="E357" s="6" t="s">
        <v>1678</v>
      </c>
      <c r="F357" s="6" t="s">
        <v>1680</v>
      </c>
      <c r="G357" s="6">
        <v>80135858</v>
      </c>
      <c r="H357" t="str">
        <f t="shared" si="11"/>
        <v>INSERT INTO `parqueadero`.`vehiculo` (`Oid`, `Placa`, `Medio`, `Tipo`, `Marca`, `Color`, `IdConductor`) VALUES ('350','PHQ308','CAMIONETA','ELÉCTRICO','BMW IX1','GRIS METALIZADO','80135858');</v>
      </c>
    </row>
    <row r="358" spans="1:8" ht="14.4" x14ac:dyDescent="0.3">
      <c r="A358" s="5">
        <f t="shared" si="10"/>
        <v>351</v>
      </c>
      <c r="B358" s="6" t="s">
        <v>1684</v>
      </c>
      <c r="C358" s="6" t="s">
        <v>115</v>
      </c>
      <c r="D358" s="6" t="s">
        <v>17</v>
      </c>
      <c r="E358" s="6" t="s">
        <v>304</v>
      </c>
      <c r="F358" s="6" t="s">
        <v>34</v>
      </c>
      <c r="G358" s="6">
        <v>79841486</v>
      </c>
      <c r="H358" t="str">
        <f t="shared" si="11"/>
        <v>INSERT INTO `parqueadero`.`vehiculo` (`Oid`, `Placa`, `Medio`, `Tipo`, `Marca`, `Color`, `IdConductor`) VALUES ('351','FNS114','AUTOMÓVIL','COMBUSTIBLE','RENAULT','BEIGE','79841486');</v>
      </c>
    </row>
    <row r="359" spans="1:8" ht="14.4" x14ac:dyDescent="0.3">
      <c r="A359" s="5">
        <f t="shared" si="10"/>
        <v>352</v>
      </c>
      <c r="B359" s="6" t="s">
        <v>1687</v>
      </c>
      <c r="C359" s="6" t="s">
        <v>115</v>
      </c>
      <c r="D359" s="6" t="s">
        <v>17</v>
      </c>
      <c r="E359" s="6" t="s">
        <v>1465</v>
      </c>
      <c r="F359" s="6" t="s">
        <v>60</v>
      </c>
      <c r="G359" s="6">
        <v>79316881</v>
      </c>
      <c r="H359" t="str">
        <f t="shared" si="11"/>
        <v>INSERT INTO `parqueadero`.`vehiculo` (`Oid`, `Placa`, `Medio`, `Tipo`, `Marca`, `Color`, `IdConductor`) VALUES ('352','PYN474','AUTOMÓVIL','COMBUSTIBLE','VOLKSWAGEN JETTA','GRIS','79316881');</v>
      </c>
    </row>
    <row r="360" spans="1:8" ht="14.4" x14ac:dyDescent="0.3">
      <c r="A360" s="5">
        <f t="shared" si="10"/>
        <v>353</v>
      </c>
      <c r="B360" s="6" t="s">
        <v>1691</v>
      </c>
      <c r="C360" s="6" t="s">
        <v>143</v>
      </c>
      <c r="D360" s="6" t="s">
        <v>17</v>
      </c>
      <c r="E360" s="6" t="s">
        <v>75</v>
      </c>
      <c r="F360" s="6" t="s">
        <v>60</v>
      </c>
      <c r="G360" s="6">
        <v>80202549</v>
      </c>
      <c r="H360" t="str">
        <f t="shared" si="11"/>
        <v>INSERT INTO `parqueadero`.`vehiculo` (`Oid`, `Placa`, `Medio`, `Tipo`, `Marca`, `Color`, `IdConductor`) VALUES ('353','IMT897','CAMIONETA','COMBUSTIBLE','MAZDA','GRIS','80202549');</v>
      </c>
    </row>
    <row r="361" spans="1:8" ht="14.4" x14ac:dyDescent="0.3">
      <c r="A361" s="5">
        <f t="shared" si="10"/>
        <v>354</v>
      </c>
      <c r="B361" s="6" t="s">
        <v>1695</v>
      </c>
      <c r="C361" s="6" t="s">
        <v>143</v>
      </c>
      <c r="D361" s="6" t="s">
        <v>253</v>
      </c>
      <c r="E361" s="6" t="s">
        <v>64</v>
      </c>
      <c r="F361" s="6" t="s">
        <v>66</v>
      </c>
      <c r="G361" s="6">
        <v>1110466592</v>
      </c>
      <c r="H361" t="str">
        <f t="shared" si="11"/>
        <v>INSERT INTO `parqueadero`.`vehiculo` (`Oid`, `Placa`, `Medio`, `Tipo`, `Marca`, `Color`, `IdConductor`) VALUES ('354','PDV885','CAMIONETA','HÍBRIDO','TOYOTA','BLANCO','1110466592');</v>
      </c>
    </row>
    <row r="362" spans="1:8" ht="14.4" x14ac:dyDescent="0.3">
      <c r="A362" s="5">
        <f t="shared" si="10"/>
        <v>355</v>
      </c>
      <c r="B362" s="6" t="s">
        <v>1699</v>
      </c>
      <c r="C362" s="6" t="s">
        <v>143</v>
      </c>
      <c r="D362" s="6" t="s">
        <v>17</v>
      </c>
      <c r="E362" s="6" t="s">
        <v>491</v>
      </c>
      <c r="F362" s="6" t="s">
        <v>66</v>
      </c>
      <c r="G362" s="6">
        <v>19272805</v>
      </c>
      <c r="H362" t="str">
        <f t="shared" si="11"/>
        <v>INSERT INTO `parqueadero`.`vehiculo` (`Oid`, `Placa`, `Medio`, `Tipo`, `Marca`, `Color`, `IdConductor`) VALUES ('355','WOX644','CAMIONETA','COMBUSTIBLE','RENAULT DUSTER','BLANCO','19272805');</v>
      </c>
    </row>
    <row r="363" spans="1:8" ht="14.4" x14ac:dyDescent="0.3">
      <c r="A363" s="5">
        <f t="shared" si="10"/>
        <v>356</v>
      </c>
      <c r="B363" s="6" t="s">
        <v>1704</v>
      </c>
      <c r="C363" s="6" t="s">
        <v>2195</v>
      </c>
      <c r="D363" s="6" t="s">
        <v>17</v>
      </c>
      <c r="E363" s="6" t="s">
        <v>1703</v>
      </c>
      <c r="F363" s="6" t="s">
        <v>18</v>
      </c>
      <c r="G363" s="6">
        <v>52308946</v>
      </c>
      <c r="H363" t="str">
        <f t="shared" si="11"/>
        <v>INSERT INTO `parqueadero`.`vehiculo` (`Oid`, `Placa`, `Medio`, `Tipo`, `Marca`, `Color`, `IdConductor`) VALUES ('356','XHI05H','MOTOCICLETA','COMBUSTIBLE','TVS RAIDER','AZUL','52308946');</v>
      </c>
    </row>
    <row r="364" spans="1:8" ht="14.4" x14ac:dyDescent="0.3">
      <c r="A364" s="5">
        <f t="shared" si="10"/>
        <v>357</v>
      </c>
      <c r="B364" s="6" t="s">
        <v>1708</v>
      </c>
      <c r="C364" s="6" t="s">
        <v>2195</v>
      </c>
      <c r="D364" s="6" t="s">
        <v>17</v>
      </c>
      <c r="E364" s="6" t="s">
        <v>2288</v>
      </c>
      <c r="F364" s="6" t="s">
        <v>18</v>
      </c>
      <c r="G364" s="6">
        <v>1031166153</v>
      </c>
      <c r="H364" t="str">
        <f t="shared" si="11"/>
        <v>INSERT INTO `parqueadero`.`vehiculo` (`Oid`, `Placa`, `Medio`, `Tipo`, `Marca`, `Color`, `IdConductor`) VALUES ('357','PEM28F','MOTOCICLETA','COMBUSTIBLE','SUZUKI GIXXER','AZUL','1031166153');</v>
      </c>
    </row>
    <row r="365" spans="1:8" ht="14.4" x14ac:dyDescent="0.3">
      <c r="A365" s="5">
        <f t="shared" si="10"/>
        <v>358</v>
      </c>
      <c r="B365" s="6" t="s">
        <v>1711</v>
      </c>
      <c r="C365" s="6" t="s">
        <v>143</v>
      </c>
      <c r="D365" s="6" t="s">
        <v>17</v>
      </c>
      <c r="E365" s="6" t="s">
        <v>64</v>
      </c>
      <c r="F365" s="6" t="s">
        <v>60</v>
      </c>
      <c r="G365" s="6">
        <v>91523898</v>
      </c>
      <c r="H365" t="str">
        <f t="shared" si="11"/>
        <v>INSERT INTO `parqueadero`.`vehiculo` (`Oid`, `Placa`, `Medio`, `Tipo`, `Marca`, `Color`, `IdConductor`) VALUES ('358','KMY141','CAMIONETA','COMBUSTIBLE','TOYOTA','GRIS','91523898');</v>
      </c>
    </row>
    <row r="366" spans="1:8" ht="14.4" x14ac:dyDescent="0.3">
      <c r="A366" s="5">
        <f t="shared" si="10"/>
        <v>359</v>
      </c>
      <c r="B366" s="6" t="s">
        <v>1712</v>
      </c>
      <c r="C366" s="6" t="s">
        <v>115</v>
      </c>
      <c r="D366" s="6" t="s">
        <v>129</v>
      </c>
      <c r="E366" s="6" t="s">
        <v>22</v>
      </c>
      <c r="F366" s="6" t="s">
        <v>66</v>
      </c>
      <c r="G366" s="6">
        <v>32798171</v>
      </c>
      <c r="H366" t="str">
        <f t="shared" si="11"/>
        <v>INSERT INTO `parqueadero`.`vehiculo` (`Oid`, `Placa`, `Medio`, `Tipo`, `Marca`, `Color`, `IdConductor`) VALUES ('359','NJU676','AUTOMÓVIL','ELÉCTRICO','BYD','BLANCO','32798171');</v>
      </c>
    </row>
    <row r="367" spans="1:8" ht="14.4" x14ac:dyDescent="0.3">
      <c r="A367" s="5">
        <f t="shared" si="10"/>
        <v>360</v>
      </c>
      <c r="B367" s="6" t="s">
        <v>1718</v>
      </c>
      <c r="C367" s="6" t="s">
        <v>143</v>
      </c>
      <c r="D367" s="6" t="s">
        <v>17</v>
      </c>
      <c r="E367" s="6" t="s">
        <v>1717</v>
      </c>
      <c r="F367" s="6" t="s">
        <v>1021</v>
      </c>
      <c r="G367" s="6">
        <v>52963778</v>
      </c>
      <c r="H367" t="str">
        <f t="shared" si="11"/>
        <v>INSERT INTO `parqueadero`.`vehiculo` (`Oid`, `Placa`, `Medio`, `Tipo`, `Marca`, `Color`, `IdConductor`) VALUES ('360','DOY442','CAMIONETA','COMBUSTIBLE','NISSAN XTRAIL','BLANCO PERLADO','52963778');</v>
      </c>
    </row>
    <row r="368" spans="1:8" ht="14.4" x14ac:dyDescent="0.3">
      <c r="A368" s="5">
        <f t="shared" si="10"/>
        <v>361</v>
      </c>
      <c r="B368" s="6" t="s">
        <v>1722</v>
      </c>
      <c r="C368" s="6" t="s">
        <v>115</v>
      </c>
      <c r="D368" s="6" t="s">
        <v>17</v>
      </c>
      <c r="E368" s="6" t="s">
        <v>1019</v>
      </c>
      <c r="F368" s="6" t="s">
        <v>66</v>
      </c>
      <c r="G368" s="6">
        <v>79690499</v>
      </c>
      <c r="H368" t="str">
        <f t="shared" si="11"/>
        <v>INSERT INTO `parqueadero`.`vehiculo` (`Oid`, `Placa`, `Medio`, `Tipo`, `Marca`, `Color`, `IdConductor`) VALUES ('361','GLM667','AUTOMÓVIL','COMBUSTIBLE','MAZDA 3','BLANCO','79690499');</v>
      </c>
    </row>
    <row r="369" spans="1:8" ht="14.4" x14ac:dyDescent="0.3">
      <c r="A369" s="5">
        <f t="shared" si="10"/>
        <v>362</v>
      </c>
      <c r="B369" s="6" t="s">
        <v>1726</v>
      </c>
      <c r="C369" s="6" t="s">
        <v>2195</v>
      </c>
      <c r="D369" s="6" t="s">
        <v>17</v>
      </c>
      <c r="E369" s="6" t="s">
        <v>1422</v>
      </c>
      <c r="F369" s="6" t="s">
        <v>1727</v>
      </c>
      <c r="G369" s="6">
        <v>1026277669</v>
      </c>
      <c r="H369" t="str">
        <f t="shared" si="11"/>
        <v>INSERT INTO `parqueadero`.`vehiculo` (`Oid`, `Placa`, `Medio`, `Tipo`, `Marca`, `Color`, `IdConductor`) VALUES ('362','GMO67E','MOTOCICLETA','COMBUSTIBLE','BAJAJ','VERDE GRIS','1026277669');</v>
      </c>
    </row>
    <row r="370" spans="1:8" ht="14.4" x14ac:dyDescent="0.3">
      <c r="A370" s="5">
        <f t="shared" si="10"/>
        <v>363</v>
      </c>
      <c r="B370" s="17" t="s">
        <v>1731</v>
      </c>
      <c r="C370" s="6" t="s">
        <v>115</v>
      </c>
      <c r="D370" s="17" t="s">
        <v>17</v>
      </c>
      <c r="E370" s="17" t="s">
        <v>501</v>
      </c>
      <c r="F370" s="17" t="s">
        <v>60</v>
      </c>
      <c r="G370" s="17">
        <v>1026261037</v>
      </c>
      <c r="H370" t="str">
        <f t="shared" si="11"/>
        <v>INSERT INTO `parqueadero`.`vehiculo` (`Oid`, `Placa`, `Medio`, `Tipo`, `Marca`, `Color`, `IdConductor`) VALUES ('363','HFR301','AUTOMÓVIL','COMBUSTIBLE','NISSAN','GRIS','1026261037');</v>
      </c>
    </row>
    <row r="371" spans="1:8" ht="14.4" x14ac:dyDescent="0.3">
      <c r="A371" s="5">
        <f t="shared" si="10"/>
        <v>364</v>
      </c>
      <c r="B371" s="6" t="s">
        <v>1735</v>
      </c>
      <c r="C371" s="6" t="s">
        <v>115</v>
      </c>
      <c r="D371" s="6" t="s">
        <v>17</v>
      </c>
      <c r="E371" s="6" t="s">
        <v>681</v>
      </c>
      <c r="F371" s="6" t="s">
        <v>44</v>
      </c>
      <c r="G371" s="6">
        <v>1018455944</v>
      </c>
      <c r="H371" t="str">
        <f t="shared" si="11"/>
        <v>INSERT INTO `parqueadero`.`vehiculo` (`Oid`, `Placa`, `Medio`, `Tipo`, `Marca`, `Color`, `IdConductor`) VALUES ('364','GLT039','AUTOMÓVIL','COMBUSTIBLE','MAZDA 2','ROJO','1018455944');</v>
      </c>
    </row>
    <row r="372" spans="1:8" ht="14.4" x14ac:dyDescent="0.3">
      <c r="A372" s="5">
        <f t="shared" si="10"/>
        <v>365</v>
      </c>
      <c r="B372" s="6" t="s">
        <v>1739</v>
      </c>
      <c r="C372" s="6" t="s">
        <v>115</v>
      </c>
      <c r="D372" s="6" t="s">
        <v>17</v>
      </c>
      <c r="E372" s="6" t="s">
        <v>138</v>
      </c>
      <c r="F372" s="6" t="s">
        <v>60</v>
      </c>
      <c r="G372" s="6">
        <v>79923325</v>
      </c>
      <c r="H372" t="str">
        <f t="shared" si="11"/>
        <v>INSERT INTO `parqueadero`.`vehiculo` (`Oid`, `Placa`, `Medio`, `Tipo`, `Marca`, `Color`, `IdConductor`) VALUES ('365','HAS358','AUTOMÓVIL','COMBUSTIBLE','RENAULT SANDERO','GRIS','79923325');</v>
      </c>
    </row>
    <row r="373" spans="1:8" ht="14.4" x14ac:dyDescent="0.3">
      <c r="A373" s="5">
        <f t="shared" si="10"/>
        <v>366</v>
      </c>
      <c r="B373" s="6" t="s">
        <v>1740</v>
      </c>
      <c r="C373" s="6" t="s">
        <v>2195</v>
      </c>
      <c r="D373" s="6" t="s">
        <v>17</v>
      </c>
      <c r="E373" s="6" t="s">
        <v>276</v>
      </c>
      <c r="F373" s="6" t="s">
        <v>1741</v>
      </c>
      <c r="G373" s="6">
        <v>79923325</v>
      </c>
      <c r="H373" t="str">
        <f t="shared" si="11"/>
        <v>INSERT INTO `parqueadero`.`vehiculo` (`Oid`, `Placa`, `Medio`, `Tipo`, `Marca`, `Color`, `IdConductor`) VALUES ('366','BUG80C','MOTOCICLETA','COMBUSTIBLE','SUZUKI','ROJA','79923325');</v>
      </c>
    </row>
    <row r="374" spans="1:8" ht="14.4" x14ac:dyDescent="0.3">
      <c r="A374" s="5">
        <f t="shared" si="10"/>
        <v>367</v>
      </c>
      <c r="B374" s="6" t="s">
        <v>1746</v>
      </c>
      <c r="C374" s="6" t="s">
        <v>2195</v>
      </c>
      <c r="D374" s="6" t="s">
        <v>17</v>
      </c>
      <c r="E374" s="6" t="s">
        <v>1745</v>
      </c>
      <c r="F374" s="6" t="s">
        <v>797</v>
      </c>
      <c r="G374" s="6">
        <v>79792606</v>
      </c>
      <c r="H374" t="str">
        <f t="shared" si="11"/>
        <v>INSERT INTO `parqueadero`.`vehiculo` (`Oid`, `Placa`, `Medio`, `Tipo`, `Marca`, `Color`, `IdConductor`) VALUES ('367','YQN70G','MOTOCICLETA','COMBUSTIBLE','VOG DS300','ROJO - NEGRO','79792606');</v>
      </c>
    </row>
    <row r="375" spans="1:8" ht="14.4" x14ac:dyDescent="0.3">
      <c r="A375" s="5">
        <f t="shared" si="10"/>
        <v>368</v>
      </c>
      <c r="B375" s="17" t="s">
        <v>1751</v>
      </c>
      <c r="C375" s="6" t="s">
        <v>2195</v>
      </c>
      <c r="D375" s="17" t="s">
        <v>17</v>
      </c>
      <c r="E375" s="17" t="s">
        <v>276</v>
      </c>
      <c r="F375" s="17" t="s">
        <v>1752</v>
      </c>
      <c r="G375" s="17">
        <v>1000284442</v>
      </c>
      <c r="H375" t="str">
        <f t="shared" si="11"/>
        <v>INSERT INTO `parqueadero`.`vehiculo` (`Oid`, `Placa`, `Medio`, `Tipo`, `Marca`, `Color`, `IdConductor`) VALUES ('368','ULR42H','MOTOCICLETA','COMBUSTIBLE','SUZUKI','AZUL-BLANCO-NEGRO','1000284442');</v>
      </c>
    </row>
    <row r="376" spans="1:8" ht="14.4" x14ac:dyDescent="0.3">
      <c r="A376" s="5">
        <f t="shared" si="10"/>
        <v>369</v>
      </c>
      <c r="B376" s="6" t="s">
        <v>1762</v>
      </c>
      <c r="C376" s="6" t="s">
        <v>2195</v>
      </c>
      <c r="D376" s="6" t="s">
        <v>17</v>
      </c>
      <c r="E376" s="6" t="s">
        <v>1761</v>
      </c>
      <c r="F376" s="6" t="s">
        <v>38</v>
      </c>
      <c r="G376" s="6">
        <v>94486941</v>
      </c>
      <c r="H376" t="str">
        <f t="shared" si="11"/>
        <v>INSERT INTO `parqueadero`.`vehiculo` (`Oid`, `Placa`, `Medio`, `Tipo`, `Marca`, `Color`, `IdConductor`) VALUES ('369','LCO60F','MOTOCICLETA','COMBUSTIBLE','APRILIA SR GT 200','VERDE','94486941');</v>
      </c>
    </row>
    <row r="377" spans="1:8" ht="14.4" x14ac:dyDescent="0.3">
      <c r="A377" s="5">
        <f t="shared" si="10"/>
        <v>370</v>
      </c>
      <c r="B377" s="17" t="s">
        <v>1766</v>
      </c>
      <c r="C377" s="6" t="s">
        <v>2195</v>
      </c>
      <c r="D377" s="17" t="s">
        <v>17</v>
      </c>
      <c r="E377" s="17" t="s">
        <v>701</v>
      </c>
      <c r="F377" s="17" t="s">
        <v>1767</v>
      </c>
      <c r="G377" s="17">
        <v>1022437241</v>
      </c>
      <c r="H377" t="str">
        <f t="shared" si="11"/>
        <v>INSERT INTO `parqueadero`.`vehiculo` (`Oid`, `Placa`, `Medio`, `Tipo`, `Marca`, `Color`, `IdConductor`) VALUES ('370','RBL47G','MOTOCICLETA','COMBUSTIBLE','YAMAHA','VERDE - NEGRO','1022437241');</v>
      </c>
    </row>
    <row r="378" spans="1:8" ht="14.4" x14ac:dyDescent="0.3">
      <c r="A378" s="5">
        <f t="shared" si="10"/>
        <v>371</v>
      </c>
      <c r="B378" s="6" t="s">
        <v>1772</v>
      </c>
      <c r="C378" s="6" t="s">
        <v>143</v>
      </c>
      <c r="D378" s="6" t="s">
        <v>253</v>
      </c>
      <c r="E378" s="6" t="s">
        <v>1771</v>
      </c>
      <c r="F378" s="6" t="s">
        <v>66</v>
      </c>
      <c r="G378" s="6">
        <v>79956337</v>
      </c>
      <c r="H378" t="str">
        <f t="shared" si="11"/>
        <v>INSERT INTO `parqueadero`.`vehiculo` (`Oid`, `Placa`, `Medio`, `Tipo`, `Marca`, `Color`, `IdConductor`) VALUES ('371','SRO755','CAMIONETA','HÍBRIDO','TOYOTA HILUX','BLANCO','79956337');</v>
      </c>
    </row>
    <row r="379" spans="1:8" ht="14.4" x14ac:dyDescent="0.3">
      <c r="A379" s="5">
        <f t="shared" si="10"/>
        <v>372</v>
      </c>
      <c r="B379" s="6" t="s">
        <v>1777</v>
      </c>
      <c r="C379" s="6" t="s">
        <v>115</v>
      </c>
      <c r="D379" s="6" t="s">
        <v>17</v>
      </c>
      <c r="E379" s="6" t="s">
        <v>1776</v>
      </c>
      <c r="F379" s="6" t="s">
        <v>60</v>
      </c>
      <c r="G379" s="6">
        <v>1094272550</v>
      </c>
      <c r="H379" t="str">
        <f t="shared" si="11"/>
        <v>INSERT INTO `parqueadero`.`vehiculo` (`Oid`, `Placa`, `Medio`, `Tipo`, `Marca`, `Color`, `IdConductor`) VALUES ('372','GLX737','AUTOMÓVIL','COMBUSTIBLE','RENAULT STEPWAY','GRIS','1094272550');</v>
      </c>
    </row>
    <row r="380" spans="1:8" ht="14.4" x14ac:dyDescent="0.3">
      <c r="A380" s="5">
        <f t="shared" si="10"/>
        <v>373</v>
      </c>
      <c r="B380" s="6" t="s">
        <v>1786</v>
      </c>
      <c r="C380" s="6" t="s">
        <v>115</v>
      </c>
      <c r="D380" s="6" t="s">
        <v>17</v>
      </c>
      <c r="E380" s="6" t="s">
        <v>1785</v>
      </c>
      <c r="F380" s="6" t="s">
        <v>266</v>
      </c>
      <c r="G380" s="6">
        <v>1010213543</v>
      </c>
      <c r="H380" t="str">
        <f t="shared" si="11"/>
        <v>INSERT INTO `parqueadero`.`vehiculo` (`Oid`, `Placa`, `Medio`, `Tipo`, `Marca`, `Color`, `IdConductor`) VALUES ('373','FYX046','AUTOMÓVIL','COMBUSTIBLE','CREVROLET CRUZE TURBO','AZUL OSCURO','1010213543');</v>
      </c>
    </row>
    <row r="381" spans="1:8" ht="14.4" x14ac:dyDescent="0.3">
      <c r="A381" s="5">
        <f t="shared" si="10"/>
        <v>374</v>
      </c>
      <c r="B381" s="17" t="s">
        <v>1791</v>
      </c>
      <c r="C381" s="6" t="s">
        <v>2195</v>
      </c>
      <c r="D381" s="17" t="s">
        <v>17</v>
      </c>
      <c r="E381" s="17" t="s">
        <v>1790</v>
      </c>
      <c r="F381" s="17" t="s">
        <v>1792</v>
      </c>
      <c r="G381" s="17">
        <v>1015407149</v>
      </c>
      <c r="H381" t="str">
        <f t="shared" si="11"/>
        <v>INSERT INTO `parqueadero`.`vehiculo` (`Oid`, `Placa`, `Medio`, `Tipo`, `Marca`, `Color`, `IdConductor`) VALUES ('374','DJI56G','MOTOCICLETA','COMBUSTIBLE','HERO','DORADA','1015407149');</v>
      </c>
    </row>
    <row r="382" spans="1:8" ht="14.4" x14ac:dyDescent="0.3">
      <c r="A382" s="5">
        <f t="shared" si="10"/>
        <v>375</v>
      </c>
      <c r="B382" s="6" t="s">
        <v>1796</v>
      </c>
      <c r="C382" s="6" t="s">
        <v>115</v>
      </c>
      <c r="D382" s="6" t="s">
        <v>17</v>
      </c>
      <c r="E382" s="6" t="s">
        <v>32</v>
      </c>
      <c r="F382" s="6" t="s">
        <v>44</v>
      </c>
      <c r="G382" s="13">
        <v>1015447384</v>
      </c>
      <c r="H382" t="str">
        <f t="shared" si="11"/>
        <v>INSERT INTO `parqueadero`.`vehiculo` (`Oid`, `Placa`, `Medio`, `Tipo`, `Marca`, `Color`, `IdConductor`) VALUES ('375','EDK255','AUTOMÓVIL','COMBUSTIBLE','RENAULT KWID','ROJO','1015447384');</v>
      </c>
    </row>
    <row r="383" spans="1:8" ht="14.4" x14ac:dyDescent="0.3">
      <c r="A383" s="5">
        <f t="shared" si="10"/>
        <v>376</v>
      </c>
      <c r="B383" s="6" t="s">
        <v>1798</v>
      </c>
      <c r="C383" s="6" t="s">
        <v>2195</v>
      </c>
      <c r="D383" s="6" t="s">
        <v>17</v>
      </c>
      <c r="E383" s="6" t="s">
        <v>1797</v>
      </c>
      <c r="F383" s="6" t="s">
        <v>44</v>
      </c>
      <c r="G383" s="13">
        <v>1015447384</v>
      </c>
      <c r="H383" t="str">
        <f t="shared" si="11"/>
        <v>INSERT INTO `parqueadero`.`vehiculo` (`Oid`, `Placa`, `Medio`, `Tipo`, `Marca`, `Color`, `IdConductor`) VALUES ('376','APS34G','MOTOCICLETA','COMBUSTIBLE','HONDA CB 125F','ROJO','1015447384');</v>
      </c>
    </row>
    <row r="384" spans="1:8" ht="14.4" x14ac:dyDescent="0.3">
      <c r="A384" s="5">
        <f t="shared" si="10"/>
        <v>377</v>
      </c>
      <c r="B384" s="6" t="s">
        <v>1803</v>
      </c>
      <c r="C384" s="6" t="s">
        <v>2195</v>
      </c>
      <c r="D384" s="6" t="s">
        <v>17</v>
      </c>
      <c r="E384" s="6" t="s">
        <v>1802</v>
      </c>
      <c r="F384" s="6" t="s">
        <v>24</v>
      </c>
      <c r="G384" s="13">
        <v>1026292170</v>
      </c>
      <c r="H384" t="str">
        <f t="shared" si="11"/>
        <v>INSERT INTO `parqueadero`.`vehiculo` (`Oid`, `Placa`, `Medio`, `Tipo`, `Marca`, `Color`, `IdConductor`) VALUES ('377','DFO36I','MOTOCICLETA','COMBUSTIBLE','AUTECO NKD','NEGRO','1026292170');</v>
      </c>
    </row>
    <row r="385" spans="1:8" ht="14.4" x14ac:dyDescent="0.3">
      <c r="A385" s="5">
        <f t="shared" si="10"/>
        <v>378</v>
      </c>
      <c r="B385" s="6" t="s">
        <v>1808</v>
      </c>
      <c r="C385" s="6" t="s">
        <v>143</v>
      </c>
      <c r="D385" s="6" t="s">
        <v>17</v>
      </c>
      <c r="E385" s="6" t="s">
        <v>1807</v>
      </c>
      <c r="F385" s="6" t="s">
        <v>166</v>
      </c>
      <c r="G385" s="13">
        <v>52181754</v>
      </c>
      <c r="H385" t="str">
        <f t="shared" si="11"/>
        <v>INSERT INTO `parqueadero`.`vehiculo` (`Oid`, `Placa`, `Medio`, `Tipo`, `Marca`, `Color`, `IdConductor`) VALUES ('378','PBP346','CAMIONETA','COMBUSTIBLE','MAZDA CX30','GRIS OSCURO','52181754');</v>
      </c>
    </row>
    <row r="386" spans="1:8" ht="14.4" x14ac:dyDescent="0.3">
      <c r="A386" s="5">
        <f t="shared" si="10"/>
        <v>379</v>
      </c>
      <c r="B386" s="6" t="s">
        <v>1813</v>
      </c>
      <c r="C386" s="6" t="s">
        <v>115</v>
      </c>
      <c r="D386" s="6" t="s">
        <v>17</v>
      </c>
      <c r="E386" s="6" t="s">
        <v>1812</v>
      </c>
      <c r="F386" s="6" t="s">
        <v>1814</v>
      </c>
      <c r="G386" s="13">
        <v>1000000381</v>
      </c>
      <c r="H386" t="str">
        <f t="shared" si="11"/>
        <v>INSERT INTO `parqueadero`.`vehiculo` (`Oid`, `Placa`, `Medio`, `Tipo`, `Marca`, `Color`, `IdConductor`) VALUES ('379','BEF748','AUTOMÓVIL','COMBUSTIBLE','MAZDA MATZURI','ROJO CEREZA','1000000381');</v>
      </c>
    </row>
    <row r="387" spans="1:8" ht="14.4" x14ac:dyDescent="0.3">
      <c r="A387" s="5">
        <f t="shared" ref="A387:A448" si="12">ROW()-7</f>
        <v>380</v>
      </c>
      <c r="B387" s="6" t="s">
        <v>1816</v>
      </c>
      <c r="C387" s="6" t="s">
        <v>2195</v>
      </c>
      <c r="D387" s="6" t="s">
        <v>17</v>
      </c>
      <c r="E387" s="6" t="s">
        <v>1815</v>
      </c>
      <c r="F387" s="6" t="s">
        <v>24</v>
      </c>
      <c r="G387" s="13">
        <v>1000000381</v>
      </c>
      <c r="H387" t="str">
        <f t="shared" si="11"/>
        <v>INSERT INTO `parqueadero`.`vehiculo` (`Oid`, `Placa`, `Medio`, `Tipo`, `Marca`, `Color`, `IdConductor`) VALUES ('380','UQR65F','MOTOCICLETA','COMBUSTIBLE','PULSAR','NEGRO','1000000381');</v>
      </c>
    </row>
    <row r="388" spans="1:8" ht="14.4" x14ac:dyDescent="0.3">
      <c r="A388" s="5">
        <f t="shared" si="12"/>
        <v>381</v>
      </c>
      <c r="B388" s="6" t="s">
        <v>1821</v>
      </c>
      <c r="C388" s="6" t="s">
        <v>143</v>
      </c>
      <c r="D388" s="6" t="s">
        <v>17</v>
      </c>
      <c r="E388" s="6" t="s">
        <v>1820</v>
      </c>
      <c r="F388" s="6" t="s">
        <v>66</v>
      </c>
      <c r="G388" s="13">
        <v>7225361</v>
      </c>
      <c r="H388" t="str">
        <f t="shared" si="11"/>
        <v>INSERT INTO `parqueadero`.`vehiculo` (`Oid`, `Placa`, `Medio`, `Tipo`, `Marca`, `Color`, `IdConductor`) VALUES ('381','WGO530','CAMIONETA','COMBUSTIBLE','DUSTER 4x4','BLANCO','7225361');</v>
      </c>
    </row>
    <row r="389" spans="1:8" ht="14.4" x14ac:dyDescent="0.3">
      <c r="A389" s="5">
        <f t="shared" si="12"/>
        <v>382</v>
      </c>
      <c r="B389" s="6" t="s">
        <v>1827</v>
      </c>
      <c r="C389" s="6" t="s">
        <v>2195</v>
      </c>
      <c r="D389" s="6" t="s">
        <v>17</v>
      </c>
      <c r="E389" s="6" t="s">
        <v>1826</v>
      </c>
      <c r="F389" s="6" t="s">
        <v>316</v>
      </c>
      <c r="G389" s="13">
        <v>1012453976</v>
      </c>
      <c r="H389" t="str">
        <f t="shared" si="11"/>
        <v>INSERT INTO `parqueadero`.`vehiculo` (`Oid`, `Placa`, `Medio`, `Tipo`, `Marca`, `Color`, `IdConductor`) VALUES ('382','OMG23A','MOTOCICLETA','COMBUSTIBLE','BAJAJ PULSAR 180 UG GT','NEGRO MATE','1012453976');</v>
      </c>
    </row>
    <row r="390" spans="1:8" ht="14.4" x14ac:dyDescent="0.3">
      <c r="A390" s="5">
        <f t="shared" si="12"/>
        <v>383</v>
      </c>
      <c r="B390" s="6" t="s">
        <v>1832</v>
      </c>
      <c r="C390" s="6" t="s">
        <v>115</v>
      </c>
      <c r="D390" s="6" t="s">
        <v>17</v>
      </c>
      <c r="E390" s="6" t="s">
        <v>1831</v>
      </c>
      <c r="F390" s="6" t="s">
        <v>66</v>
      </c>
      <c r="G390" s="13">
        <v>1049794506</v>
      </c>
      <c r="H390" t="str">
        <f t="shared" si="11"/>
        <v>INSERT INTO `parqueadero`.`vehiculo` (`Oid`, `Placa`, `Medio`, `Tipo`, `Marca`, `Color`, `IdConductor`) VALUES ('383','JWV618','AUTOMÓVIL','COMBUSTIBLE','HYUNDAI i10','BLANCO','1049794506');</v>
      </c>
    </row>
    <row r="391" spans="1:8" ht="14.4" x14ac:dyDescent="0.3">
      <c r="A391" s="5">
        <f t="shared" si="12"/>
        <v>384</v>
      </c>
      <c r="B391" s="6" t="s">
        <v>1837</v>
      </c>
      <c r="C391" s="6" t="s">
        <v>115</v>
      </c>
      <c r="D391" s="6" t="s">
        <v>129</v>
      </c>
      <c r="E391" s="6" t="s">
        <v>1836</v>
      </c>
      <c r="F391" s="6" t="s">
        <v>60</v>
      </c>
      <c r="G391" s="13">
        <v>80791247</v>
      </c>
      <c r="H391" t="str">
        <f t="shared" si="11"/>
        <v>INSERT INTO `parqueadero`.`vehiculo` (`Oid`, `Placa`, `Medio`, `Tipo`, `Marca`, `Color`, `IdConductor`) VALUES ('384','PHL713','AUTOMÓVIL','ELÉCTRICO','CHERY ICAR 03','GRIS','80791247');</v>
      </c>
    </row>
    <row r="392" spans="1:8" ht="14.4" x14ac:dyDescent="0.3">
      <c r="A392" s="5">
        <f t="shared" si="12"/>
        <v>385</v>
      </c>
      <c r="B392" s="6" t="s">
        <v>1839</v>
      </c>
      <c r="C392" s="6" t="s">
        <v>143</v>
      </c>
      <c r="D392" s="6" t="s">
        <v>17</v>
      </c>
      <c r="E392" s="6" t="s">
        <v>1838</v>
      </c>
      <c r="F392" s="6" t="s">
        <v>60</v>
      </c>
      <c r="G392" s="6">
        <v>19272805</v>
      </c>
      <c r="H392" t="str">
        <f t="shared" ref="H392:H455" si="13">CONCATENATE("INSERT INTO `parqueadero`.`vehiculo` (`",$A$7,"`, `",$B$7,"`, `",$C$7,"`, `",$D$7,"`, `",$E$7,"`, `",$F$7,"`, `",$G$7,"`) VALUES ('",A392,"','",B392,"','",C392,"','",D392,"','",E392,"','",F392,"','",G392,"');" )</f>
        <v>INSERT INTO `parqueadero`.`vehiculo` (`Oid`, `Placa`, `Medio`, `Tipo`, `Marca`, `Color`, `IdConductor`) VALUES ('385','MPX503','CAMIONETA','COMBUSTIBLE','NISSAN FRONTIER','GRIS','19272805');</v>
      </c>
    </row>
    <row r="393" spans="1:8" ht="14.4" x14ac:dyDescent="0.3">
      <c r="A393" s="5">
        <f t="shared" si="12"/>
        <v>386</v>
      </c>
      <c r="B393" s="6" t="s">
        <v>1845</v>
      </c>
      <c r="C393" s="6" t="s">
        <v>143</v>
      </c>
      <c r="D393" s="6" t="s">
        <v>17</v>
      </c>
      <c r="E393" s="6" t="s">
        <v>1844</v>
      </c>
      <c r="F393" s="6" t="s">
        <v>1846</v>
      </c>
      <c r="G393" s="13">
        <v>1032396574</v>
      </c>
      <c r="H393" t="str">
        <f t="shared" si="13"/>
        <v>INSERT INTO `parqueadero`.`vehiculo` (`Oid`, `Placa`, `Medio`, `Tipo`, `Marca`, `Color`, `IdConductor`) VALUES ('386','PBS642','CAMIONETA','COMBUSTIBLE','MAZDA CX50','ZIRCÓN ARENA','1032396574');</v>
      </c>
    </row>
    <row r="394" spans="1:8" ht="14.4" x14ac:dyDescent="0.3">
      <c r="A394" s="5">
        <f t="shared" si="12"/>
        <v>387</v>
      </c>
      <c r="B394" s="17" t="s">
        <v>1851</v>
      </c>
      <c r="C394" s="6" t="s">
        <v>115</v>
      </c>
      <c r="D394" s="6" t="s">
        <v>253</v>
      </c>
      <c r="E394" s="17" t="s">
        <v>42</v>
      </c>
      <c r="F394" s="17" t="s">
        <v>18</v>
      </c>
      <c r="G394" s="24">
        <v>45361037</v>
      </c>
      <c r="H394" t="str">
        <f t="shared" si="13"/>
        <v>INSERT INTO `parqueadero`.`vehiculo` (`Oid`, `Placa`, `Medio`, `Tipo`, `Marca`, `Color`, `IdConductor`) VALUES ('387','LQT109','AUTOMÓVIL','HÍBRIDO','TOYOTA COROLLA','AZUL','45361037');</v>
      </c>
    </row>
    <row r="395" spans="1:8" ht="14.4" x14ac:dyDescent="0.3">
      <c r="A395" s="5">
        <f t="shared" si="12"/>
        <v>388</v>
      </c>
      <c r="B395" s="6" t="s">
        <v>1855</v>
      </c>
      <c r="C395" s="6" t="s">
        <v>2195</v>
      </c>
      <c r="D395" s="6" t="s">
        <v>17</v>
      </c>
      <c r="E395" s="6" t="s">
        <v>56</v>
      </c>
      <c r="F395" s="6" t="s">
        <v>1856</v>
      </c>
      <c r="G395" s="13">
        <v>80258283</v>
      </c>
      <c r="H395" t="str">
        <f t="shared" si="13"/>
        <v>INSERT INTO `parqueadero`.`vehiculo` (`Oid`, `Placa`, `Medio`, `Tipo`, `Marca`, `Color`, `IdConductor`) VALUES ('388','DFQ65I','MOTOCICLETA','COMBUSTIBLE','HONDA','NEGRO - GRIS','80258283');</v>
      </c>
    </row>
    <row r="396" spans="1:8" ht="14.4" x14ac:dyDescent="0.3">
      <c r="A396" s="5">
        <f t="shared" si="12"/>
        <v>389</v>
      </c>
      <c r="B396" s="17" t="s">
        <v>1860</v>
      </c>
      <c r="C396" s="6" t="s">
        <v>115</v>
      </c>
      <c r="D396" s="17" t="s">
        <v>17</v>
      </c>
      <c r="E396" s="17" t="s">
        <v>58</v>
      </c>
      <c r="F396" s="17" t="s">
        <v>60</v>
      </c>
      <c r="G396" s="24">
        <v>1019038226</v>
      </c>
      <c r="H396" t="str">
        <f t="shared" si="13"/>
        <v>INSERT INTO `parqueadero`.`vehiculo` (`Oid`, `Placa`, `Medio`, `Tipo`, `Marca`, `Color`, `IdConductor`) VALUES ('389','CTV652','AUTOMÓVIL','COMBUSTIBLE','CHEVROLET','GRIS','1019038226');</v>
      </c>
    </row>
    <row r="397" spans="1:8" ht="14.4" x14ac:dyDescent="0.3">
      <c r="A397" s="5">
        <f t="shared" si="12"/>
        <v>390</v>
      </c>
      <c r="B397" s="6" t="s">
        <v>1866</v>
      </c>
      <c r="C397" s="6" t="s">
        <v>115</v>
      </c>
      <c r="D397" s="6" t="s">
        <v>17</v>
      </c>
      <c r="E397" s="6" t="s">
        <v>1019</v>
      </c>
      <c r="F397" s="6" t="s">
        <v>683</v>
      </c>
      <c r="G397" s="13">
        <v>1032443029</v>
      </c>
      <c r="H397" t="str">
        <f t="shared" si="13"/>
        <v>INSERT INTO `parqueadero`.`vehiculo` (`Oid`, `Placa`, `Medio`, `Tipo`, `Marca`, `Color`, `IdConductor`) VALUES ('390','DZW847','AUTOMÓVIL','COMBUSTIBLE','MAZDA 3','GRIS MACHINE','1032443029');</v>
      </c>
    </row>
    <row r="398" spans="1:8" ht="14.4" x14ac:dyDescent="0.3">
      <c r="A398" s="5">
        <f t="shared" si="12"/>
        <v>391</v>
      </c>
      <c r="B398" s="6" t="s">
        <v>1871</v>
      </c>
      <c r="C398" s="6" t="s">
        <v>115</v>
      </c>
      <c r="D398" s="6" t="s">
        <v>17</v>
      </c>
      <c r="E398" s="6" t="s">
        <v>1870</v>
      </c>
      <c r="F398" s="6" t="s">
        <v>60</v>
      </c>
      <c r="G398" s="13">
        <v>1070977964</v>
      </c>
      <c r="H398" t="str">
        <f t="shared" si="13"/>
        <v>INSERT INTO `parqueadero`.`vehiculo` (`Oid`, `Placa`, `Medio`, `Tipo`, `Marca`, `Color`, `IdConductor`) VALUES ('391','GLY670','AUTOMÓVIL','COMBUSTIBLE','SEAT ATECA','GRIS','1070977964');</v>
      </c>
    </row>
    <row r="399" spans="1:8" ht="14.4" x14ac:dyDescent="0.3">
      <c r="A399" s="5">
        <f t="shared" si="12"/>
        <v>392</v>
      </c>
      <c r="B399" s="6" t="s">
        <v>1873</v>
      </c>
      <c r="C399" s="6" t="s">
        <v>2195</v>
      </c>
      <c r="D399" s="6" t="s">
        <v>17</v>
      </c>
      <c r="E399" s="6" t="s">
        <v>1872</v>
      </c>
      <c r="F399" s="6" t="s">
        <v>60</v>
      </c>
      <c r="G399" s="6">
        <v>1072072690</v>
      </c>
      <c r="H399" t="str">
        <f t="shared" si="13"/>
        <v>INSERT INTO `parqueadero`.`vehiculo` (`Oid`, `Placa`, `Medio`, `Tipo`, `Marca`, `Color`, `IdConductor`) VALUES ('392','BWQ90I','MOTOCICLETA','COMBUSTIBLE','SYM ADX 150','GRIS','1072072690');</v>
      </c>
    </row>
    <row r="400" spans="1:8" ht="14.4" x14ac:dyDescent="0.3">
      <c r="A400" s="5">
        <f t="shared" si="12"/>
        <v>393</v>
      </c>
      <c r="B400" s="6" t="s">
        <v>1876</v>
      </c>
      <c r="C400" s="6" t="s">
        <v>115</v>
      </c>
      <c r="D400" s="6" t="s">
        <v>17</v>
      </c>
      <c r="E400" s="6" t="s">
        <v>58</v>
      </c>
      <c r="F400" s="6" t="s">
        <v>60</v>
      </c>
      <c r="G400" s="13">
        <v>79795088</v>
      </c>
      <c r="H400" t="str">
        <f t="shared" si="13"/>
        <v>INSERT INTO `parqueadero`.`vehiculo` (`Oid`, `Placa`, `Medio`, `Tipo`, `Marca`, `Color`, `IdConductor`) VALUES ('393','BPC285','AUTOMÓVIL','COMBUSTIBLE','CHEVROLET','GRIS','79795088');</v>
      </c>
    </row>
    <row r="401" spans="1:8" ht="14.4" x14ac:dyDescent="0.3">
      <c r="A401" s="5">
        <f t="shared" si="12"/>
        <v>394</v>
      </c>
      <c r="B401" s="6" t="s">
        <v>1880</v>
      </c>
      <c r="C401" s="6" t="s">
        <v>115</v>
      </c>
      <c r="D401" s="6" t="s">
        <v>17</v>
      </c>
      <c r="E401" s="6" t="s">
        <v>1339</v>
      </c>
      <c r="F401" s="6" t="s">
        <v>60</v>
      </c>
      <c r="G401" s="13">
        <v>79737327</v>
      </c>
      <c r="H401" t="str">
        <f t="shared" si="13"/>
        <v>INSERT INTO `parqueadero`.`vehiculo` (`Oid`, `Placa`, `Medio`, `Tipo`, `Marca`, `Color`, `IdConductor`) VALUES ('394','HJL465','AUTOMÓVIL','COMBUSTIBLE','FORD FIESTA','GRIS','79737327');</v>
      </c>
    </row>
    <row r="402" spans="1:8" ht="14.4" x14ac:dyDescent="0.3">
      <c r="A402" s="5">
        <f t="shared" si="12"/>
        <v>395</v>
      </c>
      <c r="B402" s="6" t="s">
        <v>1884</v>
      </c>
      <c r="C402" s="6" t="s">
        <v>115</v>
      </c>
      <c r="D402" s="6" t="s">
        <v>253</v>
      </c>
      <c r="E402" s="6" t="s">
        <v>276</v>
      </c>
      <c r="F402" s="6" t="s">
        <v>60</v>
      </c>
      <c r="G402" s="13">
        <v>1020750683</v>
      </c>
      <c r="H402" t="str">
        <f t="shared" si="13"/>
        <v>INSERT INTO `parqueadero`.`vehiculo` (`Oid`, `Placa`, `Medio`, `Tipo`, `Marca`, `Color`, `IdConductor`) VALUES ('395','KWY194','AUTOMÓVIL','HÍBRIDO','SUZUKI','GRIS','1020750683');</v>
      </c>
    </row>
    <row r="403" spans="1:8" ht="14.4" x14ac:dyDescent="0.3">
      <c r="A403" s="5">
        <f t="shared" si="12"/>
        <v>396</v>
      </c>
      <c r="B403" s="6" t="s">
        <v>1892</v>
      </c>
      <c r="C403" s="6" t="s">
        <v>2195</v>
      </c>
      <c r="D403" s="6" t="s">
        <v>17</v>
      </c>
      <c r="E403" s="6" t="s">
        <v>701</v>
      </c>
      <c r="F403" s="6" t="s">
        <v>1893</v>
      </c>
      <c r="G403" s="13">
        <v>1023890368</v>
      </c>
      <c r="H403" t="str">
        <f t="shared" si="13"/>
        <v>INSERT INTO `parqueadero`.`vehiculo` (`Oid`, `Placa`, `Medio`, `Tipo`, `Marca`, `Color`, `IdConductor`) VALUES ('396','CSC07F','MOTOCICLETA','COMBUSTIBLE','YAMAHA','NEGRO - VERDE','1023890368');</v>
      </c>
    </row>
    <row r="404" spans="1:8" ht="14.4" x14ac:dyDescent="0.3">
      <c r="A404" s="5">
        <f t="shared" si="12"/>
        <v>397</v>
      </c>
      <c r="B404" s="6" t="s">
        <v>1901</v>
      </c>
      <c r="C404" s="6" t="s">
        <v>143</v>
      </c>
      <c r="D404" s="6" t="s">
        <v>17</v>
      </c>
      <c r="E404" s="6" t="s">
        <v>1200</v>
      </c>
      <c r="F404" s="6" t="s">
        <v>52</v>
      </c>
      <c r="G404" s="13">
        <v>52961559</v>
      </c>
      <c r="H404" t="str">
        <f t="shared" si="13"/>
        <v>INSERT INTO `parqueadero`.`vehiculo` (`Oid`, `Placa`, `Medio`, `Tipo`, `Marca`, `Color`, `IdConductor`) VALUES ('397','JMN893','CAMIONETA','COMBUSTIBLE','CHEVROLET CAPTIVA','PLATA','52961559');</v>
      </c>
    </row>
    <row r="405" spans="1:8" ht="14.4" x14ac:dyDescent="0.3">
      <c r="A405" s="5">
        <f t="shared" si="12"/>
        <v>398</v>
      </c>
      <c r="B405" s="6" t="s">
        <v>1906</v>
      </c>
      <c r="C405" s="6" t="s">
        <v>143</v>
      </c>
      <c r="D405" s="6" t="s">
        <v>17</v>
      </c>
      <c r="E405" s="6" t="s">
        <v>75</v>
      </c>
      <c r="F405" s="6" t="s">
        <v>52</v>
      </c>
      <c r="G405" s="13">
        <v>1000522089</v>
      </c>
      <c r="H405" t="str">
        <f t="shared" si="13"/>
        <v>INSERT INTO `parqueadero`.`vehiculo` (`Oid`, `Placa`, `Medio`, `Tipo`, `Marca`, `Color`, `IdConductor`) VALUES ('398','IVZ727','CAMIONETA','COMBUSTIBLE','MAZDA','PLATA','1000522089');</v>
      </c>
    </row>
    <row r="406" spans="1:8" ht="14.4" x14ac:dyDescent="0.3">
      <c r="A406" s="5">
        <f t="shared" si="12"/>
        <v>399</v>
      </c>
      <c r="B406" s="6" t="s">
        <v>1907</v>
      </c>
      <c r="C406" s="6" t="s">
        <v>143</v>
      </c>
      <c r="D406" s="6" t="s">
        <v>17</v>
      </c>
      <c r="E406" s="6" t="s">
        <v>1127</v>
      </c>
      <c r="F406" s="6" t="s">
        <v>60</v>
      </c>
      <c r="G406" s="6">
        <v>1030579980</v>
      </c>
      <c r="H406" t="str">
        <f t="shared" si="13"/>
        <v>INSERT INTO `parqueadero`.`vehiculo` (`Oid`, `Placa`, `Medio`, `Tipo`, `Marca`, `Color`, `IdConductor`) VALUES ('399','DZX196','CAMIONETA','COMBUSTIBLE','AUDI Q3','GRIS','1030579980');</v>
      </c>
    </row>
    <row r="407" spans="1:8" ht="14.4" x14ac:dyDescent="0.3">
      <c r="A407" s="5">
        <f t="shared" si="12"/>
        <v>400</v>
      </c>
      <c r="B407" s="6" t="s">
        <v>1911</v>
      </c>
      <c r="C407" s="6" t="s">
        <v>143</v>
      </c>
      <c r="D407" s="6" t="s">
        <v>253</v>
      </c>
      <c r="E407" s="6" t="s">
        <v>64</v>
      </c>
      <c r="F407" s="6" t="s">
        <v>60</v>
      </c>
      <c r="G407" s="6">
        <v>1016008161</v>
      </c>
      <c r="H407" t="str">
        <f t="shared" si="13"/>
        <v>INSERT INTO `parqueadero`.`vehiculo` (`Oid`, `Placa`, `Medio`, `Tipo`, `Marca`, `Color`, `IdConductor`) VALUES ('400','KWK887','CAMIONETA','HÍBRIDO','TOYOTA','GRIS','1016008161');</v>
      </c>
    </row>
    <row r="408" spans="1:8" ht="14.4" x14ac:dyDescent="0.3">
      <c r="A408" s="5">
        <f t="shared" si="12"/>
        <v>401</v>
      </c>
      <c r="B408" s="6" t="s">
        <v>1915</v>
      </c>
      <c r="C408" s="6" t="s">
        <v>115</v>
      </c>
      <c r="D408" s="6" t="s">
        <v>17</v>
      </c>
      <c r="E408" s="6" t="s">
        <v>75</v>
      </c>
      <c r="F408" s="6" t="s">
        <v>60</v>
      </c>
      <c r="G408" s="6">
        <v>1022329322</v>
      </c>
      <c r="H408" t="str">
        <f t="shared" si="13"/>
        <v>INSERT INTO `parqueadero`.`vehiculo` (`Oid`, `Placa`, `Medio`, `Tipo`, `Marca`, `Color`, `IdConductor`) VALUES ('401','LWP569','AUTOMÓVIL','COMBUSTIBLE','MAZDA','GRIS','1022329322');</v>
      </c>
    </row>
    <row r="409" spans="1:8" ht="14.4" x14ac:dyDescent="0.3">
      <c r="A409" s="5">
        <f t="shared" si="12"/>
        <v>402</v>
      </c>
      <c r="B409" s="6" t="s">
        <v>1918</v>
      </c>
      <c r="C409" s="6" t="s">
        <v>2195</v>
      </c>
      <c r="D409" s="6" t="s">
        <v>17</v>
      </c>
      <c r="E409" s="6" t="s">
        <v>276</v>
      </c>
      <c r="F409" s="6" t="s">
        <v>316</v>
      </c>
      <c r="G409" s="6">
        <v>1233512206</v>
      </c>
      <c r="H409" t="str">
        <f t="shared" si="13"/>
        <v>INSERT INTO `parqueadero`.`vehiculo` (`Oid`, `Placa`, `Medio`, `Tipo`, `Marca`, `Color`, `IdConductor`) VALUES ('402','EQK16G','MOTOCICLETA','COMBUSTIBLE','SUZUKI','NEGRO MATE','1233512206');</v>
      </c>
    </row>
    <row r="410" spans="1:8" ht="14.4" x14ac:dyDescent="0.3">
      <c r="A410" s="5">
        <f t="shared" si="12"/>
        <v>403</v>
      </c>
      <c r="B410" s="17" t="s">
        <v>1922</v>
      </c>
      <c r="C410" s="6" t="s">
        <v>143</v>
      </c>
      <c r="D410" s="6" t="s">
        <v>253</v>
      </c>
      <c r="E410" s="17" t="s">
        <v>1921</v>
      </c>
      <c r="F410" s="17" t="s">
        <v>1923</v>
      </c>
      <c r="G410" s="17">
        <v>80061648</v>
      </c>
      <c r="H410" t="str">
        <f t="shared" si="13"/>
        <v>INSERT INTO `parqueadero`.`vehiculo` (`Oid`, `Placa`, `Medio`, `Tipo`, `Marca`, `Color`, `IdConductor`) VALUES ('403','GPZ639','CAMIONETA','HÍBRIDO','FORD TERRITORY','BLANCO PLATINO','80061648');</v>
      </c>
    </row>
    <row r="411" spans="1:8" ht="14.4" x14ac:dyDescent="0.3">
      <c r="A411" s="5">
        <f t="shared" si="12"/>
        <v>404</v>
      </c>
      <c r="B411" s="6" t="s">
        <v>1925</v>
      </c>
      <c r="C411" s="6" t="s">
        <v>143</v>
      </c>
      <c r="D411" s="6" t="s">
        <v>253</v>
      </c>
      <c r="E411" s="6" t="s">
        <v>1924</v>
      </c>
      <c r="F411" s="6" t="s">
        <v>60</v>
      </c>
      <c r="G411" s="6">
        <v>1001090013</v>
      </c>
      <c r="H411" t="str">
        <f t="shared" si="13"/>
        <v>INSERT INTO `parqueadero`.`vehiculo` (`Oid`, `Placa`, `Medio`, `Tipo`, `Marca`, `Color`, `IdConductor`) VALUES ('404','QPZ208','CAMIONETA','HÍBRIDO','GM','GRIS','1001090013');</v>
      </c>
    </row>
    <row r="412" spans="1:8" ht="14.4" x14ac:dyDescent="0.3">
      <c r="A412" s="5">
        <f t="shared" si="12"/>
        <v>405</v>
      </c>
      <c r="B412" s="6" t="s">
        <v>1929</v>
      </c>
      <c r="C412" s="6" t="s">
        <v>143</v>
      </c>
      <c r="D412" s="6" t="s">
        <v>253</v>
      </c>
      <c r="E412" s="6" t="s">
        <v>75</v>
      </c>
      <c r="F412" s="6" t="s">
        <v>60</v>
      </c>
      <c r="G412" s="6">
        <v>1121886960</v>
      </c>
      <c r="H412" t="str">
        <f t="shared" si="13"/>
        <v>INSERT INTO `parqueadero`.`vehiculo` (`Oid`, `Placa`, `Medio`, `Tipo`, `Marca`, `Color`, `IdConductor`) VALUES ('405','NYX244','CAMIONETA','HÍBRIDO','MAZDA','GRIS','1121886960');</v>
      </c>
    </row>
    <row r="413" spans="1:8" ht="14.4" x14ac:dyDescent="0.3">
      <c r="A413" s="5">
        <f t="shared" si="12"/>
        <v>406</v>
      </c>
      <c r="B413" s="6" t="s">
        <v>1933</v>
      </c>
      <c r="C413" s="6" t="s">
        <v>115</v>
      </c>
      <c r="D413" s="6" t="s">
        <v>17</v>
      </c>
      <c r="E413" s="6" t="s">
        <v>1311</v>
      </c>
      <c r="F413" s="6" t="s">
        <v>60</v>
      </c>
      <c r="G413" s="6">
        <v>1026264243</v>
      </c>
      <c r="H413" t="str">
        <f t="shared" si="13"/>
        <v>INSERT INTO `parqueadero`.`vehiculo` (`Oid`, `Placa`, `Medio`, `Tipo`, `Marca`, `Color`, `IdConductor`) VALUES ('406','IIX306','AUTOMÓVIL','COMBUSTIBLE','NISSAN MARCH','GRIS','1026264243');</v>
      </c>
    </row>
    <row r="414" spans="1:8" ht="14.4" x14ac:dyDescent="0.3">
      <c r="A414" s="5">
        <f t="shared" si="12"/>
        <v>407</v>
      </c>
      <c r="B414" s="6" t="s">
        <v>1937</v>
      </c>
      <c r="C414" s="6" t="s">
        <v>2195</v>
      </c>
      <c r="D414" s="6" t="s">
        <v>17</v>
      </c>
      <c r="E414" s="6" t="s">
        <v>701</v>
      </c>
      <c r="F414" s="6" t="s">
        <v>1938</v>
      </c>
      <c r="G414" s="6">
        <v>51836043</v>
      </c>
      <c r="H414" t="str">
        <f t="shared" si="13"/>
        <v>INSERT INTO `parqueadero`.`vehiculo` (`Oid`, `Placa`, `Medio`, `Tipo`, `Marca`, `Color`, `IdConductor`) VALUES ('407','JWP87C','MOTOCICLETA','COMBUSTIBLE','YAMAHA','NEGRO - ROJO','51836043');</v>
      </c>
    </row>
    <row r="415" spans="1:8" ht="14.4" x14ac:dyDescent="0.3">
      <c r="A415" s="5">
        <f t="shared" si="12"/>
        <v>408</v>
      </c>
      <c r="B415" s="6" t="s">
        <v>1945</v>
      </c>
      <c r="C415" s="6" t="s">
        <v>115</v>
      </c>
      <c r="D415" s="6" t="s">
        <v>129</v>
      </c>
      <c r="E415" s="6" t="s">
        <v>22</v>
      </c>
      <c r="F415" s="6" t="s">
        <v>18</v>
      </c>
      <c r="G415" s="6">
        <v>1106892760</v>
      </c>
      <c r="H415" t="str">
        <f t="shared" si="13"/>
        <v>INSERT INTO `parqueadero`.`vehiculo` (`Oid`, `Placa`, `Medio`, `Tipo`, `Marca`, `Color`, `IdConductor`) VALUES ('408','QQL095','AUTOMÓVIL','ELÉCTRICO','BYD','AZUL','1106892760');</v>
      </c>
    </row>
    <row r="416" spans="1:8" ht="14.4" x14ac:dyDescent="0.3">
      <c r="A416" s="5">
        <f t="shared" si="12"/>
        <v>409</v>
      </c>
      <c r="B416" s="6" t="s">
        <v>1949</v>
      </c>
      <c r="C416" s="6" t="s">
        <v>115</v>
      </c>
      <c r="D416" s="6" t="s">
        <v>129</v>
      </c>
      <c r="E416" s="6" t="s">
        <v>1948</v>
      </c>
      <c r="F416" s="6" t="s">
        <v>60</v>
      </c>
      <c r="G416" s="6">
        <v>1032444607</v>
      </c>
      <c r="H416" t="str">
        <f t="shared" si="13"/>
        <v>INSERT INTO `parqueadero`.`vehiculo` (`Oid`, `Placa`, `Medio`, `Tipo`, `Marca`, `Color`, `IdConductor`) VALUES ('409','QPU078','AUTOMÓVIL','ELÉCTRICO','TESLA','GRIS','1032444607');</v>
      </c>
    </row>
    <row r="417" spans="1:8" ht="14.4" x14ac:dyDescent="0.3">
      <c r="A417" s="5">
        <f t="shared" si="12"/>
        <v>410</v>
      </c>
      <c r="B417" s="6" t="s">
        <v>1968</v>
      </c>
      <c r="C417" s="6" t="s">
        <v>115</v>
      </c>
      <c r="D417" s="6" t="s">
        <v>17</v>
      </c>
      <c r="E417" s="6" t="s">
        <v>501</v>
      </c>
      <c r="F417" s="6" t="s">
        <v>60</v>
      </c>
      <c r="G417" s="6">
        <v>1026261037</v>
      </c>
      <c r="H417" t="str">
        <f t="shared" si="13"/>
        <v>INSERT INTO `parqueadero`.`vehiculo` (`Oid`, `Placa`, `Medio`, `Tipo`, `Marca`, `Color`, `IdConductor`) VALUES ('410','EDX620','AUTOMÓVIL','COMBUSTIBLE','NISSAN','GRIS','1026261037');</v>
      </c>
    </row>
    <row r="418" spans="1:8" ht="14.4" x14ac:dyDescent="0.3">
      <c r="A418" s="5">
        <f t="shared" si="12"/>
        <v>411</v>
      </c>
      <c r="B418" s="17" t="s">
        <v>1973</v>
      </c>
      <c r="C418" s="6" t="s">
        <v>143</v>
      </c>
      <c r="D418" s="17" t="s">
        <v>17</v>
      </c>
      <c r="E418" s="6" t="s">
        <v>202</v>
      </c>
      <c r="F418" s="17" t="s">
        <v>18</v>
      </c>
      <c r="G418" s="17">
        <v>80019944</v>
      </c>
      <c r="H418" t="str">
        <f t="shared" si="13"/>
        <v>INSERT INTO `parqueadero`.`vehiculo` (`Oid`, `Placa`, `Medio`, `Tipo`, `Marca`, `Color`, `IdConductor`) VALUES ('411','KZY449','CAMIONETA','COMBUSTIBLE','VOLKSWAGEN','AZUL','80019944');</v>
      </c>
    </row>
    <row r="419" spans="1:8" ht="14.4" x14ac:dyDescent="0.3">
      <c r="A419" s="5">
        <f t="shared" si="12"/>
        <v>412</v>
      </c>
      <c r="B419" s="17" t="s">
        <v>1978</v>
      </c>
      <c r="C419" s="6" t="s">
        <v>143</v>
      </c>
      <c r="D419" s="6" t="s">
        <v>253</v>
      </c>
      <c r="E419" s="17" t="s">
        <v>2289</v>
      </c>
      <c r="F419" s="17" t="s">
        <v>18</v>
      </c>
      <c r="G419" s="17">
        <v>1032419051</v>
      </c>
      <c r="H419" t="str">
        <f t="shared" si="13"/>
        <v>INSERT INTO `parqueadero`.`vehiculo` (`Oid`, `Placa`, `Medio`, `Tipo`, `Marca`, `Color`, `IdConductor`) VALUES ('412','PFW145','CAMIONETA','HÍBRIDO','SUZUKI FRONX','AZUL','1032419051');</v>
      </c>
    </row>
    <row r="420" spans="1:8" ht="14.4" x14ac:dyDescent="0.3">
      <c r="A420" s="5">
        <f t="shared" si="12"/>
        <v>413</v>
      </c>
      <c r="B420" s="6" t="s">
        <v>1981</v>
      </c>
      <c r="C420" s="6" t="s">
        <v>143</v>
      </c>
      <c r="D420" s="6" t="s">
        <v>253</v>
      </c>
      <c r="E420" s="6" t="s">
        <v>1921</v>
      </c>
      <c r="F420" s="6" t="s">
        <v>60</v>
      </c>
      <c r="G420" s="6">
        <v>29120343</v>
      </c>
      <c r="H420" t="str">
        <f t="shared" si="13"/>
        <v>INSERT INTO `parqueadero`.`vehiculo` (`Oid`, `Placa`, `Medio`, `Tipo`, `Marca`, `Color`, `IdConductor`) VALUES ('413','QQK504','CAMIONETA','HÍBRIDO','FORD TERRITORY','GRIS','29120343');</v>
      </c>
    </row>
    <row r="421" spans="1:8" ht="14.4" x14ac:dyDescent="0.3">
      <c r="A421" s="5">
        <f t="shared" si="12"/>
        <v>414</v>
      </c>
      <c r="B421" s="6" t="s">
        <v>1985</v>
      </c>
      <c r="C421" s="6" t="s">
        <v>143</v>
      </c>
      <c r="D421" s="6" t="s">
        <v>17</v>
      </c>
      <c r="E421" s="6" t="s">
        <v>501</v>
      </c>
      <c r="F421" s="6" t="s">
        <v>259</v>
      </c>
      <c r="G421" s="6">
        <v>79786845</v>
      </c>
      <c r="H421" t="str">
        <f t="shared" si="13"/>
        <v>INSERT INTO `parqueadero`.`vehiculo` (`Oid`, `Placa`, `Medio`, `Tipo`, `Marca`, `Color`, `IdConductor`) VALUES ('414','RHO770','CAMIONETA','COMBUSTIBLE','NISSAN','PLATEADO','79786845');</v>
      </c>
    </row>
    <row r="422" spans="1:8" ht="14.4" x14ac:dyDescent="0.3">
      <c r="A422" s="5">
        <f t="shared" si="12"/>
        <v>415</v>
      </c>
      <c r="B422" s="6" t="s">
        <v>1986</v>
      </c>
      <c r="C422" s="6" t="s">
        <v>2195</v>
      </c>
      <c r="D422" s="6" t="s">
        <v>17</v>
      </c>
      <c r="E422" s="6" t="s">
        <v>132</v>
      </c>
      <c r="F422" s="6" t="s">
        <v>157</v>
      </c>
      <c r="G422" s="6">
        <v>79786845</v>
      </c>
      <c r="H422" t="str">
        <f t="shared" si="13"/>
        <v>INSERT INTO `parqueadero`.`vehiculo` (`Oid`, `Placa`, `Medio`, `Tipo`, `Marca`, `Color`, `IdConductor`) VALUES ('415','LEN12F','MOTOCICLETA','COMBUSTIBLE','BMW','NEGRA','79786845');</v>
      </c>
    </row>
    <row r="423" spans="1:8" ht="14.4" x14ac:dyDescent="0.3">
      <c r="A423" s="5">
        <f t="shared" si="12"/>
        <v>416</v>
      </c>
      <c r="B423" s="6" t="s">
        <v>1989</v>
      </c>
      <c r="C423" s="6" t="s">
        <v>115</v>
      </c>
      <c r="D423" s="6" t="s">
        <v>17</v>
      </c>
      <c r="E423" s="6" t="s">
        <v>439</v>
      </c>
      <c r="F423" s="6" t="s">
        <v>18</v>
      </c>
      <c r="G423" s="6">
        <v>52883834</v>
      </c>
      <c r="H423" t="str">
        <f t="shared" si="13"/>
        <v>INSERT INTO `parqueadero`.`vehiculo` (`Oid`, `Placa`, `Medio`, `Tipo`, `Marca`, `Color`, `IdConductor`) VALUES ('416','FZM862','AUTOMÓVIL','COMBUSTIBLE','NISSAN KICKS','AZUL','52883834');</v>
      </c>
    </row>
    <row r="424" spans="1:8" ht="14.4" x14ac:dyDescent="0.3">
      <c r="A424" s="5">
        <f t="shared" si="12"/>
        <v>417</v>
      </c>
      <c r="B424" s="6" t="s">
        <v>1993</v>
      </c>
      <c r="C424" s="6" t="s">
        <v>115</v>
      </c>
      <c r="D424" s="6" t="s">
        <v>17</v>
      </c>
      <c r="E424" s="6" t="s">
        <v>138</v>
      </c>
      <c r="F424" s="6" t="s">
        <v>60</v>
      </c>
      <c r="G424" s="6">
        <v>84102209</v>
      </c>
      <c r="H424" t="str">
        <f t="shared" si="13"/>
        <v>INSERT INTO `parqueadero`.`vehiculo` (`Oid`, `Placa`, `Medio`, `Tipo`, `Marca`, `Color`, `IdConductor`) VALUES ('417','ELU837','AUTOMÓVIL','COMBUSTIBLE','RENAULT SANDERO','GRIS','84102209');</v>
      </c>
    </row>
    <row r="425" spans="1:8" ht="14.4" x14ac:dyDescent="0.3">
      <c r="A425" s="5">
        <f t="shared" si="12"/>
        <v>418</v>
      </c>
      <c r="B425" s="6" t="s">
        <v>1996</v>
      </c>
      <c r="C425" s="6" t="s">
        <v>115</v>
      </c>
      <c r="D425" s="6" t="s">
        <v>17</v>
      </c>
      <c r="E425" s="6" t="s">
        <v>501</v>
      </c>
      <c r="F425" s="6" t="s">
        <v>60</v>
      </c>
      <c r="G425" s="6">
        <v>1103095276</v>
      </c>
      <c r="H425" t="str">
        <f t="shared" si="13"/>
        <v>INSERT INTO `parqueadero`.`vehiculo` (`Oid`, `Placa`, `Medio`, `Tipo`, `Marca`, `Color`, `IdConductor`) VALUES ('418','MTY448','AUTOMÓVIL','COMBUSTIBLE','NISSAN','GRIS','1103095276');</v>
      </c>
    </row>
    <row r="426" spans="1:8" ht="14.4" x14ac:dyDescent="0.3">
      <c r="A426" s="5">
        <f t="shared" si="12"/>
        <v>419</v>
      </c>
      <c r="B426" s="6" t="s">
        <v>1997</v>
      </c>
      <c r="C426" s="6" t="s">
        <v>2195</v>
      </c>
      <c r="D426" s="6" t="s">
        <v>17</v>
      </c>
      <c r="E426" s="6" t="s">
        <v>15</v>
      </c>
      <c r="F426" s="6" t="s">
        <v>157</v>
      </c>
      <c r="G426" s="6">
        <v>1103095276</v>
      </c>
      <c r="H426" t="str">
        <f t="shared" si="13"/>
        <v>INSERT INTO `parqueadero`.`vehiculo` (`Oid`, `Placa`, `Medio`, `Tipo`, `Marca`, `Color`, `IdConductor`) VALUES ('419','NQL91G','MOTOCICLETA','COMBUSTIBLE','HONDA NAVI','NEGRA','1103095276');</v>
      </c>
    </row>
    <row r="427" spans="1:8" ht="14.4" x14ac:dyDescent="0.3">
      <c r="A427" s="5">
        <f t="shared" si="12"/>
        <v>420</v>
      </c>
      <c r="B427" s="6" t="s">
        <v>2003</v>
      </c>
      <c r="C427" s="6" t="s">
        <v>2195</v>
      </c>
      <c r="D427" s="6" t="s">
        <v>17</v>
      </c>
      <c r="E427" s="6" t="s">
        <v>276</v>
      </c>
      <c r="F427" s="6" t="s">
        <v>2004</v>
      </c>
      <c r="G427" s="6">
        <v>80755333</v>
      </c>
      <c r="H427" t="str">
        <f t="shared" si="13"/>
        <v>INSERT INTO `parqueadero`.`vehiculo` (`Oid`, `Placa`, `Medio`, `Tipo`, `Marca`, `Color`, `IdConductor`) VALUES ('420','HIM091','MOTOCICLETA','COMBUSTIBLE','SUZUKI','VINOTINTO - BLANCO','80755333');</v>
      </c>
    </row>
    <row r="428" spans="1:8" ht="14.4" x14ac:dyDescent="0.3">
      <c r="A428" s="5">
        <f t="shared" si="12"/>
        <v>421</v>
      </c>
      <c r="B428" s="6" t="s">
        <v>2007</v>
      </c>
      <c r="C428" s="6" t="s">
        <v>115</v>
      </c>
      <c r="D428" s="6" t="s">
        <v>17</v>
      </c>
      <c r="E428" s="6" t="s">
        <v>304</v>
      </c>
      <c r="F428" s="6" t="s">
        <v>60</v>
      </c>
      <c r="G428" s="6">
        <v>80504271</v>
      </c>
      <c r="H428" t="str">
        <f t="shared" si="13"/>
        <v>INSERT INTO `parqueadero`.`vehiculo` (`Oid`, `Placa`, `Medio`, `Tipo`, `Marca`, `Color`, `IdConductor`) VALUES ('421','DWK452','AUTOMÓVIL','COMBUSTIBLE','RENAULT','GRIS','80504271');</v>
      </c>
    </row>
    <row r="429" spans="1:8" ht="14.4" x14ac:dyDescent="0.3">
      <c r="A429" s="5">
        <f t="shared" si="12"/>
        <v>422</v>
      </c>
      <c r="B429" s="17" t="s">
        <v>2012</v>
      </c>
      <c r="C429" s="6" t="s">
        <v>115</v>
      </c>
      <c r="D429" s="17" t="s">
        <v>17</v>
      </c>
      <c r="E429" s="17" t="s">
        <v>75</v>
      </c>
      <c r="F429" s="17" t="s">
        <v>2013</v>
      </c>
      <c r="G429" s="17">
        <v>91110560</v>
      </c>
      <c r="H429" t="str">
        <f t="shared" si="13"/>
        <v>INSERT INTO `parqueadero`.`vehiculo` (`Oid`, `Placa`, `Medio`, `Tipo`, `Marca`, `Color`, `IdConductor`) VALUES ('422','BOR380','AUTOMÓVIL','COMBUSTIBLE','MAZDA','BLANCO - NEGRO','91110560');</v>
      </c>
    </row>
    <row r="430" spans="1:8" ht="14.4" x14ac:dyDescent="0.3">
      <c r="A430" s="5">
        <f t="shared" si="12"/>
        <v>423</v>
      </c>
      <c r="B430" s="6" t="s">
        <v>2016</v>
      </c>
      <c r="C430" s="6" t="s">
        <v>115</v>
      </c>
      <c r="D430" s="6" t="s">
        <v>253</v>
      </c>
      <c r="E430" s="6" t="s">
        <v>2015</v>
      </c>
      <c r="F430" s="6" t="s">
        <v>60</v>
      </c>
      <c r="G430" s="6">
        <v>1023946531</v>
      </c>
      <c r="H430" t="str">
        <f t="shared" si="13"/>
        <v>INSERT INTO `parqueadero`.`vehiculo` (`Oid`, `Placa`, `Medio`, `Tipo`, `Marca`, `Color`, `IdConductor`) VALUES ('423','JVZ118','AUTOMÓVIL','HÍBRIDO','MAZDA 3 TOURING','GRIS','1023946531');</v>
      </c>
    </row>
    <row r="431" spans="1:8" ht="14.4" x14ac:dyDescent="0.3">
      <c r="A431" s="5">
        <f t="shared" si="12"/>
        <v>424</v>
      </c>
      <c r="B431" s="17" t="s">
        <v>2018</v>
      </c>
      <c r="C431" s="6" t="s">
        <v>143</v>
      </c>
      <c r="D431" s="6" t="s">
        <v>129</v>
      </c>
      <c r="E431" s="17" t="s">
        <v>2017</v>
      </c>
      <c r="F431" s="17" t="s">
        <v>52</v>
      </c>
      <c r="G431" s="17">
        <v>1020716220</v>
      </c>
      <c r="H431" t="str">
        <f t="shared" si="13"/>
        <v>INSERT INTO `parqueadero`.`vehiculo` (`Oid`, `Placa`, `Medio`, `Tipo`, `Marca`, `Color`, `IdConductor`) VALUES ('424','QQU671','CAMIONETA','ELÉCTRICO','GEELY','PLATA','1020716220');</v>
      </c>
    </row>
    <row r="432" spans="1:8" ht="14.4" x14ac:dyDescent="0.3">
      <c r="A432" s="5">
        <f t="shared" si="12"/>
        <v>425</v>
      </c>
      <c r="B432" s="6" t="s">
        <v>2021</v>
      </c>
      <c r="C432" s="6" t="s">
        <v>115</v>
      </c>
      <c r="D432" s="6" t="s">
        <v>17</v>
      </c>
      <c r="E432" s="6" t="s">
        <v>116</v>
      </c>
      <c r="F432" s="6" t="s">
        <v>60</v>
      </c>
      <c r="G432" s="6">
        <v>79756851</v>
      </c>
      <c r="H432" t="str">
        <f t="shared" si="13"/>
        <v>INSERT INTO `parqueadero`.`vehiculo` (`Oid`, `Placa`, `Medio`, `Tipo`, `Marca`, `Color`, `IdConductor`) VALUES ('425','REK534','AUTOMÓVIL','COMBUSTIBLE','HYUNDAI','GRIS','79756851');</v>
      </c>
    </row>
    <row r="433" spans="1:8" ht="14.4" x14ac:dyDescent="0.3">
      <c r="A433" s="5">
        <f t="shared" si="12"/>
        <v>426</v>
      </c>
      <c r="B433" s="6" t="s">
        <v>2023</v>
      </c>
      <c r="C433" s="6" t="s">
        <v>115</v>
      </c>
      <c r="D433" s="6" t="s">
        <v>129</v>
      </c>
      <c r="E433" s="6" t="s">
        <v>2022</v>
      </c>
      <c r="F433" s="6" t="s">
        <v>24</v>
      </c>
      <c r="G433" s="6">
        <v>1012383494</v>
      </c>
      <c r="H433" t="str">
        <f t="shared" si="13"/>
        <v>INSERT INTO `parqueadero`.`vehiculo` (`Oid`, `Placa`, `Medio`, `Tipo`, `Marca`, `Color`, `IdConductor`) VALUES ('426','QQS652','AUTOMÓVIL','ELÉCTRICO','MG S5','NEGRO','1012383494');</v>
      </c>
    </row>
    <row r="434" spans="1:8" ht="14.4" x14ac:dyDescent="0.3">
      <c r="A434" s="5">
        <f t="shared" si="12"/>
        <v>427</v>
      </c>
      <c r="B434" s="6" t="s">
        <v>2027</v>
      </c>
      <c r="C434" s="6" t="s">
        <v>115</v>
      </c>
      <c r="D434" s="6" t="s">
        <v>129</v>
      </c>
      <c r="E434" s="6" t="s">
        <v>2017</v>
      </c>
      <c r="F434" s="6" t="s">
        <v>52</v>
      </c>
      <c r="G434" s="6">
        <v>13741047</v>
      </c>
      <c r="H434" t="str">
        <f t="shared" si="13"/>
        <v>INSERT INTO `parqueadero`.`vehiculo` (`Oid`, `Placa`, `Medio`, `Tipo`, `Marca`, `Color`, `IdConductor`) VALUES ('427','QQW391','AUTOMÓVIL','ELÉCTRICO','GEELY','PLATA','13741047');</v>
      </c>
    </row>
    <row r="435" spans="1:8" ht="14.4" x14ac:dyDescent="0.3">
      <c r="A435" s="5">
        <f t="shared" si="12"/>
        <v>428</v>
      </c>
      <c r="B435" s="6" t="s">
        <v>2030</v>
      </c>
      <c r="C435" s="6" t="s">
        <v>2195</v>
      </c>
      <c r="D435" s="6" t="s">
        <v>17</v>
      </c>
      <c r="E435" s="6" t="s">
        <v>2029</v>
      </c>
      <c r="F435" s="6" t="s">
        <v>2031</v>
      </c>
      <c r="G435" s="6">
        <v>79979024</v>
      </c>
      <c r="H435" t="str">
        <f t="shared" si="13"/>
        <v>INSERT INTO `parqueadero`.`vehiculo` (`Oid`, `Placa`, `Medio`, `Tipo`, `Marca`, `Color`, `IdConductor`) VALUES ('428','RSQ67H','MOTOCICLETA','COMBUSTIBLE','HONDA XBLADE 160','NEGRO - NARANJA','79979024');</v>
      </c>
    </row>
    <row r="436" spans="1:8" ht="14.4" x14ac:dyDescent="0.3">
      <c r="A436" s="5">
        <f t="shared" si="12"/>
        <v>429</v>
      </c>
      <c r="B436" s="6" t="s">
        <v>2033</v>
      </c>
      <c r="C436" s="6" t="s">
        <v>2195</v>
      </c>
      <c r="D436" s="6" t="s">
        <v>17</v>
      </c>
      <c r="E436" s="6" t="s">
        <v>175</v>
      </c>
      <c r="F436" s="6" t="s">
        <v>66</v>
      </c>
      <c r="G436" s="6">
        <v>1030615542</v>
      </c>
      <c r="H436" t="str">
        <f t="shared" si="13"/>
        <v>INSERT INTO `parqueadero`.`vehiculo` (`Oid`, `Placa`, `Medio`, `Tipo`, `Marca`, `Color`, `IdConductor`) VALUES ('429','GXY89I','MOTOCICLETA','COMBUSTIBLE','AKT','BLANCO','1030615542');</v>
      </c>
    </row>
    <row r="437" spans="1:8" ht="14.4" x14ac:dyDescent="0.3">
      <c r="A437" s="5">
        <f t="shared" si="12"/>
        <v>430</v>
      </c>
      <c r="B437" s="17" t="s">
        <v>2034</v>
      </c>
      <c r="C437" s="6" t="s">
        <v>115</v>
      </c>
      <c r="D437" s="6" t="s">
        <v>129</v>
      </c>
      <c r="E437" s="17" t="s">
        <v>1948</v>
      </c>
      <c r="F437" s="17" t="s">
        <v>18</v>
      </c>
      <c r="G437" s="24">
        <v>45361037</v>
      </c>
      <c r="H437" t="str">
        <f t="shared" si="13"/>
        <v>INSERT INTO `parqueadero`.`vehiculo` (`Oid`, `Placa`, `Medio`, `Tipo`, `Marca`, `Color`, `IdConductor`) VALUES ('430','PRP903','AUTOMÓVIL','ELÉCTRICO','TESLA','AZUL','45361037');</v>
      </c>
    </row>
    <row r="438" spans="1:8" ht="14.4" x14ac:dyDescent="0.3">
      <c r="A438" s="5">
        <f t="shared" si="12"/>
        <v>431</v>
      </c>
      <c r="B438" s="6" t="s">
        <v>2035</v>
      </c>
      <c r="C438" s="6" t="s">
        <v>115</v>
      </c>
      <c r="D438" s="6" t="s">
        <v>17</v>
      </c>
      <c r="E438" s="6" t="s">
        <v>501</v>
      </c>
      <c r="F438" s="6" t="s">
        <v>18</v>
      </c>
      <c r="G438" s="6">
        <v>1026261037</v>
      </c>
      <c r="H438" t="str">
        <f t="shared" si="13"/>
        <v>INSERT INTO `parqueadero`.`vehiculo` (`Oid`, `Placa`, `Medio`, `Tipo`, `Marca`, `Color`, `IdConductor`) VALUES ('431','QQX340','AUTOMÓVIL','COMBUSTIBLE','NISSAN','AZUL','1026261037');</v>
      </c>
    </row>
    <row r="439" spans="1:8" ht="14.4" x14ac:dyDescent="0.3">
      <c r="A439" s="5">
        <f t="shared" si="12"/>
        <v>432</v>
      </c>
      <c r="B439" s="6" t="s">
        <v>2039</v>
      </c>
      <c r="C439" s="6" t="s">
        <v>115</v>
      </c>
      <c r="D439" s="6" t="s">
        <v>129</v>
      </c>
      <c r="E439" s="6" t="s">
        <v>22</v>
      </c>
      <c r="F439" s="6" t="s">
        <v>66</v>
      </c>
      <c r="G439" s="6">
        <v>79737240</v>
      </c>
      <c r="H439" t="str">
        <f t="shared" si="13"/>
        <v>INSERT INTO `parqueadero`.`vehiculo` (`Oid`, `Placa`, `Medio`, `Tipo`, `Marca`, `Color`, `IdConductor`) VALUES ('432','PXW080','AUTOMÓVIL','ELÉCTRICO','BYD','BLANCO','79737240');</v>
      </c>
    </row>
    <row r="440" spans="1:8" ht="14.4" x14ac:dyDescent="0.3">
      <c r="A440" s="5">
        <f t="shared" si="12"/>
        <v>433</v>
      </c>
      <c r="B440" s="6" t="s">
        <v>2044</v>
      </c>
      <c r="C440" s="6" t="s">
        <v>2195</v>
      </c>
      <c r="D440" s="6" t="s">
        <v>17</v>
      </c>
      <c r="E440" s="6" t="s">
        <v>2043</v>
      </c>
      <c r="F440" s="6" t="s">
        <v>157</v>
      </c>
      <c r="G440" s="6">
        <v>1018493388</v>
      </c>
      <c r="H440" t="str">
        <f t="shared" si="13"/>
        <v>INSERT INTO `parqueadero`.`vehiculo` (`Oid`, `Placa`, `Medio`, `Tipo`, `Marca`, `Color`, `IdConductor`) VALUES ('433','GFY38I','MOTOCICLETA','COMBUSTIBLE','HUSQVARNA SVARTPILEN','NEGRA','1018493388');</v>
      </c>
    </row>
    <row r="441" spans="1:8" ht="14.4" x14ac:dyDescent="0.3">
      <c r="A441" s="5">
        <f t="shared" si="12"/>
        <v>434</v>
      </c>
      <c r="B441" s="17" t="s">
        <v>2049</v>
      </c>
      <c r="C441" s="6" t="s">
        <v>143</v>
      </c>
      <c r="D441" s="6" t="s">
        <v>129</v>
      </c>
      <c r="E441" s="17" t="s">
        <v>2048</v>
      </c>
      <c r="F441" s="17" t="s">
        <v>52</v>
      </c>
      <c r="G441" s="17">
        <v>1120747558</v>
      </c>
      <c r="H441" t="str">
        <f t="shared" si="13"/>
        <v>INSERT INTO `parqueadero`.`vehiculo` (`Oid`, `Placa`, `Medio`, `Tipo`, `Marca`, `Color`, `IdConductor`) VALUES ('434','QQX355','CAMIONETA','ELÉCTRICO','CHERY','PLATA','1120747558');</v>
      </c>
    </row>
    <row r="442" spans="1:8" ht="14.4" x14ac:dyDescent="0.3">
      <c r="A442" s="5">
        <f t="shared" si="12"/>
        <v>435</v>
      </c>
      <c r="B442" s="6" t="s">
        <v>2053</v>
      </c>
      <c r="C442" s="6" t="s">
        <v>143</v>
      </c>
      <c r="D442" s="6" t="s">
        <v>17</v>
      </c>
      <c r="E442" s="6" t="s">
        <v>75</v>
      </c>
      <c r="F442" s="6" t="s">
        <v>60</v>
      </c>
      <c r="G442" s="6">
        <v>4228842</v>
      </c>
      <c r="H442" t="str">
        <f t="shared" si="13"/>
        <v>INSERT INTO `parqueadero`.`vehiculo` (`Oid`, `Placa`, `Medio`, `Tipo`, `Marca`, `Color`, `IdConductor`) VALUES ('435','AVI453','CAMIONETA','COMBUSTIBLE','MAZDA','GRIS','4228842');</v>
      </c>
    </row>
    <row r="443" spans="1:8" ht="14.4" x14ac:dyDescent="0.3">
      <c r="A443" s="5">
        <f t="shared" si="12"/>
        <v>436</v>
      </c>
      <c r="B443" s="6" t="s">
        <v>2057</v>
      </c>
      <c r="C443" s="6" t="s">
        <v>143</v>
      </c>
      <c r="D443" s="6" t="s">
        <v>17</v>
      </c>
      <c r="E443" s="6" t="s">
        <v>501</v>
      </c>
      <c r="F443" s="6" t="s">
        <v>60</v>
      </c>
      <c r="G443" s="6">
        <v>1136879147</v>
      </c>
      <c r="H443" t="str">
        <f t="shared" si="13"/>
        <v>INSERT INTO `parqueadero`.`vehiculo` (`Oid`, `Placa`, `Medio`, `Tipo`, `Marca`, `Color`, `IdConductor`) VALUES ('436','JEK683','CAMIONETA','COMBUSTIBLE','NISSAN','GRIS','1136879147');</v>
      </c>
    </row>
    <row r="444" spans="1:8" ht="14.4" x14ac:dyDescent="0.3">
      <c r="A444" s="5">
        <f t="shared" si="12"/>
        <v>437</v>
      </c>
      <c r="B444" s="6" t="s">
        <v>2060</v>
      </c>
      <c r="C444" s="6" t="s">
        <v>115</v>
      </c>
      <c r="D444" s="6" t="s">
        <v>17</v>
      </c>
      <c r="E444" s="6" t="s">
        <v>1408</v>
      </c>
      <c r="F444" s="6" t="s">
        <v>66</v>
      </c>
      <c r="G444" s="6">
        <v>13499548</v>
      </c>
      <c r="H444" t="str">
        <f t="shared" si="13"/>
        <v>INSERT INTO `parqueadero`.`vehiculo` (`Oid`, `Placa`, `Medio`, `Tipo`, `Marca`, `Color`, `IdConductor`) VALUES ('437','POR856','AUTOMÓVIL','COMBUSTIBLE','CITROËN','BLANCO','13499548');</v>
      </c>
    </row>
    <row r="445" spans="1:8" ht="14.4" x14ac:dyDescent="0.3">
      <c r="A445" s="5">
        <f t="shared" si="12"/>
        <v>438</v>
      </c>
      <c r="B445" s="6" t="s">
        <v>2063</v>
      </c>
      <c r="C445" s="6" t="s">
        <v>115</v>
      </c>
      <c r="D445" s="6" t="s">
        <v>17</v>
      </c>
      <c r="E445" s="6" t="s">
        <v>202</v>
      </c>
      <c r="F445" s="6" t="s">
        <v>248</v>
      </c>
      <c r="G445" s="6">
        <v>1118649429</v>
      </c>
      <c r="H445" t="str">
        <f t="shared" si="13"/>
        <v>INSERT INTO `parqueadero`.`vehiculo` (`Oid`, `Placa`, `Medio`, `Tipo`, `Marca`, `Color`, `IdConductor`) VALUES ('438','FYK571','AUTOMÓVIL','COMBUSTIBLE','VOLKSWAGEN','GRIS PLATA','1118649429');</v>
      </c>
    </row>
    <row r="446" spans="1:8" ht="14.4" x14ac:dyDescent="0.3">
      <c r="A446" s="5">
        <f t="shared" si="12"/>
        <v>439</v>
      </c>
      <c r="B446" s="6" t="s">
        <v>2067</v>
      </c>
      <c r="C446" s="6" t="s">
        <v>2195</v>
      </c>
      <c r="D446" s="6" t="s">
        <v>17</v>
      </c>
      <c r="E446" s="6" t="s">
        <v>175</v>
      </c>
      <c r="F446" s="6" t="s">
        <v>316</v>
      </c>
      <c r="G446" s="6">
        <v>1140882040</v>
      </c>
      <c r="H446" t="str">
        <f t="shared" si="13"/>
        <v>INSERT INTO `parqueadero`.`vehiculo` (`Oid`, `Placa`, `Medio`, `Tipo`, `Marca`, `Color`, `IdConductor`) VALUES ('439','SJP89G','MOTOCICLETA','COMBUSTIBLE','AKT','NEGRO MATE','1140882040');</v>
      </c>
    </row>
    <row r="447" spans="1:8" ht="14.4" x14ac:dyDescent="0.3">
      <c r="A447" s="5">
        <f t="shared" si="12"/>
        <v>440</v>
      </c>
      <c r="B447" s="6" t="s">
        <v>2070</v>
      </c>
      <c r="C447" s="6" t="s">
        <v>2195</v>
      </c>
      <c r="D447" s="6" t="s">
        <v>17</v>
      </c>
      <c r="E447" s="6" t="s">
        <v>276</v>
      </c>
      <c r="F447" s="6" t="s">
        <v>374</v>
      </c>
      <c r="G447" s="6">
        <v>1026578164</v>
      </c>
      <c r="H447" t="str">
        <f t="shared" si="13"/>
        <v>INSERT INTO `parqueadero`.`vehiculo` (`Oid`, `Placa`, `Medio`, `Tipo`, `Marca`, `Color`, `IdConductor`) VALUES ('440','KCE11I','MOTOCICLETA','COMBUSTIBLE','SUZUKI','AMARILLO - NEGRO','1026578164');</v>
      </c>
    </row>
    <row r="448" spans="1:8" ht="14.4" x14ac:dyDescent="0.3">
      <c r="A448" s="5">
        <f t="shared" si="12"/>
        <v>441</v>
      </c>
      <c r="B448" s="6" t="s">
        <v>2076</v>
      </c>
      <c r="C448" s="6" t="s">
        <v>2195</v>
      </c>
      <c r="D448" s="6" t="s">
        <v>17</v>
      </c>
      <c r="E448" s="6" t="s">
        <v>2075</v>
      </c>
      <c r="F448" s="6" t="s">
        <v>316</v>
      </c>
      <c r="G448" s="6">
        <v>79698622</v>
      </c>
      <c r="H448" t="str">
        <f t="shared" si="13"/>
        <v>INSERT INTO `parqueadero`.`vehiculo` (`Oid`, `Placa`, `Medio`, `Tipo`, `Marca`, `Color`, `IdConductor`) VALUES ('441','ICM27G','MOTOCICLETA','COMBUSTIBLE','YAMAHA FZ 250-A','NEGRO MATE','79698622');</v>
      </c>
    </row>
    <row r="449" spans="1:8" ht="14.4" x14ac:dyDescent="0.3">
      <c r="A449" s="5">
        <f t="shared" ref="A449:A456" si="14">ROW()-7</f>
        <v>442</v>
      </c>
      <c r="B449" s="6" t="s">
        <v>2079</v>
      </c>
      <c r="C449" s="6" t="s">
        <v>2195</v>
      </c>
      <c r="D449" s="6" t="s">
        <v>17</v>
      </c>
      <c r="E449" s="6" t="s">
        <v>2078</v>
      </c>
      <c r="F449" s="6" t="s">
        <v>2080</v>
      </c>
      <c r="G449" s="6">
        <v>79637566</v>
      </c>
      <c r="H449" t="str">
        <f t="shared" si="13"/>
        <v>INSERT INTO `parqueadero`.`vehiculo` (`Oid`, `Placa`, `Medio`, `Tipo`, `Marca`, `Color`, `IdConductor`) VALUES ('442','RAK41C','MOTOCICLETA','COMBUSTIBLE','BAJAJ PULSAR 180 UG','NEGRO - AZUL','79637566');</v>
      </c>
    </row>
    <row r="450" spans="1:8" ht="14.4" x14ac:dyDescent="0.3">
      <c r="A450" s="5">
        <f t="shared" si="14"/>
        <v>443</v>
      </c>
      <c r="B450" s="17" t="s">
        <v>2081</v>
      </c>
      <c r="C450" s="6" t="s">
        <v>115</v>
      </c>
      <c r="D450" s="17" t="s">
        <v>17</v>
      </c>
      <c r="E450" s="17" t="s">
        <v>320</v>
      </c>
      <c r="F450" s="17" t="s">
        <v>60</v>
      </c>
      <c r="G450" s="17">
        <v>1075257769</v>
      </c>
      <c r="H450" t="str">
        <f t="shared" si="13"/>
        <v>INSERT INTO `parqueadero`.`vehiculo` (`Oid`, `Placa`, `Medio`, `Tipo`, `Marca`, `Color`, `IdConductor`) VALUES ('443','HTQ061','AUTOMÓVIL','COMBUSTIBLE','AUDI','GRIS','1075257769');</v>
      </c>
    </row>
    <row r="451" spans="1:8" ht="14.4" x14ac:dyDescent="0.3">
      <c r="A451" s="5">
        <f t="shared" si="14"/>
        <v>444</v>
      </c>
      <c r="B451" s="6" t="s">
        <v>2086</v>
      </c>
      <c r="C451" s="6" t="s">
        <v>143</v>
      </c>
      <c r="D451" s="6" t="s">
        <v>17</v>
      </c>
      <c r="E451" s="6" t="s">
        <v>2085</v>
      </c>
      <c r="F451" s="6" t="s">
        <v>238</v>
      </c>
      <c r="G451" s="6">
        <v>19226003</v>
      </c>
      <c r="H451" t="str">
        <f t="shared" si="13"/>
        <v>INSERT INTO `parqueadero`.`vehiculo` (`Oid`, `Placa`, `Medio`, `Tipo`, `Marca`, `Color`, `IdConductor`) VALUES ('444','TEP001','CAMIONETA','COMBUSTIBLE','VOLKSWAGEN AMAROK','BLANCA','19226003');</v>
      </c>
    </row>
    <row r="452" spans="1:8" ht="14.4" x14ac:dyDescent="0.3">
      <c r="A452" s="5">
        <f t="shared" si="14"/>
        <v>445</v>
      </c>
      <c r="B452" s="6" t="s">
        <v>2087</v>
      </c>
      <c r="C452" s="6" t="s">
        <v>143</v>
      </c>
      <c r="D452" s="6" t="s">
        <v>129</v>
      </c>
      <c r="E452" s="6" t="s">
        <v>2048</v>
      </c>
      <c r="F452" s="6" t="s">
        <v>60</v>
      </c>
      <c r="G452" s="6">
        <v>19226003</v>
      </c>
      <c r="H452" t="str">
        <f t="shared" si="13"/>
        <v>INSERT INTO `parqueadero`.`vehiculo` (`Oid`, `Placa`, `Medio`, `Tipo`, `Marca`, `Color`, `IdConductor`) VALUES ('445','QQU531','CAMIONETA','ELÉCTRICO','CHERY','GRIS','19226003');</v>
      </c>
    </row>
    <row r="453" spans="1:8" ht="14.4" x14ac:dyDescent="0.3">
      <c r="A453" s="5">
        <f t="shared" si="14"/>
        <v>446</v>
      </c>
      <c r="B453" s="6" t="s">
        <v>2090</v>
      </c>
      <c r="C453" s="6" t="s">
        <v>115</v>
      </c>
      <c r="D453" s="6" t="s">
        <v>17</v>
      </c>
      <c r="E453" s="6" t="s">
        <v>337</v>
      </c>
      <c r="F453" s="6" t="s">
        <v>60</v>
      </c>
      <c r="G453" s="6">
        <v>1020789222</v>
      </c>
      <c r="H453" t="str">
        <f t="shared" si="13"/>
        <v>INSERT INTO `parqueadero`.`vehiculo` (`Oid`, `Placa`, `Medio`, `Tipo`, `Marca`, `Color`, `IdConductor`) VALUES ('446','BRD379','AUTOMÓVIL','COMBUSTIBLE','MERCEDES BENZ','GRIS','1020789222');</v>
      </c>
    </row>
    <row r="454" spans="1:8" ht="14.4" x14ac:dyDescent="0.3">
      <c r="A454" s="5">
        <f t="shared" si="14"/>
        <v>447</v>
      </c>
      <c r="B454" s="6" t="s">
        <v>2092</v>
      </c>
      <c r="C454" s="6" t="s">
        <v>143</v>
      </c>
      <c r="D454" s="6" t="s">
        <v>17</v>
      </c>
      <c r="E454" s="6" t="s">
        <v>2091</v>
      </c>
      <c r="F454" s="6" t="s">
        <v>66</v>
      </c>
      <c r="G454" s="6">
        <v>1020806493</v>
      </c>
      <c r="H454" t="str">
        <f t="shared" si="13"/>
        <v>INSERT INTO `parqueadero`.`vehiculo` (`Oid`, `Placa`, `Medio`, `Tipo`, `Marca`, `Color`, `IdConductor`) VALUES ('447','FNY762','CAMIONETA','COMBUSTIBLE','PEUGEOT 3008','BLANCO','1020806493');</v>
      </c>
    </row>
    <row r="455" spans="1:8" ht="14.4" x14ac:dyDescent="0.3">
      <c r="A455" s="5">
        <f t="shared" si="14"/>
        <v>448</v>
      </c>
      <c r="B455" s="6" t="s">
        <v>2096</v>
      </c>
      <c r="C455" s="6" t="s">
        <v>143</v>
      </c>
      <c r="D455" s="6" t="s">
        <v>253</v>
      </c>
      <c r="E455" s="6" t="s">
        <v>276</v>
      </c>
      <c r="F455" s="6" t="s">
        <v>18</v>
      </c>
      <c r="G455" s="6">
        <v>52454937</v>
      </c>
      <c r="H455" t="str">
        <f t="shared" si="13"/>
        <v>INSERT INTO `parqueadero`.`vehiculo` (`Oid`, `Placa`, `Medio`, `Tipo`, `Marca`, `Color`, `IdConductor`) VALUES ('448','NJR865','CAMIONETA','HÍBRIDO','SUZUKI','AZUL','52454937');</v>
      </c>
    </row>
    <row r="456" spans="1:8" ht="14.4" x14ac:dyDescent="0.3">
      <c r="A456" s="5">
        <f t="shared" si="14"/>
        <v>449</v>
      </c>
      <c r="B456" s="6" t="s">
        <v>2097</v>
      </c>
      <c r="C456" s="6" t="s">
        <v>115</v>
      </c>
      <c r="D456" s="6" t="s">
        <v>17</v>
      </c>
      <c r="E456" s="6" t="s">
        <v>681</v>
      </c>
      <c r="F456" s="6" t="s">
        <v>60</v>
      </c>
      <c r="G456" s="6">
        <v>80019944</v>
      </c>
      <c r="H456" t="str">
        <f t="shared" ref="H456" si="15">CONCATENATE("INSERT INTO `parqueadero`.`vehiculo` (`",$A$7,"`, `",$B$7,"`, `",$C$7,"`, `",$D$7,"`, `",$E$7,"`, `",$F$7,"`, `",$G$7,"`) VALUES ('",A456,"','",B456,"','",C456,"','",D456,"','",E456,"','",F456,"','",G456,"');" )</f>
        <v>INSERT INTO `parqueadero`.`vehiculo` (`Oid`, `Placa`, `Medio`, `Tipo`, `Marca`, `Color`, `IdConductor`) VALUES ('449','LNL878','AUTOMÓVIL','COMBUSTIBLE','MAZDA 2','GRIS','80019944');</v>
      </c>
    </row>
  </sheetData>
  <autoFilter ref="A7:H456"/>
  <mergeCells count="1">
    <mergeCell ref="A3:F4"/>
  </mergeCells>
  <conditionalFormatting sqref="G7:G456 H7">
    <cfRule type="duplicateValues" dxfId="12" priority="160"/>
  </conditionalFormatting>
  <conditionalFormatting sqref="B444:B456 B8:B442">
    <cfRule type="duplicateValues" dxfId="11" priority="161"/>
  </conditionalFormatting>
  <conditionalFormatting sqref="B1:B1048576">
    <cfRule type="duplicateValues" dxfId="10" priority="1"/>
    <cfRule type="duplicateValues" dxfId="9" priority="2"/>
    <cfRule type="duplicateValues" dxfId="8" priority="163"/>
    <cfRule type="duplicateValues" dxfId="7" priority="164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D8"/>
    </sheetView>
  </sheetViews>
  <sheetFormatPr baseColWidth="10" defaultRowHeight="14.4" x14ac:dyDescent="0.3"/>
  <sheetData>
    <row r="1" spans="1:3" x14ac:dyDescent="0.3">
      <c r="A1" t="s">
        <v>2201</v>
      </c>
      <c r="B1" t="s">
        <v>2203</v>
      </c>
      <c r="C1" t="s">
        <v>2204</v>
      </c>
    </row>
    <row r="2" spans="1:3" x14ac:dyDescent="0.3">
      <c r="A2" t="s">
        <v>2202</v>
      </c>
      <c r="B2">
        <v>5</v>
      </c>
      <c r="C2" t="s">
        <v>2205</v>
      </c>
    </row>
    <row r="3" spans="1:3" x14ac:dyDescent="0.3">
      <c r="A3" t="s">
        <v>2202</v>
      </c>
      <c r="B3">
        <v>4</v>
      </c>
      <c r="C3" t="s">
        <v>2206</v>
      </c>
    </row>
    <row r="4" spans="1:3" x14ac:dyDescent="0.3">
      <c r="A4" t="s">
        <v>2202</v>
      </c>
      <c r="B4">
        <v>2</v>
      </c>
    </row>
    <row r="5" spans="1:3" x14ac:dyDescent="0.3">
      <c r="A5" t="s">
        <v>2207</v>
      </c>
      <c r="B5">
        <v>28</v>
      </c>
    </row>
    <row r="6" spans="1:3" x14ac:dyDescent="0.3">
      <c r="A6" t="s">
        <v>2208</v>
      </c>
      <c r="B6">
        <v>32</v>
      </c>
    </row>
    <row r="7" spans="1:3" x14ac:dyDescent="0.3">
      <c r="B7">
        <f>SUM(B2:B6)</f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514"/>
  <sheetViews>
    <sheetView topLeftCell="H1" zoomScale="90" zoomScaleNormal="90" workbookViewId="0">
      <pane ySplit="7" topLeftCell="A492" activePane="bottomLeft" state="frozen"/>
      <selection pane="bottomLeft" activeCell="B514" sqref="B514"/>
    </sheetView>
  </sheetViews>
  <sheetFormatPr baseColWidth="10" defaultColWidth="9.109375" defaultRowHeight="13.8" x14ac:dyDescent="0.25"/>
  <cols>
    <col min="1" max="1" width="8.44140625" style="14" customWidth="1"/>
    <col min="2" max="2" width="51.5546875" style="11" bestFit="1" customWidth="1"/>
    <col min="3" max="3" width="34.33203125" style="9" bestFit="1" customWidth="1"/>
    <col min="4" max="5" width="20" style="9" customWidth="1"/>
    <col min="6" max="7" width="20" style="15" customWidth="1"/>
    <col min="8" max="8" width="40.88671875" style="11" customWidth="1"/>
    <col min="9" max="9" width="60.6640625" style="11" customWidth="1"/>
    <col min="10" max="10" width="22.6640625" style="11" customWidth="1"/>
    <col min="11" max="11" width="28.88671875" style="11" customWidth="1"/>
    <col min="12" max="12" width="22.88671875" style="9" customWidth="1"/>
    <col min="13" max="13" width="22.88671875" style="11" customWidth="1"/>
    <col min="14" max="14" width="34.6640625" style="11" bestFit="1" customWidth="1"/>
    <col min="15" max="15" width="23.109375" style="11" bestFit="1" customWidth="1"/>
    <col min="16" max="16" width="17.44140625" style="11" bestFit="1" customWidth="1"/>
    <col min="17" max="16384" width="9.109375" style="11"/>
  </cols>
  <sheetData>
    <row r="3" spans="1:18" customFormat="1" ht="14.4" x14ac:dyDescent="0.3">
      <c r="A3" s="42" t="s">
        <v>2115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8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7" spans="1:18" customFormat="1" ht="14.4" x14ac:dyDescent="0.3">
      <c r="A7" s="1"/>
      <c r="B7" s="2" t="s">
        <v>0</v>
      </c>
      <c r="C7" s="2" t="s">
        <v>1</v>
      </c>
      <c r="D7" s="3" t="s">
        <v>2</v>
      </c>
      <c r="E7" s="3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2113</v>
      </c>
      <c r="P7" s="2" t="s">
        <v>2114</v>
      </c>
    </row>
    <row r="8" spans="1:18" customFormat="1" ht="17.25" customHeight="1" x14ac:dyDescent="0.3">
      <c r="A8" s="5">
        <v>1</v>
      </c>
      <c r="B8" s="17" t="s">
        <v>13</v>
      </c>
      <c r="C8" s="6">
        <v>80205861</v>
      </c>
      <c r="D8" s="6">
        <v>3004470549</v>
      </c>
      <c r="E8" s="6" t="s">
        <v>14</v>
      </c>
      <c r="F8" s="7">
        <v>46035</v>
      </c>
      <c r="G8" s="7">
        <v>46387</v>
      </c>
      <c r="H8" s="8" t="s">
        <v>2108</v>
      </c>
      <c r="I8" s="6" t="s">
        <v>434</v>
      </c>
      <c r="J8" s="6" t="s">
        <v>106</v>
      </c>
      <c r="K8" s="6" t="s">
        <v>15</v>
      </c>
      <c r="L8" s="6" t="s">
        <v>16</v>
      </c>
      <c r="M8" s="6" t="s">
        <v>17</v>
      </c>
      <c r="N8" s="6" t="s">
        <v>18</v>
      </c>
      <c r="O8" s="9" t="s">
        <v>125</v>
      </c>
      <c r="P8" s="25" t="s">
        <v>2112</v>
      </c>
    </row>
    <row r="9" spans="1:18" customFormat="1" ht="16.5" customHeight="1" x14ac:dyDescent="0.3">
      <c r="A9" s="5">
        <v>2</v>
      </c>
      <c r="B9" s="17" t="s">
        <v>19</v>
      </c>
      <c r="C9" s="6">
        <v>79751974</v>
      </c>
      <c r="D9" s="6">
        <v>3108061470</v>
      </c>
      <c r="E9" s="6" t="s">
        <v>20</v>
      </c>
      <c r="F9" s="7" t="s">
        <v>20</v>
      </c>
      <c r="G9" s="7" t="s">
        <v>20</v>
      </c>
      <c r="H9" s="8" t="s">
        <v>21</v>
      </c>
      <c r="I9" s="6" t="s">
        <v>434</v>
      </c>
      <c r="J9" s="6" t="s">
        <v>143</v>
      </c>
      <c r="K9" s="6" t="s">
        <v>22</v>
      </c>
      <c r="L9" s="6" t="s">
        <v>23</v>
      </c>
      <c r="M9" s="6" t="s">
        <v>129</v>
      </c>
      <c r="N9" s="6" t="s">
        <v>24</v>
      </c>
      <c r="O9" t="s">
        <v>119</v>
      </c>
      <c r="P9" s="25" t="s">
        <v>2112</v>
      </c>
    </row>
    <row r="10" spans="1:18" customFormat="1" ht="14.4" x14ac:dyDescent="0.3">
      <c r="A10" s="5">
        <v>3</v>
      </c>
      <c r="B10" s="17" t="s">
        <v>25</v>
      </c>
      <c r="C10" s="6">
        <v>1032357287</v>
      </c>
      <c r="D10" s="6">
        <v>3058197451</v>
      </c>
      <c r="E10" s="6" t="s">
        <v>26</v>
      </c>
      <c r="F10" s="7">
        <v>46030</v>
      </c>
      <c r="G10" s="7">
        <v>46387</v>
      </c>
      <c r="H10" s="8" t="s">
        <v>27</v>
      </c>
      <c r="I10" s="6" t="s">
        <v>500</v>
      </c>
      <c r="J10" s="6" t="s">
        <v>143</v>
      </c>
      <c r="K10" s="6" t="s">
        <v>28</v>
      </c>
      <c r="L10" s="6" t="s">
        <v>29</v>
      </c>
      <c r="M10" s="6" t="s">
        <v>129</v>
      </c>
      <c r="N10" s="6" t="s">
        <v>30</v>
      </c>
      <c r="O10" s="9" t="s">
        <v>125</v>
      </c>
      <c r="P10" s="25" t="s">
        <v>2112</v>
      </c>
    </row>
    <row r="11" spans="1:18" customFormat="1" ht="14.4" x14ac:dyDescent="0.3">
      <c r="A11" s="16">
        <v>4</v>
      </c>
      <c r="B11" s="17" t="s">
        <v>2101</v>
      </c>
      <c r="C11" s="17">
        <v>1033757530</v>
      </c>
      <c r="D11" s="17">
        <v>3154532732</v>
      </c>
      <c r="E11" s="17" t="s">
        <v>2100</v>
      </c>
      <c r="F11" s="18">
        <v>46036</v>
      </c>
      <c r="G11" s="18">
        <v>46387</v>
      </c>
      <c r="H11" s="8" t="s">
        <v>31</v>
      </c>
      <c r="I11" s="6" t="s">
        <v>434</v>
      </c>
      <c r="J11" s="6" t="s">
        <v>115</v>
      </c>
      <c r="K11" s="17" t="s">
        <v>32</v>
      </c>
      <c r="L11" s="17" t="s">
        <v>33</v>
      </c>
      <c r="M11" s="17" t="s">
        <v>17</v>
      </c>
      <c r="N11" s="17" t="s">
        <v>34</v>
      </c>
      <c r="O11" s="19" t="s">
        <v>125</v>
      </c>
      <c r="P11" s="21" t="s">
        <v>2098</v>
      </c>
      <c r="Q11" s="19"/>
      <c r="R11" s="19"/>
    </row>
    <row r="12" spans="1:18" customFormat="1" ht="15" customHeight="1" x14ac:dyDescent="0.3">
      <c r="A12" s="5">
        <v>5</v>
      </c>
      <c r="B12" s="17" t="s">
        <v>35</v>
      </c>
      <c r="C12" s="6">
        <v>1030545762</v>
      </c>
      <c r="D12" s="6">
        <v>3105580024</v>
      </c>
      <c r="E12" s="6" t="s">
        <v>36</v>
      </c>
      <c r="F12" s="7">
        <v>46037</v>
      </c>
      <c r="G12" s="7">
        <v>46387</v>
      </c>
      <c r="H12" s="8" t="s">
        <v>37</v>
      </c>
      <c r="I12" s="6" t="s">
        <v>285</v>
      </c>
      <c r="J12" s="6" t="s">
        <v>155</v>
      </c>
      <c r="K12" s="6" t="s">
        <v>30</v>
      </c>
      <c r="L12" s="6" t="s">
        <v>20</v>
      </c>
      <c r="M12" s="6" t="s">
        <v>129</v>
      </c>
      <c r="N12" s="6" t="s">
        <v>38</v>
      </c>
      <c r="O12" s="9" t="s">
        <v>125</v>
      </c>
      <c r="P12" s="25" t="s">
        <v>2112</v>
      </c>
    </row>
    <row r="13" spans="1:18" customFormat="1" ht="14.4" x14ac:dyDescent="0.3">
      <c r="A13" s="5">
        <v>6</v>
      </c>
      <c r="B13" s="17" t="s">
        <v>39</v>
      </c>
      <c r="C13" s="17">
        <v>37396460</v>
      </c>
      <c r="D13" s="17">
        <v>3045452585</v>
      </c>
      <c r="E13" s="17" t="s">
        <v>40</v>
      </c>
      <c r="F13" s="18">
        <v>46038</v>
      </c>
      <c r="G13" s="18">
        <v>46264</v>
      </c>
      <c r="H13" s="8" t="s">
        <v>41</v>
      </c>
      <c r="I13" s="6" t="s">
        <v>256</v>
      </c>
      <c r="J13" s="6" t="s">
        <v>115</v>
      </c>
      <c r="K13" s="17" t="s">
        <v>42</v>
      </c>
      <c r="L13" s="17" t="s">
        <v>43</v>
      </c>
      <c r="M13" s="6" t="s">
        <v>253</v>
      </c>
      <c r="N13" s="17" t="s">
        <v>44</v>
      </c>
      <c r="O13" s="19" t="s">
        <v>125</v>
      </c>
      <c r="P13" s="21" t="s">
        <v>2098</v>
      </c>
      <c r="Q13" s="19"/>
      <c r="R13" s="19"/>
    </row>
    <row r="14" spans="1:18" customFormat="1" ht="14.4" x14ac:dyDescent="0.3">
      <c r="A14" s="5">
        <v>7</v>
      </c>
      <c r="B14" s="17" t="s">
        <v>45</v>
      </c>
      <c r="C14" s="6">
        <v>98561766</v>
      </c>
      <c r="D14" s="6">
        <v>3173320602</v>
      </c>
      <c r="E14" s="6" t="s">
        <v>46</v>
      </c>
      <c r="F14" s="7">
        <v>46037</v>
      </c>
      <c r="G14" s="7">
        <v>46241</v>
      </c>
      <c r="H14" s="8" t="s">
        <v>2107</v>
      </c>
      <c r="I14" s="6" t="s">
        <v>270</v>
      </c>
      <c r="J14" s="6" t="s">
        <v>106</v>
      </c>
      <c r="K14" s="6" t="s">
        <v>47</v>
      </c>
      <c r="L14" s="6" t="s">
        <v>48</v>
      </c>
      <c r="M14" s="6" t="s">
        <v>17</v>
      </c>
      <c r="N14" s="6" t="s">
        <v>24</v>
      </c>
      <c r="O14" s="9" t="s">
        <v>125</v>
      </c>
      <c r="P14" s="25" t="s">
        <v>2112</v>
      </c>
    </row>
    <row r="15" spans="1:18" customFormat="1" ht="14.4" x14ac:dyDescent="0.3">
      <c r="A15" s="16">
        <v>8</v>
      </c>
      <c r="B15" s="17" t="s">
        <v>49</v>
      </c>
      <c r="C15" s="6">
        <v>52218503</v>
      </c>
      <c r="D15" s="6">
        <v>3004427959</v>
      </c>
      <c r="E15" s="6" t="s">
        <v>20</v>
      </c>
      <c r="F15" s="7" t="s">
        <v>20</v>
      </c>
      <c r="G15" s="7" t="s">
        <v>20</v>
      </c>
      <c r="H15" s="7" t="s">
        <v>20</v>
      </c>
      <c r="I15" s="6" t="s">
        <v>1698</v>
      </c>
      <c r="J15" s="6" t="s">
        <v>143</v>
      </c>
      <c r="K15" s="6" t="s">
        <v>50</v>
      </c>
      <c r="L15" s="6" t="s">
        <v>51</v>
      </c>
      <c r="M15" s="6" t="s">
        <v>17</v>
      </c>
      <c r="N15" s="6" t="s">
        <v>52</v>
      </c>
      <c r="O15" t="s">
        <v>1280</v>
      </c>
      <c r="P15" s="25" t="s">
        <v>2112</v>
      </c>
    </row>
    <row r="16" spans="1:18" customFormat="1" ht="14.4" x14ac:dyDescent="0.3">
      <c r="A16" s="5">
        <v>9</v>
      </c>
      <c r="B16" s="17" t="s">
        <v>53</v>
      </c>
      <c r="C16" s="6">
        <v>115068646</v>
      </c>
      <c r="D16" s="6">
        <v>3163490223</v>
      </c>
      <c r="E16" s="6" t="s">
        <v>54</v>
      </c>
      <c r="F16" s="7">
        <v>46035</v>
      </c>
      <c r="G16" s="7">
        <v>46246</v>
      </c>
      <c r="H16" s="8" t="s">
        <v>55</v>
      </c>
      <c r="I16" s="6" t="s">
        <v>1338</v>
      </c>
      <c r="J16" s="6" t="s">
        <v>106</v>
      </c>
      <c r="K16" s="6" t="s">
        <v>56</v>
      </c>
      <c r="L16" s="6" t="s">
        <v>57</v>
      </c>
      <c r="M16" s="6" t="s">
        <v>17</v>
      </c>
      <c r="N16" s="6" t="s">
        <v>24</v>
      </c>
      <c r="O16" s="9" t="s">
        <v>125</v>
      </c>
      <c r="P16" s="25" t="s">
        <v>2112</v>
      </c>
    </row>
    <row r="17" spans="1:18" customFormat="1" ht="14.4" x14ac:dyDescent="0.3">
      <c r="A17" s="5">
        <v>10</v>
      </c>
      <c r="B17" s="17" t="s">
        <v>53</v>
      </c>
      <c r="C17" s="6">
        <v>115068646</v>
      </c>
      <c r="D17" s="6">
        <v>3163490223</v>
      </c>
      <c r="E17" s="6" t="s">
        <v>54</v>
      </c>
      <c r="F17" s="7">
        <v>46035</v>
      </c>
      <c r="G17" s="7">
        <v>46246</v>
      </c>
      <c r="H17" s="8" t="s">
        <v>55</v>
      </c>
      <c r="I17" s="6" t="s">
        <v>1338</v>
      </c>
      <c r="J17" s="6" t="s">
        <v>143</v>
      </c>
      <c r="K17" s="6" t="s">
        <v>58</v>
      </c>
      <c r="L17" s="6" t="s">
        <v>59</v>
      </c>
      <c r="M17" s="6" t="s">
        <v>17</v>
      </c>
      <c r="N17" s="6" t="s">
        <v>60</v>
      </c>
      <c r="O17" s="9" t="s">
        <v>125</v>
      </c>
      <c r="P17" s="25" t="s">
        <v>2112</v>
      </c>
    </row>
    <row r="18" spans="1:18" ht="14.4" x14ac:dyDescent="0.3">
      <c r="A18" s="5">
        <v>11</v>
      </c>
      <c r="B18" s="17" t="s">
        <v>61</v>
      </c>
      <c r="C18" s="6">
        <v>1098784496</v>
      </c>
      <c r="D18" s="6">
        <v>3187118262</v>
      </c>
      <c r="E18" s="6" t="s">
        <v>62</v>
      </c>
      <c r="F18" s="7">
        <v>46031</v>
      </c>
      <c r="G18" s="7">
        <v>46387</v>
      </c>
      <c r="H18" s="8" t="s">
        <v>63</v>
      </c>
      <c r="I18" s="6" t="s">
        <v>201</v>
      </c>
      <c r="J18" s="6" t="s">
        <v>143</v>
      </c>
      <c r="K18" s="6" t="s">
        <v>64</v>
      </c>
      <c r="L18" s="6" t="s">
        <v>65</v>
      </c>
      <c r="M18" s="6" t="s">
        <v>253</v>
      </c>
      <c r="N18" s="6" t="s">
        <v>66</v>
      </c>
      <c r="O18" s="9" t="s">
        <v>125</v>
      </c>
      <c r="P18" s="25" t="s">
        <v>2112</v>
      </c>
    </row>
    <row r="19" spans="1:18" ht="14.4" x14ac:dyDescent="0.3">
      <c r="A19" s="16">
        <v>12</v>
      </c>
      <c r="B19" s="17" t="s">
        <v>67</v>
      </c>
      <c r="C19" s="6">
        <v>105466109</v>
      </c>
      <c r="D19" s="6">
        <v>3057833039</v>
      </c>
      <c r="E19" s="6" t="s">
        <v>68</v>
      </c>
      <c r="F19" s="7">
        <v>46041</v>
      </c>
      <c r="G19" s="7">
        <v>46344</v>
      </c>
      <c r="H19" s="8" t="s">
        <v>69</v>
      </c>
      <c r="I19" s="6" t="s">
        <v>256</v>
      </c>
      <c r="J19" s="6" t="s">
        <v>106</v>
      </c>
      <c r="K19" s="6" t="s">
        <v>70</v>
      </c>
      <c r="L19" s="6" t="s">
        <v>71</v>
      </c>
      <c r="M19" s="6" t="s">
        <v>17</v>
      </c>
      <c r="N19" s="6" t="s">
        <v>24</v>
      </c>
      <c r="O19" s="9" t="s">
        <v>125</v>
      </c>
      <c r="P19" s="25" t="s">
        <v>2112</v>
      </c>
    </row>
    <row r="20" spans="1:18" ht="14.4" x14ac:dyDescent="0.3">
      <c r="A20" s="5">
        <v>13</v>
      </c>
      <c r="B20" s="17" t="s">
        <v>72</v>
      </c>
      <c r="C20" s="6">
        <v>79905794</v>
      </c>
      <c r="D20" s="6">
        <v>3057457779</v>
      </c>
      <c r="E20" s="6" t="s">
        <v>73</v>
      </c>
      <c r="F20" s="7">
        <v>46042</v>
      </c>
      <c r="G20" s="7">
        <v>46375</v>
      </c>
      <c r="H20" s="8" t="s">
        <v>74</v>
      </c>
      <c r="I20" s="17" t="s">
        <v>207</v>
      </c>
      <c r="J20" s="6" t="s">
        <v>143</v>
      </c>
      <c r="K20" s="6" t="s">
        <v>75</v>
      </c>
      <c r="L20" s="6" t="s">
        <v>76</v>
      </c>
      <c r="M20" s="6" t="s">
        <v>253</v>
      </c>
      <c r="N20" s="6" t="s">
        <v>44</v>
      </c>
      <c r="O20" s="9" t="s">
        <v>125</v>
      </c>
      <c r="P20" s="25" t="s">
        <v>2112</v>
      </c>
    </row>
    <row r="21" spans="1:18" ht="14.4" x14ac:dyDescent="0.3">
      <c r="A21" s="5">
        <v>14</v>
      </c>
      <c r="B21" s="17" t="s">
        <v>77</v>
      </c>
      <c r="C21" s="6">
        <v>1032395549</v>
      </c>
      <c r="D21" s="6">
        <v>3166262024</v>
      </c>
      <c r="E21" s="6" t="s">
        <v>78</v>
      </c>
      <c r="F21" s="7">
        <v>46036</v>
      </c>
      <c r="G21" s="7">
        <v>46370</v>
      </c>
      <c r="H21" s="8" t="s">
        <v>79</v>
      </c>
      <c r="I21" s="6" t="s">
        <v>587</v>
      </c>
      <c r="J21" s="6" t="s">
        <v>80</v>
      </c>
      <c r="K21" s="6" t="s">
        <v>81</v>
      </c>
      <c r="L21" s="6" t="s">
        <v>20</v>
      </c>
      <c r="M21" s="6" t="s">
        <v>129</v>
      </c>
      <c r="N21" s="6" t="s">
        <v>18</v>
      </c>
      <c r="O21" s="9" t="s">
        <v>125</v>
      </c>
      <c r="P21" s="25" t="s">
        <v>2112</v>
      </c>
    </row>
    <row r="22" spans="1:18" ht="14.4" x14ac:dyDescent="0.3">
      <c r="A22" s="5">
        <v>15</v>
      </c>
      <c r="B22" s="17" t="s">
        <v>82</v>
      </c>
      <c r="C22" s="6">
        <v>88220846</v>
      </c>
      <c r="D22" s="6">
        <v>3203005342</v>
      </c>
      <c r="E22" s="6" t="s">
        <v>83</v>
      </c>
      <c r="F22" s="7">
        <v>46041</v>
      </c>
      <c r="G22" s="7">
        <v>46387</v>
      </c>
      <c r="H22" s="8" t="s">
        <v>84</v>
      </c>
      <c r="I22" s="6" t="s">
        <v>500</v>
      </c>
      <c r="J22" s="6" t="s">
        <v>106</v>
      </c>
      <c r="K22" s="6" t="s">
        <v>85</v>
      </c>
      <c r="L22" s="6" t="s">
        <v>86</v>
      </c>
      <c r="M22" s="6" t="s">
        <v>17</v>
      </c>
      <c r="N22" s="6" t="s">
        <v>66</v>
      </c>
      <c r="O22" s="9" t="s">
        <v>125</v>
      </c>
      <c r="P22" s="25" t="s">
        <v>2112</v>
      </c>
    </row>
    <row r="23" spans="1:18" ht="14.4" x14ac:dyDescent="0.3">
      <c r="A23" s="16">
        <v>16</v>
      </c>
      <c r="B23" s="17" t="s">
        <v>87</v>
      </c>
      <c r="C23" s="6">
        <v>1010222069</v>
      </c>
      <c r="D23" s="6">
        <v>3106664184</v>
      </c>
      <c r="E23" s="6" t="s">
        <v>88</v>
      </c>
      <c r="F23" s="7">
        <v>46378</v>
      </c>
      <c r="G23" s="7">
        <v>46255</v>
      </c>
      <c r="H23" s="8" t="s">
        <v>89</v>
      </c>
      <c r="I23" s="6" t="s">
        <v>1905</v>
      </c>
      <c r="J23" s="6" t="s">
        <v>80</v>
      </c>
      <c r="K23" s="6" t="s">
        <v>30</v>
      </c>
      <c r="L23" s="6" t="s">
        <v>20</v>
      </c>
      <c r="M23" s="6" t="s">
        <v>129</v>
      </c>
      <c r="N23" s="6" t="s">
        <v>90</v>
      </c>
      <c r="O23" s="9" t="s">
        <v>125</v>
      </c>
      <c r="P23" s="25" t="s">
        <v>2112</v>
      </c>
    </row>
    <row r="24" spans="1:18" ht="14.4" x14ac:dyDescent="0.3">
      <c r="A24" s="5">
        <v>17</v>
      </c>
      <c r="B24" s="17" t="s">
        <v>91</v>
      </c>
      <c r="C24" s="6">
        <v>1104068630</v>
      </c>
      <c r="D24" s="6">
        <v>3125332732</v>
      </c>
      <c r="E24" s="6" t="s">
        <v>92</v>
      </c>
      <c r="F24" s="7">
        <v>46035</v>
      </c>
      <c r="G24" s="7">
        <v>46387</v>
      </c>
      <c r="H24" s="8" t="s">
        <v>93</v>
      </c>
      <c r="I24" s="6" t="s">
        <v>325</v>
      </c>
      <c r="J24" s="6" t="s">
        <v>143</v>
      </c>
      <c r="K24" s="6" t="s">
        <v>94</v>
      </c>
      <c r="L24" s="6" t="s">
        <v>95</v>
      </c>
      <c r="M24" s="6" t="s">
        <v>17</v>
      </c>
      <c r="N24" s="6" t="s">
        <v>96</v>
      </c>
      <c r="O24" s="9" t="s">
        <v>125</v>
      </c>
      <c r="P24" s="25" t="s">
        <v>2112</v>
      </c>
    </row>
    <row r="25" spans="1:18" ht="14.4" x14ac:dyDescent="0.3">
      <c r="A25" s="5">
        <v>18</v>
      </c>
      <c r="B25" s="17" t="s">
        <v>97</v>
      </c>
      <c r="C25" s="6">
        <v>1020797353</v>
      </c>
      <c r="D25" s="6">
        <v>3125877916</v>
      </c>
      <c r="E25" s="6" t="s">
        <v>98</v>
      </c>
      <c r="F25" s="7">
        <v>46042</v>
      </c>
      <c r="G25" s="7">
        <v>46387</v>
      </c>
      <c r="H25" s="8" t="s">
        <v>99</v>
      </c>
      <c r="I25" s="6" t="s">
        <v>325</v>
      </c>
      <c r="J25" s="6" t="s">
        <v>143</v>
      </c>
      <c r="K25" s="6" t="s">
        <v>64</v>
      </c>
      <c r="L25" s="6" t="s">
        <v>100</v>
      </c>
      <c r="M25" s="6" t="s">
        <v>17</v>
      </c>
      <c r="N25" s="6" t="s">
        <v>66</v>
      </c>
      <c r="O25" s="9" t="s">
        <v>125</v>
      </c>
      <c r="P25" s="25" t="s">
        <v>2112</v>
      </c>
    </row>
    <row r="26" spans="1:18" ht="14.4" x14ac:dyDescent="0.3">
      <c r="A26" s="5">
        <v>19</v>
      </c>
      <c r="B26" s="17" t="s">
        <v>101</v>
      </c>
      <c r="C26" s="6">
        <v>1918513898</v>
      </c>
      <c r="D26" s="6">
        <v>3102710234</v>
      </c>
      <c r="E26" s="6" t="s">
        <v>102</v>
      </c>
      <c r="F26" s="7">
        <v>46041</v>
      </c>
      <c r="G26" s="7">
        <v>46252</v>
      </c>
      <c r="H26" s="8" t="s">
        <v>103</v>
      </c>
      <c r="I26" s="6" t="s">
        <v>1338</v>
      </c>
      <c r="J26" s="6" t="s">
        <v>106</v>
      </c>
      <c r="K26" s="6" t="s">
        <v>104</v>
      </c>
      <c r="L26" s="6" t="s">
        <v>105</v>
      </c>
      <c r="M26" s="6" t="s">
        <v>17</v>
      </c>
      <c r="N26" s="6" t="s">
        <v>18</v>
      </c>
      <c r="O26" s="9" t="s">
        <v>125</v>
      </c>
      <c r="P26" s="25" t="s">
        <v>2112</v>
      </c>
    </row>
    <row r="27" spans="1:18" ht="14.4" x14ac:dyDescent="0.3">
      <c r="A27" s="16">
        <v>20</v>
      </c>
      <c r="B27" s="17" t="s">
        <v>107</v>
      </c>
      <c r="C27" s="17">
        <v>51831480</v>
      </c>
      <c r="D27" s="17">
        <v>3183891026</v>
      </c>
      <c r="E27" s="17" t="s">
        <v>108</v>
      </c>
      <c r="F27" s="18">
        <v>46030</v>
      </c>
      <c r="G27" s="18">
        <v>46239</v>
      </c>
      <c r="H27" s="8" t="s">
        <v>109</v>
      </c>
      <c r="I27" s="6" t="s">
        <v>270</v>
      </c>
      <c r="J27" s="6" t="s">
        <v>143</v>
      </c>
      <c r="K27" s="17" t="s">
        <v>110</v>
      </c>
      <c r="L27" s="17" t="s">
        <v>111</v>
      </c>
      <c r="M27" s="17" t="s">
        <v>17</v>
      </c>
      <c r="N27" s="17" t="s">
        <v>112</v>
      </c>
      <c r="O27" s="9" t="s">
        <v>125</v>
      </c>
      <c r="P27" s="22" t="s">
        <v>2098</v>
      </c>
      <c r="Q27" s="20"/>
      <c r="R27" s="20"/>
    </row>
    <row r="28" spans="1:18" ht="14.4" x14ac:dyDescent="0.3">
      <c r="A28" s="5">
        <v>21</v>
      </c>
      <c r="B28" s="17" t="s">
        <v>113</v>
      </c>
      <c r="C28" s="6">
        <v>80024049</v>
      </c>
      <c r="D28" s="6">
        <v>3143405600</v>
      </c>
      <c r="E28" s="6" t="s">
        <v>20</v>
      </c>
      <c r="F28" s="7" t="s">
        <v>20</v>
      </c>
      <c r="G28" s="7" t="s">
        <v>20</v>
      </c>
      <c r="H28" s="8" t="s">
        <v>114</v>
      </c>
      <c r="I28" s="6" t="s">
        <v>1353</v>
      </c>
      <c r="J28" s="6" t="s">
        <v>115</v>
      </c>
      <c r="K28" s="6" t="s">
        <v>116</v>
      </c>
      <c r="L28" s="6" t="s">
        <v>117</v>
      </c>
      <c r="M28" s="6" t="s">
        <v>17</v>
      </c>
      <c r="N28" s="6" t="s">
        <v>118</v>
      </c>
      <c r="O28" t="s">
        <v>119</v>
      </c>
      <c r="P28" s="25" t="s">
        <v>2112</v>
      </c>
    </row>
    <row r="29" spans="1:18" ht="14.4" x14ac:dyDescent="0.3">
      <c r="A29" s="5">
        <v>22</v>
      </c>
      <c r="B29" s="17" t="s">
        <v>120</v>
      </c>
      <c r="C29" s="6">
        <v>80003738</v>
      </c>
      <c r="D29" s="6">
        <v>3003626509</v>
      </c>
      <c r="E29" s="12" t="s">
        <v>121</v>
      </c>
      <c r="F29" s="7">
        <v>46035</v>
      </c>
      <c r="G29" s="7">
        <v>46277</v>
      </c>
      <c r="H29" s="8" t="s">
        <v>122</v>
      </c>
      <c r="I29" s="6" t="s">
        <v>1229</v>
      </c>
      <c r="J29" s="6" t="s">
        <v>115</v>
      </c>
      <c r="K29" s="6" t="s">
        <v>123</v>
      </c>
      <c r="L29" s="6" t="s">
        <v>124</v>
      </c>
      <c r="M29" s="6" t="s">
        <v>17</v>
      </c>
      <c r="N29" s="6" t="s">
        <v>60</v>
      </c>
      <c r="O29" t="s">
        <v>125</v>
      </c>
      <c r="P29" s="25" t="s">
        <v>2112</v>
      </c>
    </row>
    <row r="30" spans="1:18" ht="14.4" x14ac:dyDescent="0.3">
      <c r="A30" s="5">
        <v>23</v>
      </c>
      <c r="B30" s="17" t="s">
        <v>126</v>
      </c>
      <c r="C30" s="6">
        <v>1010171786</v>
      </c>
      <c r="D30" s="6">
        <v>3102160889</v>
      </c>
      <c r="E30" s="12" t="s">
        <v>127</v>
      </c>
      <c r="F30" s="7">
        <v>46038</v>
      </c>
      <c r="G30" s="7">
        <v>46280</v>
      </c>
      <c r="H30" s="8" t="s">
        <v>128</v>
      </c>
      <c r="I30" s="6" t="s">
        <v>1229</v>
      </c>
      <c r="J30" s="6" t="s">
        <v>80</v>
      </c>
      <c r="K30" s="6" t="s">
        <v>30</v>
      </c>
      <c r="L30" s="6" t="s">
        <v>20</v>
      </c>
      <c r="M30" s="6" t="s">
        <v>129</v>
      </c>
      <c r="N30" s="6" t="s">
        <v>66</v>
      </c>
      <c r="O30" t="s">
        <v>125</v>
      </c>
      <c r="P30" s="25" t="s">
        <v>2112</v>
      </c>
    </row>
    <row r="31" spans="1:18" ht="14.4" x14ac:dyDescent="0.3">
      <c r="A31" s="16">
        <v>24</v>
      </c>
      <c r="B31" s="17" t="s">
        <v>130</v>
      </c>
      <c r="C31" s="6">
        <v>53006917</v>
      </c>
      <c r="D31" s="6">
        <v>3124527312</v>
      </c>
      <c r="E31" s="6" t="s">
        <v>20</v>
      </c>
      <c r="F31" s="7" t="s">
        <v>20</v>
      </c>
      <c r="G31" s="7" t="s">
        <v>20</v>
      </c>
      <c r="H31" s="8" t="s">
        <v>131</v>
      </c>
      <c r="I31" s="6" t="s">
        <v>1229</v>
      </c>
      <c r="J31" s="6" t="s">
        <v>115</v>
      </c>
      <c r="K31" s="6" t="s">
        <v>132</v>
      </c>
      <c r="L31" s="6" t="s">
        <v>133</v>
      </c>
      <c r="M31" s="6" t="s">
        <v>17</v>
      </c>
      <c r="N31" s="6" t="s">
        <v>134</v>
      </c>
      <c r="O31" t="s">
        <v>119</v>
      </c>
      <c r="P31" s="25" t="s">
        <v>2112</v>
      </c>
    </row>
    <row r="32" spans="1:18" ht="14.4" x14ac:dyDescent="0.3">
      <c r="A32" s="5">
        <v>25</v>
      </c>
      <c r="B32" s="17" t="s">
        <v>135</v>
      </c>
      <c r="C32" s="6">
        <v>1032472599</v>
      </c>
      <c r="D32" s="6">
        <v>3166351003</v>
      </c>
      <c r="E32" s="12" t="s">
        <v>136</v>
      </c>
      <c r="F32" s="7">
        <v>46031</v>
      </c>
      <c r="G32" s="7">
        <v>46387</v>
      </c>
      <c r="H32" s="8" t="s">
        <v>137</v>
      </c>
      <c r="I32" s="6" t="s">
        <v>1229</v>
      </c>
      <c r="J32" s="6" t="s">
        <v>115</v>
      </c>
      <c r="K32" s="6" t="s">
        <v>138</v>
      </c>
      <c r="L32" s="6" t="s">
        <v>139</v>
      </c>
      <c r="M32" s="6" t="s">
        <v>17</v>
      </c>
      <c r="N32" s="6" t="s">
        <v>140</v>
      </c>
      <c r="O32" t="s">
        <v>125</v>
      </c>
      <c r="P32" s="25" t="s">
        <v>2112</v>
      </c>
    </row>
    <row r="33" spans="1:18" ht="14.4" x14ac:dyDescent="0.3">
      <c r="A33" s="5">
        <v>26</v>
      </c>
      <c r="B33" s="17" t="s">
        <v>141</v>
      </c>
      <c r="C33" s="6">
        <v>1042417351</v>
      </c>
      <c r="D33" s="6">
        <v>3103832562</v>
      </c>
      <c r="E33" s="6" t="s">
        <v>20</v>
      </c>
      <c r="F33" s="7" t="s">
        <v>20</v>
      </c>
      <c r="G33" s="7" t="s">
        <v>20</v>
      </c>
      <c r="H33" s="8" t="s">
        <v>142</v>
      </c>
      <c r="I33" s="17" t="s">
        <v>2011</v>
      </c>
      <c r="J33" s="6" t="s">
        <v>143</v>
      </c>
      <c r="K33" s="6" t="s">
        <v>144</v>
      </c>
      <c r="L33" s="6" t="s">
        <v>145</v>
      </c>
      <c r="M33" s="6" t="s">
        <v>17</v>
      </c>
      <c r="N33" s="6" t="s">
        <v>146</v>
      </c>
      <c r="O33" t="s">
        <v>119</v>
      </c>
      <c r="P33" s="25" t="s">
        <v>2112</v>
      </c>
    </row>
    <row r="34" spans="1:18" ht="14.4" x14ac:dyDescent="0.3">
      <c r="A34" s="5">
        <v>27</v>
      </c>
      <c r="B34" s="17" t="s">
        <v>147</v>
      </c>
      <c r="C34" s="6">
        <v>52918998</v>
      </c>
      <c r="D34" s="6">
        <v>3118191247</v>
      </c>
      <c r="E34" s="12" t="s">
        <v>148</v>
      </c>
      <c r="F34" s="7">
        <v>46030</v>
      </c>
      <c r="G34" s="7">
        <v>46387</v>
      </c>
      <c r="H34" s="8" t="s">
        <v>149</v>
      </c>
      <c r="I34" s="6" t="s">
        <v>500</v>
      </c>
      <c r="J34" s="6" t="s">
        <v>115</v>
      </c>
      <c r="K34" s="6" t="s">
        <v>150</v>
      </c>
      <c r="L34" s="6" t="s">
        <v>151</v>
      </c>
      <c r="M34" s="6" t="s">
        <v>17</v>
      </c>
      <c r="N34" s="6" t="s">
        <v>60</v>
      </c>
      <c r="O34" t="s">
        <v>125</v>
      </c>
      <c r="P34" s="25" t="s">
        <v>2112</v>
      </c>
    </row>
    <row r="35" spans="1:18" ht="14.4" x14ac:dyDescent="0.3">
      <c r="A35" s="16">
        <v>28</v>
      </c>
      <c r="B35" s="17" t="s">
        <v>152</v>
      </c>
      <c r="C35" s="6">
        <v>1077086276</v>
      </c>
      <c r="D35" s="6">
        <v>3024069280</v>
      </c>
      <c r="E35" s="12" t="s">
        <v>153</v>
      </c>
      <c r="F35" s="7">
        <v>46035</v>
      </c>
      <c r="G35" s="7">
        <v>46387</v>
      </c>
      <c r="H35" s="8" t="s">
        <v>154</v>
      </c>
      <c r="I35" s="6" t="s">
        <v>500</v>
      </c>
      <c r="J35" s="6" t="s">
        <v>155</v>
      </c>
      <c r="K35" s="6" t="s">
        <v>156</v>
      </c>
      <c r="L35" s="6" t="s">
        <v>20</v>
      </c>
      <c r="M35" s="6" t="s">
        <v>129</v>
      </c>
      <c r="N35" s="6" t="s">
        <v>157</v>
      </c>
      <c r="O35" t="s">
        <v>125</v>
      </c>
      <c r="P35" s="25" t="s">
        <v>2112</v>
      </c>
    </row>
    <row r="36" spans="1:18" ht="14.4" x14ac:dyDescent="0.3">
      <c r="A36" s="5">
        <v>29</v>
      </c>
      <c r="B36" s="17" t="s">
        <v>158</v>
      </c>
      <c r="C36" s="17">
        <v>1018494285</v>
      </c>
      <c r="D36" s="17">
        <v>3143377910</v>
      </c>
      <c r="E36" s="17" t="s">
        <v>2102</v>
      </c>
      <c r="F36" s="18">
        <v>46040</v>
      </c>
      <c r="G36" s="18">
        <v>46130</v>
      </c>
      <c r="H36" s="8" t="s">
        <v>159</v>
      </c>
      <c r="I36" s="6" t="s">
        <v>201</v>
      </c>
      <c r="J36" s="6" t="s">
        <v>115</v>
      </c>
      <c r="K36" s="17" t="s">
        <v>50</v>
      </c>
      <c r="L36" s="17" t="s">
        <v>160</v>
      </c>
      <c r="M36" s="17" t="s">
        <v>17</v>
      </c>
      <c r="N36" s="17" t="s">
        <v>44</v>
      </c>
      <c r="O36" s="19" t="s">
        <v>125</v>
      </c>
      <c r="P36" s="21" t="s">
        <v>2098</v>
      </c>
      <c r="Q36" s="20"/>
      <c r="R36" s="20"/>
    </row>
    <row r="37" spans="1:18" ht="14.4" x14ac:dyDescent="0.3">
      <c r="A37" s="5">
        <v>30</v>
      </c>
      <c r="B37" s="17" t="s">
        <v>161</v>
      </c>
      <c r="C37" s="6">
        <v>1101754110</v>
      </c>
      <c r="D37" s="6">
        <v>3175339549</v>
      </c>
      <c r="E37" s="12" t="s">
        <v>162</v>
      </c>
      <c r="F37" s="7">
        <v>46029</v>
      </c>
      <c r="G37" s="7">
        <v>46387</v>
      </c>
      <c r="H37" s="8" t="s">
        <v>163</v>
      </c>
      <c r="I37" s="6" t="s">
        <v>1562</v>
      </c>
      <c r="J37" s="6" t="s">
        <v>143</v>
      </c>
      <c r="K37" s="6" t="s">
        <v>164</v>
      </c>
      <c r="L37" s="6" t="s">
        <v>165</v>
      </c>
      <c r="M37" s="6" t="s">
        <v>17</v>
      </c>
      <c r="N37" s="6" t="s">
        <v>166</v>
      </c>
      <c r="O37" t="s">
        <v>125</v>
      </c>
      <c r="P37" s="25" t="s">
        <v>2112</v>
      </c>
    </row>
    <row r="38" spans="1:18" ht="14.4" x14ac:dyDescent="0.3">
      <c r="A38" s="5">
        <v>31</v>
      </c>
      <c r="B38" s="17" t="s">
        <v>167</v>
      </c>
      <c r="C38" s="6">
        <v>1057593307</v>
      </c>
      <c r="D38" s="6">
        <v>3183881512</v>
      </c>
      <c r="E38" s="12" t="s">
        <v>168</v>
      </c>
      <c r="F38" s="7">
        <v>46031</v>
      </c>
      <c r="G38" s="7">
        <v>46387</v>
      </c>
      <c r="H38" s="8" t="s">
        <v>169</v>
      </c>
      <c r="I38" s="6" t="s">
        <v>1562</v>
      </c>
      <c r="J38" s="6" t="s">
        <v>106</v>
      </c>
      <c r="K38" s="6" t="s">
        <v>170</v>
      </c>
      <c r="L38" s="6" t="s">
        <v>171</v>
      </c>
      <c r="M38" s="6" t="s">
        <v>17</v>
      </c>
      <c r="N38" s="6" t="s">
        <v>24</v>
      </c>
      <c r="O38" t="s">
        <v>125</v>
      </c>
      <c r="P38" s="25" t="s">
        <v>2112</v>
      </c>
    </row>
    <row r="39" spans="1:18" ht="14.4" x14ac:dyDescent="0.3">
      <c r="A39" s="16">
        <v>32</v>
      </c>
      <c r="B39" s="17" t="s">
        <v>172</v>
      </c>
      <c r="C39" s="6">
        <v>9975124</v>
      </c>
      <c r="D39" s="6">
        <v>3164571547</v>
      </c>
      <c r="E39" s="6" t="s">
        <v>173</v>
      </c>
      <c r="F39" s="7">
        <v>46042</v>
      </c>
      <c r="G39" s="7">
        <v>46217</v>
      </c>
      <c r="H39" s="8" t="s">
        <v>174</v>
      </c>
      <c r="I39" s="6" t="s">
        <v>1353</v>
      </c>
      <c r="J39" s="6" t="s">
        <v>106</v>
      </c>
      <c r="K39" s="6" t="s">
        <v>175</v>
      </c>
      <c r="L39" s="6" t="s">
        <v>176</v>
      </c>
      <c r="M39" s="6" t="s">
        <v>17</v>
      </c>
      <c r="N39" s="6" t="s">
        <v>177</v>
      </c>
      <c r="O39" t="s">
        <v>125</v>
      </c>
      <c r="P39" s="25" t="s">
        <v>2112</v>
      </c>
    </row>
    <row r="40" spans="1:18" ht="14.4" x14ac:dyDescent="0.3">
      <c r="A40" s="5">
        <v>33</v>
      </c>
      <c r="B40" s="17" t="s">
        <v>178</v>
      </c>
      <c r="C40" s="6">
        <v>79910378</v>
      </c>
      <c r="D40" s="6">
        <v>3016460457</v>
      </c>
      <c r="E40" s="12" t="s">
        <v>179</v>
      </c>
      <c r="F40" s="7">
        <v>46028</v>
      </c>
      <c r="G40" s="7">
        <v>46387</v>
      </c>
      <c r="H40" s="8" t="s">
        <v>180</v>
      </c>
      <c r="I40" s="6" t="s">
        <v>1716</v>
      </c>
      <c r="J40" s="6" t="s">
        <v>143</v>
      </c>
      <c r="K40" s="6" t="s">
        <v>181</v>
      </c>
      <c r="L40" s="6" t="s">
        <v>182</v>
      </c>
      <c r="M40" s="6" t="s">
        <v>17</v>
      </c>
      <c r="N40" s="6" t="s">
        <v>60</v>
      </c>
      <c r="O40" t="s">
        <v>125</v>
      </c>
      <c r="P40" s="25" t="s">
        <v>2112</v>
      </c>
    </row>
    <row r="41" spans="1:18" ht="14.4" x14ac:dyDescent="0.3">
      <c r="A41" s="5">
        <v>34</v>
      </c>
      <c r="B41" s="17" t="s">
        <v>183</v>
      </c>
      <c r="C41" s="6">
        <v>1018402818</v>
      </c>
      <c r="D41" s="6">
        <v>3153923570</v>
      </c>
      <c r="E41" s="12" t="s">
        <v>184</v>
      </c>
      <c r="F41" s="7">
        <v>46029</v>
      </c>
      <c r="G41" s="7">
        <v>46362</v>
      </c>
      <c r="H41" s="8" t="s">
        <v>185</v>
      </c>
      <c r="I41" s="6" t="s">
        <v>2111</v>
      </c>
      <c r="J41" s="6" t="s">
        <v>115</v>
      </c>
      <c r="K41" s="6" t="s">
        <v>75</v>
      </c>
      <c r="L41" s="6" t="s">
        <v>186</v>
      </c>
      <c r="M41" s="6" t="s">
        <v>17</v>
      </c>
      <c r="N41" s="6" t="s">
        <v>187</v>
      </c>
      <c r="O41" t="s">
        <v>125</v>
      </c>
      <c r="P41" s="25" t="s">
        <v>2112</v>
      </c>
    </row>
    <row r="42" spans="1:18" ht="14.4" x14ac:dyDescent="0.3">
      <c r="A42" s="5">
        <v>35</v>
      </c>
      <c r="B42" s="17" t="s">
        <v>188</v>
      </c>
      <c r="C42" s="6">
        <v>1000830438</v>
      </c>
      <c r="D42" s="6">
        <v>3103224575</v>
      </c>
      <c r="E42" s="6" t="s">
        <v>20</v>
      </c>
      <c r="F42" s="7" t="s">
        <v>20</v>
      </c>
      <c r="G42" s="7" t="s">
        <v>20</v>
      </c>
      <c r="H42" s="8" t="s">
        <v>189</v>
      </c>
      <c r="I42" s="6" t="s">
        <v>742</v>
      </c>
      <c r="J42" s="6" t="s">
        <v>106</v>
      </c>
      <c r="K42" s="6" t="s">
        <v>190</v>
      </c>
      <c r="L42" s="6" t="s">
        <v>191</v>
      </c>
      <c r="M42" s="6" t="s">
        <v>17</v>
      </c>
      <c r="N42" s="6" t="s">
        <v>192</v>
      </c>
      <c r="O42" t="s">
        <v>1280</v>
      </c>
      <c r="P42" s="25" t="s">
        <v>2112</v>
      </c>
    </row>
    <row r="43" spans="1:18" ht="14.4" x14ac:dyDescent="0.3">
      <c r="A43" s="16">
        <v>36</v>
      </c>
      <c r="B43" s="17" t="s">
        <v>193</v>
      </c>
      <c r="C43" s="6">
        <v>65709742</v>
      </c>
      <c r="D43" s="6">
        <v>3045519277</v>
      </c>
      <c r="E43" s="6" t="s">
        <v>194</v>
      </c>
      <c r="F43" s="7">
        <v>46042</v>
      </c>
      <c r="G43" s="7">
        <v>46387</v>
      </c>
      <c r="H43" s="8" t="s">
        <v>195</v>
      </c>
      <c r="I43" s="6" t="s">
        <v>201</v>
      </c>
      <c r="J43" s="6" t="s">
        <v>115</v>
      </c>
      <c r="K43" s="6" t="s">
        <v>196</v>
      </c>
      <c r="L43" s="6" t="s">
        <v>197</v>
      </c>
      <c r="M43" s="6" t="s">
        <v>17</v>
      </c>
      <c r="N43" s="6" t="s">
        <v>18</v>
      </c>
      <c r="O43" t="s">
        <v>125</v>
      </c>
      <c r="P43" s="25" t="s">
        <v>2112</v>
      </c>
    </row>
    <row r="44" spans="1:18" ht="14.4" x14ac:dyDescent="0.3">
      <c r="A44" s="5">
        <v>37</v>
      </c>
      <c r="B44" s="17" t="s">
        <v>198</v>
      </c>
      <c r="C44" s="6">
        <v>7726196</v>
      </c>
      <c r="D44" s="6">
        <v>3112227613</v>
      </c>
      <c r="E44" s="12" t="s">
        <v>199</v>
      </c>
      <c r="F44" s="7">
        <v>46035</v>
      </c>
      <c r="G44" s="7">
        <v>46387</v>
      </c>
      <c r="H44" s="8" t="s">
        <v>200</v>
      </c>
      <c r="I44" s="6" t="s">
        <v>201</v>
      </c>
      <c r="J44" s="6" t="s">
        <v>115</v>
      </c>
      <c r="K44" s="6" t="s">
        <v>202</v>
      </c>
      <c r="L44" s="6" t="s">
        <v>203</v>
      </c>
      <c r="M44" s="6" t="s">
        <v>17</v>
      </c>
      <c r="N44" s="6" t="s">
        <v>60</v>
      </c>
      <c r="O44" t="s">
        <v>125</v>
      </c>
      <c r="P44" s="25" t="s">
        <v>2112</v>
      </c>
    </row>
    <row r="45" spans="1:18" ht="14.4" x14ac:dyDescent="0.3">
      <c r="A45" s="5">
        <v>38</v>
      </c>
      <c r="B45" s="17" t="s">
        <v>204</v>
      </c>
      <c r="C45" s="17">
        <v>40046195</v>
      </c>
      <c r="D45" s="17">
        <v>3002165953</v>
      </c>
      <c r="E45" s="23" t="s">
        <v>205</v>
      </c>
      <c r="F45" s="18">
        <v>46036</v>
      </c>
      <c r="G45" s="18">
        <v>46217</v>
      </c>
      <c r="H45" s="8" t="s">
        <v>206</v>
      </c>
      <c r="I45" s="17" t="s">
        <v>207</v>
      </c>
      <c r="J45" s="6" t="s">
        <v>143</v>
      </c>
      <c r="K45" s="17" t="s">
        <v>208</v>
      </c>
      <c r="L45" s="17" t="s">
        <v>209</v>
      </c>
      <c r="M45" s="17" t="s">
        <v>17</v>
      </c>
      <c r="N45" s="17" t="s">
        <v>210</v>
      </c>
      <c r="O45" s="19" t="s">
        <v>125</v>
      </c>
      <c r="P45" s="21" t="s">
        <v>2098</v>
      </c>
      <c r="Q45" s="20"/>
      <c r="R45" s="20"/>
    </row>
    <row r="46" spans="1:18" ht="14.4" x14ac:dyDescent="0.3">
      <c r="A46" s="5">
        <v>39</v>
      </c>
      <c r="B46" s="17" t="s">
        <v>211</v>
      </c>
      <c r="C46" s="6">
        <v>41939388</v>
      </c>
      <c r="D46" s="6">
        <v>3154453730</v>
      </c>
      <c r="E46" s="12" t="s">
        <v>212</v>
      </c>
      <c r="F46" s="7">
        <v>46031</v>
      </c>
      <c r="G46" s="7">
        <v>46387</v>
      </c>
      <c r="H46" s="8" t="s">
        <v>213</v>
      </c>
      <c r="I46" s="6" t="s">
        <v>201</v>
      </c>
      <c r="J46" s="6" t="s">
        <v>143</v>
      </c>
      <c r="K46" s="6" t="s">
        <v>214</v>
      </c>
      <c r="L46" s="6" t="s">
        <v>215</v>
      </c>
      <c r="M46" s="6" t="s">
        <v>17</v>
      </c>
      <c r="N46" s="6" t="s">
        <v>24</v>
      </c>
      <c r="O46" t="s">
        <v>125</v>
      </c>
      <c r="P46" s="25" t="s">
        <v>2112</v>
      </c>
    </row>
    <row r="47" spans="1:18" ht="14.4" x14ac:dyDescent="0.3">
      <c r="A47" s="16">
        <v>40</v>
      </c>
      <c r="B47" s="17" t="s">
        <v>216</v>
      </c>
      <c r="C47" s="6">
        <v>52212145</v>
      </c>
      <c r="D47" s="6">
        <v>3195138463</v>
      </c>
      <c r="E47" s="12" t="s">
        <v>217</v>
      </c>
      <c r="F47" s="7">
        <v>46038</v>
      </c>
      <c r="G47" s="7">
        <v>46386</v>
      </c>
      <c r="H47" s="8" t="s">
        <v>218</v>
      </c>
      <c r="I47" s="6" t="s">
        <v>201</v>
      </c>
      <c r="J47" s="6" t="s">
        <v>115</v>
      </c>
      <c r="K47" s="6" t="s">
        <v>219</v>
      </c>
      <c r="L47" s="6" t="s">
        <v>220</v>
      </c>
      <c r="M47" s="6" t="s">
        <v>17</v>
      </c>
      <c r="N47" s="6" t="s">
        <v>221</v>
      </c>
      <c r="O47" t="s">
        <v>125</v>
      </c>
      <c r="P47" s="25" t="s">
        <v>2112</v>
      </c>
    </row>
    <row r="48" spans="1:18" ht="14.4" x14ac:dyDescent="0.3">
      <c r="A48" s="5">
        <v>41</v>
      </c>
      <c r="B48" s="17" t="s">
        <v>222</v>
      </c>
      <c r="C48" s="6">
        <v>1010185998</v>
      </c>
      <c r="D48" s="6">
        <v>3208359808</v>
      </c>
      <c r="E48" s="12" t="s">
        <v>223</v>
      </c>
      <c r="F48" s="7">
        <v>46038</v>
      </c>
      <c r="G48" s="7">
        <v>46387</v>
      </c>
      <c r="H48" s="8" t="s">
        <v>224</v>
      </c>
      <c r="I48" s="6" t="s">
        <v>500</v>
      </c>
      <c r="J48" s="6" t="s">
        <v>115</v>
      </c>
      <c r="K48" s="6" t="s">
        <v>225</v>
      </c>
      <c r="L48" s="6" t="s">
        <v>226</v>
      </c>
      <c r="M48" s="6" t="s">
        <v>17</v>
      </c>
      <c r="N48" s="6" t="s">
        <v>60</v>
      </c>
      <c r="O48" t="s">
        <v>125</v>
      </c>
      <c r="P48" s="25" t="s">
        <v>2112</v>
      </c>
    </row>
    <row r="49" spans="1:18" ht="14.4" x14ac:dyDescent="0.3">
      <c r="A49" s="5">
        <v>42</v>
      </c>
      <c r="B49" s="17" t="s">
        <v>227</v>
      </c>
      <c r="C49" s="17">
        <v>1014191355</v>
      </c>
      <c r="D49" s="17">
        <v>3202239548</v>
      </c>
      <c r="E49" s="23" t="s">
        <v>228</v>
      </c>
      <c r="F49" s="18">
        <v>46035</v>
      </c>
      <c r="G49" s="18">
        <v>46247</v>
      </c>
      <c r="H49" s="8" t="s">
        <v>229</v>
      </c>
      <c r="I49" s="6" t="s">
        <v>1843</v>
      </c>
      <c r="J49" s="6" t="s">
        <v>143</v>
      </c>
      <c r="K49" s="17" t="s">
        <v>230</v>
      </c>
      <c r="L49" s="17" t="s">
        <v>231</v>
      </c>
      <c r="M49" s="17" t="s">
        <v>17</v>
      </c>
      <c r="N49" s="17" t="s">
        <v>232</v>
      </c>
      <c r="O49" s="19" t="s">
        <v>125</v>
      </c>
      <c r="P49" s="22" t="s">
        <v>2098</v>
      </c>
      <c r="Q49" s="20"/>
      <c r="R49" s="20"/>
    </row>
    <row r="50" spans="1:18" ht="14.4" x14ac:dyDescent="0.3">
      <c r="A50" s="5">
        <v>43</v>
      </c>
      <c r="B50" s="17" t="s">
        <v>233</v>
      </c>
      <c r="C50" s="6">
        <v>1030524007</v>
      </c>
      <c r="D50" s="6">
        <v>3203872487</v>
      </c>
      <c r="E50" s="12" t="s">
        <v>234</v>
      </c>
      <c r="F50" s="7">
        <v>46048</v>
      </c>
      <c r="G50" s="7">
        <v>46387</v>
      </c>
      <c r="H50" s="8" t="s">
        <v>235</v>
      </c>
      <c r="I50" s="17" t="s">
        <v>299</v>
      </c>
      <c r="J50" s="6" t="s">
        <v>106</v>
      </c>
      <c r="K50" s="6" t="s">
        <v>236</v>
      </c>
      <c r="L50" s="6" t="s">
        <v>237</v>
      </c>
      <c r="M50" s="6" t="s">
        <v>17</v>
      </c>
      <c r="N50" s="6" t="s">
        <v>238</v>
      </c>
      <c r="O50" t="s">
        <v>125</v>
      </c>
      <c r="P50" s="25" t="s">
        <v>2112</v>
      </c>
    </row>
    <row r="51" spans="1:18" ht="14.4" x14ac:dyDescent="0.3">
      <c r="A51" s="16">
        <v>44</v>
      </c>
      <c r="B51" s="17" t="s">
        <v>239</v>
      </c>
      <c r="C51" s="6">
        <v>79773343</v>
      </c>
      <c r="D51" s="6">
        <v>3007889782</v>
      </c>
      <c r="E51" s="6" t="s">
        <v>240</v>
      </c>
      <c r="F51" s="7">
        <v>46041</v>
      </c>
      <c r="G51" s="7">
        <v>46387</v>
      </c>
      <c r="H51" s="8" t="s">
        <v>241</v>
      </c>
      <c r="I51" s="6" t="s">
        <v>434</v>
      </c>
      <c r="J51" s="6" t="s">
        <v>115</v>
      </c>
      <c r="K51" s="6" t="s">
        <v>56</v>
      </c>
      <c r="L51" s="6" t="s">
        <v>242</v>
      </c>
      <c r="M51" s="6" t="s">
        <v>17</v>
      </c>
      <c r="N51" s="6" t="s">
        <v>34</v>
      </c>
      <c r="O51" t="s">
        <v>125</v>
      </c>
      <c r="P51" s="25" t="s">
        <v>2112</v>
      </c>
    </row>
    <row r="52" spans="1:18" ht="14.4" x14ac:dyDescent="0.3">
      <c r="A52" s="5">
        <v>45</v>
      </c>
      <c r="B52" s="17" t="s">
        <v>243</v>
      </c>
      <c r="C52" s="17">
        <v>11185678</v>
      </c>
      <c r="D52" s="17">
        <v>3204437547</v>
      </c>
      <c r="E52" s="23" t="s">
        <v>244</v>
      </c>
      <c r="F52" s="18">
        <v>46037</v>
      </c>
      <c r="G52" s="18">
        <v>46387</v>
      </c>
      <c r="H52" s="8" t="s">
        <v>245</v>
      </c>
      <c r="I52" s="6" t="s">
        <v>434</v>
      </c>
      <c r="J52" s="6" t="s">
        <v>115</v>
      </c>
      <c r="K52" s="17" t="s">
        <v>246</v>
      </c>
      <c r="L52" s="17" t="s">
        <v>247</v>
      </c>
      <c r="M52" s="17" t="s">
        <v>17</v>
      </c>
      <c r="N52" s="17" t="s">
        <v>248</v>
      </c>
      <c r="O52" s="19" t="s">
        <v>125</v>
      </c>
      <c r="P52" s="21" t="s">
        <v>2098</v>
      </c>
      <c r="Q52" s="20"/>
      <c r="R52" s="20"/>
    </row>
    <row r="53" spans="1:18" ht="14.4" x14ac:dyDescent="0.3">
      <c r="A53" s="5">
        <v>46</v>
      </c>
      <c r="B53" s="17" t="s">
        <v>249</v>
      </c>
      <c r="C53" s="6">
        <v>5292411</v>
      </c>
      <c r="D53" s="6">
        <v>3204777719</v>
      </c>
      <c r="E53" s="6" t="s">
        <v>250</v>
      </c>
      <c r="F53" s="7">
        <v>46036</v>
      </c>
      <c r="G53" s="7">
        <v>46387</v>
      </c>
      <c r="H53" s="8" t="s">
        <v>251</v>
      </c>
      <c r="I53" s="6" t="s">
        <v>201</v>
      </c>
      <c r="J53" s="6" t="s">
        <v>143</v>
      </c>
      <c r="K53" s="6" t="s">
        <v>64</v>
      </c>
      <c r="L53" s="6" t="s">
        <v>252</v>
      </c>
      <c r="M53" s="6" t="s">
        <v>253</v>
      </c>
      <c r="N53" s="6" t="s">
        <v>66</v>
      </c>
      <c r="O53" t="s">
        <v>125</v>
      </c>
      <c r="P53" s="25" t="s">
        <v>2112</v>
      </c>
    </row>
    <row r="54" spans="1:18" ht="14.4" x14ac:dyDescent="0.3">
      <c r="A54" s="5">
        <v>47</v>
      </c>
      <c r="B54" s="17" t="s">
        <v>254</v>
      </c>
      <c r="C54" s="6">
        <v>1010187540</v>
      </c>
      <c r="D54" s="6">
        <v>3118045214</v>
      </c>
      <c r="E54" s="6" t="s">
        <v>20</v>
      </c>
      <c r="F54" s="7" t="s">
        <v>20</v>
      </c>
      <c r="G54" s="7" t="s">
        <v>20</v>
      </c>
      <c r="H54" s="8" t="s">
        <v>255</v>
      </c>
      <c r="I54" s="6" t="s">
        <v>256</v>
      </c>
      <c r="J54" s="6" t="s">
        <v>115</v>
      </c>
      <c r="K54" s="6" t="s">
        <v>257</v>
      </c>
      <c r="L54" s="6" t="s">
        <v>258</v>
      </c>
      <c r="M54" s="6" t="s">
        <v>17</v>
      </c>
      <c r="N54" s="6" t="s">
        <v>259</v>
      </c>
      <c r="O54" t="s">
        <v>119</v>
      </c>
      <c r="P54" s="25" t="s">
        <v>2112</v>
      </c>
    </row>
    <row r="55" spans="1:18" ht="14.4" x14ac:dyDescent="0.3">
      <c r="A55" s="16">
        <v>48</v>
      </c>
      <c r="B55" s="17" t="s">
        <v>239</v>
      </c>
      <c r="C55" s="6">
        <v>79873343</v>
      </c>
      <c r="D55" s="6">
        <v>3007889782</v>
      </c>
      <c r="E55" s="6" t="s">
        <v>240</v>
      </c>
      <c r="F55" s="7">
        <v>46041</v>
      </c>
      <c r="G55" s="7">
        <v>46387</v>
      </c>
      <c r="H55" s="8" t="s">
        <v>260</v>
      </c>
      <c r="I55" s="6" t="s">
        <v>434</v>
      </c>
      <c r="J55" s="6" t="s">
        <v>106</v>
      </c>
      <c r="K55" s="6" t="s">
        <v>175</v>
      </c>
      <c r="L55" s="6" t="s">
        <v>261</v>
      </c>
      <c r="M55" s="6" t="s">
        <v>17</v>
      </c>
      <c r="N55" s="6" t="s">
        <v>60</v>
      </c>
      <c r="O55" t="s">
        <v>125</v>
      </c>
      <c r="P55" s="25" t="s">
        <v>2112</v>
      </c>
    </row>
    <row r="56" spans="1:18" ht="14.4" x14ac:dyDescent="0.3">
      <c r="A56" s="5">
        <v>49</v>
      </c>
      <c r="B56" s="17" t="s">
        <v>262</v>
      </c>
      <c r="C56" s="6">
        <v>79646925</v>
      </c>
      <c r="D56" s="6">
        <v>3005305868</v>
      </c>
      <c r="E56" s="12" t="s">
        <v>263</v>
      </c>
      <c r="F56" s="7">
        <v>46036</v>
      </c>
      <c r="G56" s="7">
        <v>46369</v>
      </c>
      <c r="H56" s="8" t="s">
        <v>264</v>
      </c>
      <c r="I56" s="6" t="s">
        <v>587</v>
      </c>
      <c r="J56" s="6" t="s">
        <v>143</v>
      </c>
      <c r="K56" s="6" t="s">
        <v>202</v>
      </c>
      <c r="L56" s="6" t="s">
        <v>265</v>
      </c>
      <c r="M56" s="6" t="s">
        <v>17</v>
      </c>
      <c r="N56" s="6" t="s">
        <v>266</v>
      </c>
      <c r="O56" t="s">
        <v>125</v>
      </c>
      <c r="P56" s="25" t="s">
        <v>2112</v>
      </c>
    </row>
    <row r="57" spans="1:18" ht="14.4" x14ac:dyDescent="0.3">
      <c r="A57" s="5">
        <v>50</v>
      </c>
      <c r="B57" s="17" t="s">
        <v>267</v>
      </c>
      <c r="C57" s="6">
        <v>35530221</v>
      </c>
      <c r="D57" s="6">
        <v>3172705684</v>
      </c>
      <c r="E57" s="6" t="s">
        <v>268</v>
      </c>
      <c r="F57" s="7">
        <v>46041</v>
      </c>
      <c r="G57" s="7">
        <v>46222</v>
      </c>
      <c r="H57" s="8" t="s">
        <v>269</v>
      </c>
      <c r="I57" s="6" t="s">
        <v>270</v>
      </c>
      <c r="J57" s="6" t="s">
        <v>143</v>
      </c>
      <c r="K57" s="6" t="s">
        <v>271</v>
      </c>
      <c r="L57" s="6" t="s">
        <v>272</v>
      </c>
      <c r="M57" s="6" t="s">
        <v>17</v>
      </c>
      <c r="N57" s="6" t="s">
        <v>177</v>
      </c>
      <c r="O57" t="s">
        <v>125</v>
      </c>
      <c r="P57" s="25" t="s">
        <v>2112</v>
      </c>
    </row>
    <row r="58" spans="1:18" ht="14.4" x14ac:dyDescent="0.3">
      <c r="A58" s="5">
        <v>51</v>
      </c>
      <c r="B58" s="17" t="s">
        <v>273</v>
      </c>
      <c r="C58" s="6">
        <v>52517697</v>
      </c>
      <c r="D58" s="6">
        <v>3104971210</v>
      </c>
      <c r="E58" s="12" t="s">
        <v>274</v>
      </c>
      <c r="F58" s="7">
        <v>46036</v>
      </c>
      <c r="G58" s="7">
        <v>46278</v>
      </c>
      <c r="H58" s="8" t="s">
        <v>275</v>
      </c>
      <c r="I58" s="6" t="s">
        <v>256</v>
      </c>
      <c r="J58" s="6" t="s">
        <v>115</v>
      </c>
      <c r="K58" s="6" t="s">
        <v>276</v>
      </c>
      <c r="L58" s="6" t="s">
        <v>277</v>
      </c>
      <c r="M58" s="6" t="s">
        <v>253</v>
      </c>
      <c r="N58" s="6" t="s">
        <v>44</v>
      </c>
      <c r="O58" t="s">
        <v>125</v>
      </c>
      <c r="P58" s="25" t="s">
        <v>2112</v>
      </c>
    </row>
    <row r="59" spans="1:18" ht="14.4" x14ac:dyDescent="0.3">
      <c r="A59" s="16">
        <v>52</v>
      </c>
      <c r="B59" s="17" t="s">
        <v>278</v>
      </c>
      <c r="C59" s="6">
        <v>10270105</v>
      </c>
      <c r="D59" s="6">
        <v>3002067716</v>
      </c>
      <c r="E59" s="6" t="s">
        <v>20</v>
      </c>
      <c r="F59" s="7" t="s">
        <v>20</v>
      </c>
      <c r="G59" s="7" t="s">
        <v>20</v>
      </c>
      <c r="H59" s="8" t="s">
        <v>279</v>
      </c>
      <c r="I59" s="6" t="s">
        <v>270</v>
      </c>
      <c r="J59" s="6" t="s">
        <v>143</v>
      </c>
      <c r="K59" s="6" t="s">
        <v>280</v>
      </c>
      <c r="L59" s="6" t="s">
        <v>281</v>
      </c>
      <c r="M59" s="6" t="s">
        <v>17</v>
      </c>
      <c r="N59" s="6" t="s">
        <v>66</v>
      </c>
      <c r="O59" t="s">
        <v>119</v>
      </c>
      <c r="P59" s="25" t="s">
        <v>2112</v>
      </c>
    </row>
    <row r="60" spans="1:18" ht="14.4" x14ac:dyDescent="0.3">
      <c r="A60" s="5">
        <v>53</v>
      </c>
      <c r="B60" s="17" t="s">
        <v>282</v>
      </c>
      <c r="C60" s="6">
        <v>52710323</v>
      </c>
      <c r="D60" s="6">
        <v>3133871937</v>
      </c>
      <c r="E60" s="12" t="s">
        <v>283</v>
      </c>
      <c r="F60" s="7">
        <v>46031</v>
      </c>
      <c r="G60" s="7">
        <v>46387</v>
      </c>
      <c r="H60" s="8" t="s">
        <v>284</v>
      </c>
      <c r="I60" s="6" t="s">
        <v>285</v>
      </c>
      <c r="J60" s="6" t="s">
        <v>143</v>
      </c>
      <c r="K60" s="6" t="s">
        <v>22</v>
      </c>
      <c r="L60" s="6" t="s">
        <v>286</v>
      </c>
      <c r="M60" s="6" t="s">
        <v>129</v>
      </c>
      <c r="N60" s="6" t="s">
        <v>166</v>
      </c>
      <c r="O60" t="s">
        <v>125</v>
      </c>
      <c r="P60" s="25" t="s">
        <v>2112</v>
      </c>
    </row>
    <row r="61" spans="1:18" ht="14.4" x14ac:dyDescent="0.3">
      <c r="A61" s="5">
        <v>54</v>
      </c>
      <c r="B61" s="17" t="s">
        <v>287</v>
      </c>
      <c r="C61" s="6">
        <v>79979675</v>
      </c>
      <c r="D61" s="6">
        <v>3004729310</v>
      </c>
      <c r="E61" s="6" t="s">
        <v>20</v>
      </c>
      <c r="F61" s="7" t="s">
        <v>20</v>
      </c>
      <c r="G61" s="7" t="s">
        <v>20</v>
      </c>
      <c r="H61" s="8" t="s">
        <v>288</v>
      </c>
      <c r="I61" s="6" t="s">
        <v>201</v>
      </c>
      <c r="J61" s="6" t="s">
        <v>143</v>
      </c>
      <c r="K61" s="6" t="s">
        <v>289</v>
      </c>
      <c r="L61" s="6" t="s">
        <v>290</v>
      </c>
      <c r="M61" s="6" t="s">
        <v>17</v>
      </c>
      <c r="N61" s="6" t="s">
        <v>66</v>
      </c>
      <c r="O61" t="s">
        <v>119</v>
      </c>
      <c r="P61" s="25" t="s">
        <v>2112</v>
      </c>
    </row>
    <row r="62" spans="1:18" ht="14.4" x14ac:dyDescent="0.3">
      <c r="A62" s="5">
        <v>55</v>
      </c>
      <c r="B62" s="17" t="s">
        <v>291</v>
      </c>
      <c r="C62" s="6">
        <v>52961000</v>
      </c>
      <c r="D62" s="6">
        <v>3223513584</v>
      </c>
      <c r="E62" s="12" t="s">
        <v>292</v>
      </c>
      <c r="F62" s="7">
        <v>46036</v>
      </c>
      <c r="G62" s="7">
        <v>46387</v>
      </c>
      <c r="H62" s="8" t="s">
        <v>293</v>
      </c>
      <c r="I62" s="6" t="s">
        <v>201</v>
      </c>
      <c r="J62" s="6" t="s">
        <v>115</v>
      </c>
      <c r="K62" s="6" t="s">
        <v>294</v>
      </c>
      <c r="L62" s="6" t="s">
        <v>295</v>
      </c>
      <c r="M62" s="6" t="s">
        <v>17</v>
      </c>
      <c r="N62" s="6" t="s">
        <v>60</v>
      </c>
      <c r="O62" t="s">
        <v>125</v>
      </c>
      <c r="P62" s="25" t="s">
        <v>2112</v>
      </c>
    </row>
    <row r="63" spans="1:18" ht="14.4" x14ac:dyDescent="0.3">
      <c r="A63" s="16">
        <v>56</v>
      </c>
      <c r="B63" s="17" t="s">
        <v>296</v>
      </c>
      <c r="C63" s="6">
        <v>1001192097</v>
      </c>
      <c r="D63" s="6">
        <v>3174248900</v>
      </c>
      <c r="E63" s="12" t="s">
        <v>297</v>
      </c>
      <c r="F63" s="7">
        <v>46030</v>
      </c>
      <c r="G63" s="7">
        <v>46211</v>
      </c>
      <c r="H63" s="8" t="s">
        <v>298</v>
      </c>
      <c r="I63" s="17" t="s">
        <v>299</v>
      </c>
      <c r="J63" s="6" t="s">
        <v>115</v>
      </c>
      <c r="K63" s="6" t="s">
        <v>64</v>
      </c>
      <c r="L63" s="6" t="s">
        <v>300</v>
      </c>
      <c r="M63" s="6" t="s">
        <v>253</v>
      </c>
      <c r="N63" s="6" t="s">
        <v>44</v>
      </c>
      <c r="O63" t="s">
        <v>125</v>
      </c>
      <c r="P63" s="25" t="s">
        <v>2112</v>
      </c>
    </row>
    <row r="64" spans="1:18" ht="14.4" x14ac:dyDescent="0.3">
      <c r="A64" s="5">
        <v>57</v>
      </c>
      <c r="B64" s="17" t="s">
        <v>301</v>
      </c>
      <c r="C64" s="6">
        <v>80084377</v>
      </c>
      <c r="D64" s="6">
        <v>3142180093</v>
      </c>
      <c r="E64" s="12" t="s">
        <v>302</v>
      </c>
      <c r="F64" s="7">
        <v>46030</v>
      </c>
      <c r="G64" s="7">
        <v>46387</v>
      </c>
      <c r="H64" s="8" t="s">
        <v>303</v>
      </c>
      <c r="I64" s="6" t="s">
        <v>201</v>
      </c>
      <c r="J64" s="6" t="s">
        <v>115</v>
      </c>
      <c r="K64" s="6" t="s">
        <v>304</v>
      </c>
      <c r="L64" s="6" t="s">
        <v>305</v>
      </c>
      <c r="M64" s="6" t="s">
        <v>129</v>
      </c>
      <c r="N64" s="6" t="s">
        <v>60</v>
      </c>
      <c r="O64" t="s">
        <v>125</v>
      </c>
      <c r="P64" s="25" t="s">
        <v>2112</v>
      </c>
    </row>
    <row r="65" spans="1:18" ht="14.4" x14ac:dyDescent="0.3">
      <c r="A65" s="5">
        <v>58</v>
      </c>
      <c r="B65" s="17" t="s">
        <v>306</v>
      </c>
      <c r="C65" s="6">
        <v>52057419</v>
      </c>
      <c r="D65" s="6">
        <v>3164533485</v>
      </c>
      <c r="E65" s="12" t="s">
        <v>307</v>
      </c>
      <c r="F65" s="7">
        <v>46030</v>
      </c>
      <c r="G65" s="7">
        <v>46387</v>
      </c>
      <c r="H65" s="8" t="s">
        <v>308</v>
      </c>
      <c r="I65" s="17" t="s">
        <v>299</v>
      </c>
      <c r="J65" s="6" t="s">
        <v>143</v>
      </c>
      <c r="K65" s="6" t="s">
        <v>309</v>
      </c>
      <c r="L65" s="6" t="s">
        <v>310</v>
      </c>
      <c r="M65" s="6" t="s">
        <v>253</v>
      </c>
      <c r="N65" s="6" t="s">
        <v>166</v>
      </c>
      <c r="O65" t="s">
        <v>125</v>
      </c>
      <c r="P65" s="25" t="s">
        <v>2112</v>
      </c>
    </row>
    <row r="66" spans="1:18" ht="14.4" x14ac:dyDescent="0.3">
      <c r="A66" s="5">
        <v>59</v>
      </c>
      <c r="B66" s="17" t="s">
        <v>311</v>
      </c>
      <c r="C66" s="6">
        <v>1010222727</v>
      </c>
      <c r="D66" s="6">
        <v>3212732590</v>
      </c>
      <c r="E66" s="12" t="s">
        <v>312</v>
      </c>
      <c r="F66" s="7">
        <v>46031</v>
      </c>
      <c r="G66" s="7">
        <v>46382</v>
      </c>
      <c r="H66" s="8" t="s">
        <v>313</v>
      </c>
      <c r="I66" s="6" t="s">
        <v>1562</v>
      </c>
      <c r="J66" s="6" t="s">
        <v>106</v>
      </c>
      <c r="K66" s="6" t="s">
        <v>314</v>
      </c>
      <c r="L66" s="6" t="s">
        <v>315</v>
      </c>
      <c r="M66" s="6" t="s">
        <v>17</v>
      </c>
      <c r="N66" s="6" t="s">
        <v>316</v>
      </c>
      <c r="O66" t="s">
        <v>125</v>
      </c>
      <c r="P66" s="25" t="s">
        <v>2112</v>
      </c>
    </row>
    <row r="67" spans="1:18" ht="14.4" x14ac:dyDescent="0.3">
      <c r="A67" s="16">
        <v>60</v>
      </c>
      <c r="B67" s="17" t="s">
        <v>317</v>
      </c>
      <c r="C67" s="17">
        <v>52831248</v>
      </c>
      <c r="D67" s="17">
        <v>3044142502</v>
      </c>
      <c r="E67" s="23" t="s">
        <v>318</v>
      </c>
      <c r="F67" s="18">
        <v>46035</v>
      </c>
      <c r="G67" s="18">
        <v>46215</v>
      </c>
      <c r="H67" s="8" t="s">
        <v>319</v>
      </c>
      <c r="I67" s="17" t="s">
        <v>1041</v>
      </c>
      <c r="J67" s="6" t="s">
        <v>115</v>
      </c>
      <c r="K67" s="17" t="s">
        <v>320</v>
      </c>
      <c r="L67" s="17" t="s">
        <v>321</v>
      </c>
      <c r="M67" s="17" t="s">
        <v>17</v>
      </c>
      <c r="N67" s="17" t="s">
        <v>248</v>
      </c>
      <c r="O67" s="19" t="s">
        <v>125</v>
      </c>
      <c r="P67" s="22" t="s">
        <v>2098</v>
      </c>
      <c r="Q67" s="20"/>
      <c r="R67" s="20"/>
    </row>
    <row r="68" spans="1:18" ht="14.4" x14ac:dyDescent="0.3">
      <c r="A68" s="5">
        <v>61</v>
      </c>
      <c r="B68" s="17" t="s">
        <v>322</v>
      </c>
      <c r="C68" s="6">
        <v>52725553</v>
      </c>
      <c r="D68" s="6">
        <v>3004771471</v>
      </c>
      <c r="E68" s="12" t="s">
        <v>323</v>
      </c>
      <c r="F68" s="7">
        <v>46030</v>
      </c>
      <c r="G68" s="7">
        <v>46387</v>
      </c>
      <c r="H68" s="8" t="s">
        <v>324</v>
      </c>
      <c r="I68" s="6" t="s">
        <v>325</v>
      </c>
      <c r="J68" s="6" t="s">
        <v>115</v>
      </c>
      <c r="K68" s="6" t="s">
        <v>123</v>
      </c>
      <c r="L68" s="6" t="s">
        <v>326</v>
      </c>
      <c r="M68" s="6" t="s">
        <v>17</v>
      </c>
      <c r="N68" s="6" t="s">
        <v>24</v>
      </c>
      <c r="O68" t="s">
        <v>125</v>
      </c>
      <c r="P68" s="25" t="s">
        <v>2112</v>
      </c>
    </row>
    <row r="69" spans="1:18" ht="14.4" x14ac:dyDescent="0.3">
      <c r="A69" s="5">
        <v>62</v>
      </c>
      <c r="B69" s="17" t="s">
        <v>327</v>
      </c>
      <c r="C69" s="6">
        <v>71761674</v>
      </c>
      <c r="D69" s="6">
        <v>3212042506</v>
      </c>
      <c r="E69" s="6" t="s">
        <v>20</v>
      </c>
      <c r="F69" s="7" t="s">
        <v>20</v>
      </c>
      <c r="G69" s="7" t="s">
        <v>20</v>
      </c>
      <c r="H69" s="8" t="s">
        <v>328</v>
      </c>
      <c r="I69" s="6" t="s">
        <v>1229</v>
      </c>
      <c r="J69" s="6" t="s">
        <v>115</v>
      </c>
      <c r="K69" s="6" t="s">
        <v>276</v>
      </c>
      <c r="L69" s="6" t="s">
        <v>329</v>
      </c>
      <c r="M69" s="6" t="s">
        <v>253</v>
      </c>
      <c r="N69" s="6" t="s">
        <v>330</v>
      </c>
      <c r="O69" t="s">
        <v>119</v>
      </c>
      <c r="P69" s="25" t="s">
        <v>2112</v>
      </c>
    </row>
    <row r="70" spans="1:18" ht="14.4" x14ac:dyDescent="0.3">
      <c r="A70" s="5">
        <v>63</v>
      </c>
      <c r="B70" s="17" t="s">
        <v>331</v>
      </c>
      <c r="C70" s="17">
        <v>1090334186</v>
      </c>
      <c r="D70" s="17">
        <v>3202513080</v>
      </c>
      <c r="E70" s="23" t="s">
        <v>332</v>
      </c>
      <c r="F70" s="18">
        <v>46031</v>
      </c>
      <c r="G70" s="18">
        <v>46211</v>
      </c>
      <c r="H70" s="8" t="s">
        <v>333</v>
      </c>
      <c r="I70" s="17" t="s">
        <v>207</v>
      </c>
      <c r="J70" s="6" t="s">
        <v>115</v>
      </c>
      <c r="K70" s="17" t="s">
        <v>58</v>
      </c>
      <c r="L70" s="17" t="s">
        <v>334</v>
      </c>
      <c r="M70" s="17" t="s">
        <v>17</v>
      </c>
      <c r="N70" s="17" t="s">
        <v>259</v>
      </c>
      <c r="O70" s="19" t="s">
        <v>125</v>
      </c>
      <c r="P70" s="21" t="s">
        <v>2098</v>
      </c>
      <c r="Q70" s="20"/>
      <c r="R70" s="20"/>
    </row>
    <row r="71" spans="1:18" ht="14.4" x14ac:dyDescent="0.3">
      <c r="A71" s="16">
        <v>64</v>
      </c>
      <c r="B71" s="17" t="s">
        <v>335</v>
      </c>
      <c r="C71" s="6">
        <v>79383437</v>
      </c>
      <c r="D71" s="6">
        <v>3156440350</v>
      </c>
      <c r="E71" s="6" t="s">
        <v>20</v>
      </c>
      <c r="F71" s="7" t="s">
        <v>20</v>
      </c>
      <c r="G71" s="7" t="s">
        <v>20</v>
      </c>
      <c r="H71" s="8" t="s">
        <v>336</v>
      </c>
      <c r="I71" s="6" t="s">
        <v>325</v>
      </c>
      <c r="J71" s="6" t="s">
        <v>143</v>
      </c>
      <c r="K71" s="6" t="s">
        <v>337</v>
      </c>
      <c r="L71" s="6" t="s">
        <v>338</v>
      </c>
      <c r="M71" s="6" t="s">
        <v>17</v>
      </c>
      <c r="N71" s="6" t="s">
        <v>339</v>
      </c>
      <c r="O71" t="s">
        <v>119</v>
      </c>
      <c r="P71" s="25" t="s">
        <v>2112</v>
      </c>
    </row>
    <row r="72" spans="1:18" ht="14.4" x14ac:dyDescent="0.3">
      <c r="A72" s="5">
        <v>65</v>
      </c>
      <c r="B72" s="17" t="s">
        <v>340</v>
      </c>
      <c r="C72" s="6">
        <v>1010244782</v>
      </c>
      <c r="D72" s="6">
        <v>3196717980</v>
      </c>
      <c r="E72" s="12" t="s">
        <v>341</v>
      </c>
      <c r="F72" s="7">
        <v>46038</v>
      </c>
      <c r="G72" s="7">
        <v>46281</v>
      </c>
      <c r="H72" s="8" t="s">
        <v>342</v>
      </c>
      <c r="I72" s="6" t="s">
        <v>325</v>
      </c>
      <c r="J72" s="6" t="s">
        <v>115</v>
      </c>
      <c r="K72" s="6" t="s">
        <v>343</v>
      </c>
      <c r="L72" s="6" t="s">
        <v>344</v>
      </c>
      <c r="M72" s="6" t="s">
        <v>17</v>
      </c>
      <c r="N72" s="6" t="s">
        <v>18</v>
      </c>
      <c r="O72" t="s">
        <v>125</v>
      </c>
      <c r="P72" s="25" t="s">
        <v>2112</v>
      </c>
    </row>
    <row r="73" spans="1:18" ht="14.4" x14ac:dyDescent="0.3">
      <c r="A73" s="5">
        <v>66</v>
      </c>
      <c r="B73" s="17" t="s">
        <v>345</v>
      </c>
      <c r="C73" s="6">
        <v>1020767847</v>
      </c>
      <c r="D73" s="6">
        <v>3213712008</v>
      </c>
      <c r="E73" s="12" t="s">
        <v>346</v>
      </c>
      <c r="F73" s="7">
        <v>46051</v>
      </c>
      <c r="G73" s="7">
        <v>46387</v>
      </c>
      <c r="H73" s="8" t="s">
        <v>347</v>
      </c>
      <c r="I73" s="6" t="s">
        <v>325</v>
      </c>
      <c r="J73" s="6" t="s">
        <v>143</v>
      </c>
      <c r="K73" s="6" t="s">
        <v>348</v>
      </c>
      <c r="L73" s="6" t="s">
        <v>349</v>
      </c>
      <c r="M73" s="6" t="s">
        <v>253</v>
      </c>
      <c r="N73" s="6" t="s">
        <v>350</v>
      </c>
      <c r="O73" t="s">
        <v>125</v>
      </c>
      <c r="P73" s="25" t="s">
        <v>2112</v>
      </c>
    </row>
    <row r="74" spans="1:18" ht="14.4" x14ac:dyDescent="0.3">
      <c r="A74" s="5">
        <v>67</v>
      </c>
      <c r="B74" s="17" t="s">
        <v>351</v>
      </c>
      <c r="C74" s="6">
        <v>80850767</v>
      </c>
      <c r="D74" s="6">
        <v>3004400752</v>
      </c>
      <c r="E74" s="12" t="s">
        <v>352</v>
      </c>
      <c r="F74" s="7">
        <v>46044</v>
      </c>
      <c r="G74" s="7">
        <v>46372</v>
      </c>
      <c r="H74" s="8" t="s">
        <v>353</v>
      </c>
      <c r="I74" s="6" t="s">
        <v>2109</v>
      </c>
      <c r="J74" s="6" t="s">
        <v>143</v>
      </c>
      <c r="K74" s="6" t="s">
        <v>354</v>
      </c>
      <c r="L74" s="6" t="s">
        <v>355</v>
      </c>
      <c r="M74" s="6" t="s">
        <v>17</v>
      </c>
      <c r="N74" s="6" t="s">
        <v>60</v>
      </c>
      <c r="O74" t="s">
        <v>125</v>
      </c>
      <c r="P74" s="25" t="s">
        <v>2112</v>
      </c>
    </row>
    <row r="75" spans="1:18" ht="14.4" x14ac:dyDescent="0.3">
      <c r="A75" s="16">
        <v>68</v>
      </c>
      <c r="B75" s="17" t="s">
        <v>356</v>
      </c>
      <c r="C75" s="6">
        <v>15173420</v>
      </c>
      <c r="D75" s="6">
        <v>3114785383</v>
      </c>
      <c r="E75" s="12" t="s">
        <v>357</v>
      </c>
      <c r="F75" s="7">
        <v>46048</v>
      </c>
      <c r="G75" s="7">
        <v>46387</v>
      </c>
      <c r="H75" s="8" t="s">
        <v>358</v>
      </c>
      <c r="I75" s="6" t="s">
        <v>325</v>
      </c>
      <c r="J75" s="6" t="s">
        <v>143</v>
      </c>
      <c r="K75" s="6" t="s">
        <v>64</v>
      </c>
      <c r="L75" s="6" t="s">
        <v>359</v>
      </c>
      <c r="M75" s="6" t="s">
        <v>17</v>
      </c>
      <c r="N75" s="6" t="s">
        <v>60</v>
      </c>
      <c r="O75" t="s">
        <v>125</v>
      </c>
      <c r="P75" s="25" t="s">
        <v>2112</v>
      </c>
    </row>
    <row r="76" spans="1:18" ht="14.4" x14ac:dyDescent="0.3">
      <c r="A76" s="5">
        <v>69</v>
      </c>
      <c r="B76" s="17" t="s">
        <v>360</v>
      </c>
      <c r="C76" s="6">
        <v>52547327</v>
      </c>
      <c r="D76" s="6">
        <v>3158496892</v>
      </c>
      <c r="E76" s="12" t="s">
        <v>361</v>
      </c>
      <c r="F76" s="7">
        <v>46037</v>
      </c>
      <c r="G76" s="7">
        <v>46387</v>
      </c>
      <c r="H76" s="8" t="s">
        <v>362</v>
      </c>
      <c r="I76" s="6" t="s">
        <v>325</v>
      </c>
      <c r="J76" s="6" t="s">
        <v>115</v>
      </c>
      <c r="K76" s="6" t="s">
        <v>363</v>
      </c>
      <c r="L76" s="6" t="s">
        <v>364</v>
      </c>
      <c r="M76" s="6" t="s">
        <v>253</v>
      </c>
      <c r="N76" s="6" t="s">
        <v>365</v>
      </c>
      <c r="O76" t="s">
        <v>125</v>
      </c>
      <c r="P76" s="25" t="s">
        <v>2112</v>
      </c>
    </row>
    <row r="77" spans="1:18" ht="14.4" x14ac:dyDescent="0.3">
      <c r="A77" s="5">
        <v>70</v>
      </c>
      <c r="B77" s="17" t="s">
        <v>366</v>
      </c>
      <c r="C77" s="6">
        <v>52259108</v>
      </c>
      <c r="D77" s="6">
        <v>3124472917</v>
      </c>
      <c r="E77" s="12" t="s">
        <v>367</v>
      </c>
      <c r="F77" s="7">
        <v>46041</v>
      </c>
      <c r="G77" s="7">
        <v>46387</v>
      </c>
      <c r="H77" s="8" t="s">
        <v>368</v>
      </c>
      <c r="I77" s="6" t="s">
        <v>325</v>
      </c>
      <c r="J77" s="6" t="s">
        <v>115</v>
      </c>
      <c r="K77" s="6" t="s">
        <v>343</v>
      </c>
      <c r="L77" s="6" t="s">
        <v>369</v>
      </c>
      <c r="M77" s="6" t="s">
        <v>17</v>
      </c>
      <c r="N77" s="6" t="s">
        <v>24</v>
      </c>
      <c r="O77" t="s">
        <v>125</v>
      </c>
      <c r="P77" s="25" t="s">
        <v>2112</v>
      </c>
    </row>
    <row r="78" spans="1:18" ht="14.4" x14ac:dyDescent="0.3">
      <c r="A78" s="5">
        <v>71</v>
      </c>
      <c r="B78" s="17" t="s">
        <v>370</v>
      </c>
      <c r="C78" s="6">
        <v>1017140531</v>
      </c>
      <c r="D78" s="6">
        <v>3006972526</v>
      </c>
      <c r="E78" s="12" t="s">
        <v>371</v>
      </c>
      <c r="F78" s="7">
        <v>46035</v>
      </c>
      <c r="G78" s="7">
        <v>46387</v>
      </c>
      <c r="H78" s="8" t="s">
        <v>372</v>
      </c>
      <c r="I78" s="6" t="s">
        <v>325</v>
      </c>
      <c r="J78" s="6" t="s">
        <v>106</v>
      </c>
      <c r="K78" s="6" t="s">
        <v>132</v>
      </c>
      <c r="L78" s="6" t="s">
        <v>373</v>
      </c>
      <c r="M78" s="6" t="s">
        <v>17</v>
      </c>
      <c r="N78" s="6" t="s">
        <v>374</v>
      </c>
      <c r="O78" t="s">
        <v>125</v>
      </c>
      <c r="P78" s="25" t="s">
        <v>2112</v>
      </c>
    </row>
    <row r="79" spans="1:18" ht="14.4" x14ac:dyDescent="0.3">
      <c r="A79" s="16">
        <v>72</v>
      </c>
      <c r="B79" s="17" t="s">
        <v>375</v>
      </c>
      <c r="C79" s="6">
        <v>1014230598</v>
      </c>
      <c r="D79" s="6">
        <v>3114873933</v>
      </c>
      <c r="E79" s="12" t="s">
        <v>376</v>
      </c>
      <c r="F79" s="7">
        <v>46038</v>
      </c>
      <c r="G79" s="7">
        <v>46387</v>
      </c>
      <c r="H79" s="8" t="s">
        <v>377</v>
      </c>
      <c r="I79" s="6" t="s">
        <v>325</v>
      </c>
      <c r="J79" s="6" t="s">
        <v>143</v>
      </c>
      <c r="K79" s="6" t="s">
        <v>164</v>
      </c>
      <c r="L79" s="6" t="s">
        <v>378</v>
      </c>
      <c r="M79" s="6" t="s">
        <v>17</v>
      </c>
      <c r="N79" s="6" t="s">
        <v>66</v>
      </c>
      <c r="O79" t="s">
        <v>125</v>
      </c>
      <c r="P79" s="25" t="s">
        <v>2112</v>
      </c>
    </row>
    <row r="80" spans="1:18" ht="14.4" x14ac:dyDescent="0.3">
      <c r="A80" s="5">
        <v>73</v>
      </c>
      <c r="B80" s="17" t="s">
        <v>379</v>
      </c>
      <c r="C80" s="6">
        <v>52985421</v>
      </c>
      <c r="D80" s="6">
        <v>3004085894</v>
      </c>
      <c r="E80" s="12" t="s">
        <v>380</v>
      </c>
      <c r="F80" s="7">
        <v>46050</v>
      </c>
      <c r="G80" s="7">
        <v>46387</v>
      </c>
      <c r="H80" s="8" t="s">
        <v>381</v>
      </c>
      <c r="I80" s="6" t="s">
        <v>325</v>
      </c>
      <c r="J80" s="6" t="s">
        <v>80</v>
      </c>
      <c r="K80" s="6" t="s">
        <v>382</v>
      </c>
      <c r="L80" s="6" t="s">
        <v>20</v>
      </c>
      <c r="M80" s="6" t="s">
        <v>129</v>
      </c>
      <c r="N80" s="6" t="s">
        <v>383</v>
      </c>
      <c r="O80" t="s">
        <v>125</v>
      </c>
      <c r="P80" s="25" t="s">
        <v>2112</v>
      </c>
    </row>
    <row r="81" spans="1:18" ht="14.4" x14ac:dyDescent="0.3">
      <c r="A81" s="5">
        <v>74</v>
      </c>
      <c r="B81" s="17" t="s">
        <v>384</v>
      </c>
      <c r="C81" s="6">
        <v>52825005</v>
      </c>
      <c r="D81" s="6">
        <v>3103237333</v>
      </c>
      <c r="E81" s="12" t="s">
        <v>385</v>
      </c>
      <c r="F81" s="7">
        <v>46048</v>
      </c>
      <c r="G81" s="7">
        <v>46387</v>
      </c>
      <c r="H81" s="8" t="s">
        <v>386</v>
      </c>
      <c r="I81" s="6" t="s">
        <v>325</v>
      </c>
      <c r="J81" s="6" t="s">
        <v>143</v>
      </c>
      <c r="K81" s="6" t="s">
        <v>387</v>
      </c>
      <c r="L81" s="6" t="s">
        <v>388</v>
      </c>
      <c r="M81" s="6" t="s">
        <v>17</v>
      </c>
      <c r="N81" s="6" t="s">
        <v>389</v>
      </c>
      <c r="O81" t="s">
        <v>125</v>
      </c>
      <c r="P81" s="25" t="s">
        <v>2112</v>
      </c>
    </row>
    <row r="82" spans="1:18" ht="14.4" x14ac:dyDescent="0.3">
      <c r="A82" s="5">
        <v>75</v>
      </c>
      <c r="B82" s="17" t="s">
        <v>390</v>
      </c>
      <c r="C82" s="6">
        <v>52387578</v>
      </c>
      <c r="D82" s="6">
        <v>3208638990</v>
      </c>
      <c r="E82" s="12" t="s">
        <v>391</v>
      </c>
      <c r="F82" s="7">
        <v>46035</v>
      </c>
      <c r="G82" s="7">
        <v>46387</v>
      </c>
      <c r="H82" s="8" t="s">
        <v>392</v>
      </c>
      <c r="I82" s="6" t="s">
        <v>325</v>
      </c>
      <c r="J82" s="6" t="s">
        <v>115</v>
      </c>
      <c r="K82" s="6" t="s">
        <v>393</v>
      </c>
      <c r="L82" s="6" t="s">
        <v>394</v>
      </c>
      <c r="M82" s="6" t="s">
        <v>17</v>
      </c>
      <c r="N82" s="6" t="s">
        <v>18</v>
      </c>
      <c r="O82" t="s">
        <v>125</v>
      </c>
      <c r="P82" s="25" t="s">
        <v>2112</v>
      </c>
    </row>
    <row r="83" spans="1:18" ht="14.4" x14ac:dyDescent="0.3">
      <c r="A83" s="16">
        <v>76</v>
      </c>
      <c r="B83" s="17" t="s">
        <v>395</v>
      </c>
      <c r="C83" s="6">
        <v>80136470</v>
      </c>
      <c r="D83" s="6">
        <v>3008532732</v>
      </c>
      <c r="E83" s="12" t="s">
        <v>396</v>
      </c>
      <c r="F83" s="7">
        <v>46041</v>
      </c>
      <c r="G83" s="7">
        <v>46387</v>
      </c>
      <c r="H83" s="8" t="s">
        <v>397</v>
      </c>
      <c r="I83" s="6" t="s">
        <v>500</v>
      </c>
      <c r="J83" s="6" t="s">
        <v>115</v>
      </c>
      <c r="K83" s="6" t="s">
        <v>398</v>
      </c>
      <c r="L83" s="6" t="s">
        <v>399</v>
      </c>
      <c r="M83" s="6" t="s">
        <v>17</v>
      </c>
      <c r="N83" s="6" t="s">
        <v>60</v>
      </c>
      <c r="O83" t="s">
        <v>125</v>
      </c>
      <c r="P83" s="25" t="s">
        <v>2112</v>
      </c>
    </row>
    <row r="84" spans="1:18" ht="14.4" x14ac:dyDescent="0.3">
      <c r="A84" s="5">
        <v>77</v>
      </c>
      <c r="B84" s="17" t="s">
        <v>400</v>
      </c>
      <c r="C84" s="6">
        <v>1032433866</v>
      </c>
      <c r="D84" s="6">
        <v>3118221968</v>
      </c>
      <c r="E84" s="12" t="s">
        <v>401</v>
      </c>
      <c r="F84" s="7">
        <v>46035</v>
      </c>
      <c r="G84" s="7">
        <v>46387</v>
      </c>
      <c r="H84" s="8" t="s">
        <v>402</v>
      </c>
      <c r="I84" s="17" t="s">
        <v>1667</v>
      </c>
      <c r="J84" s="6" t="s">
        <v>106</v>
      </c>
      <c r="K84" s="6" t="s">
        <v>403</v>
      </c>
      <c r="L84" s="6" t="s">
        <v>404</v>
      </c>
      <c r="M84" s="6" t="s">
        <v>17</v>
      </c>
      <c r="N84" s="6" t="s">
        <v>38</v>
      </c>
      <c r="O84" t="s">
        <v>125</v>
      </c>
      <c r="P84" s="25" t="s">
        <v>2112</v>
      </c>
    </row>
    <row r="85" spans="1:18" ht="14.4" x14ac:dyDescent="0.3">
      <c r="A85" s="5">
        <v>78</v>
      </c>
      <c r="B85" s="17" t="s">
        <v>405</v>
      </c>
      <c r="C85" s="6">
        <v>1014255328</v>
      </c>
      <c r="D85" s="6">
        <v>3013244204</v>
      </c>
      <c r="E85" s="12" t="s">
        <v>406</v>
      </c>
      <c r="F85" s="7">
        <v>46035</v>
      </c>
      <c r="G85" s="7">
        <v>46370</v>
      </c>
      <c r="H85" s="8" t="s">
        <v>407</v>
      </c>
      <c r="I85" s="6" t="s">
        <v>2111</v>
      </c>
      <c r="J85" s="6" t="s">
        <v>155</v>
      </c>
      <c r="K85" s="6" t="s">
        <v>408</v>
      </c>
      <c r="L85" s="6" t="s">
        <v>409</v>
      </c>
      <c r="M85" s="6" t="s">
        <v>17</v>
      </c>
      <c r="N85" s="6" t="s">
        <v>18</v>
      </c>
      <c r="O85" t="s">
        <v>125</v>
      </c>
      <c r="P85" s="25" t="s">
        <v>2112</v>
      </c>
    </row>
    <row r="86" spans="1:18" ht="14.4" x14ac:dyDescent="0.3">
      <c r="A86" s="5">
        <v>79</v>
      </c>
      <c r="B86" s="17" t="s">
        <v>410</v>
      </c>
      <c r="C86" s="17">
        <v>1106892760</v>
      </c>
      <c r="D86" s="17">
        <v>3015168315</v>
      </c>
      <c r="E86" s="23" t="s">
        <v>411</v>
      </c>
      <c r="F86" s="18">
        <v>46031</v>
      </c>
      <c r="G86" s="18">
        <v>46387</v>
      </c>
      <c r="H86" s="8" t="s">
        <v>412</v>
      </c>
      <c r="I86" s="17" t="s">
        <v>1667</v>
      </c>
      <c r="J86" s="6" t="s">
        <v>115</v>
      </c>
      <c r="K86" s="17" t="s">
        <v>363</v>
      </c>
      <c r="L86" s="17" t="s">
        <v>413</v>
      </c>
      <c r="M86" s="17" t="s">
        <v>17</v>
      </c>
      <c r="N86" s="17" t="s">
        <v>60</v>
      </c>
      <c r="O86" s="19" t="s">
        <v>125</v>
      </c>
      <c r="P86" s="21" t="s">
        <v>2098</v>
      </c>
      <c r="Q86" s="20"/>
      <c r="R86" s="20"/>
    </row>
    <row r="87" spans="1:18" ht="14.4" x14ac:dyDescent="0.3">
      <c r="A87" s="16">
        <v>80</v>
      </c>
      <c r="B87" s="17" t="s">
        <v>414</v>
      </c>
      <c r="C87" s="6">
        <v>91238271</v>
      </c>
      <c r="D87" s="6">
        <v>3002000265</v>
      </c>
      <c r="E87" s="12" t="s">
        <v>415</v>
      </c>
      <c r="F87" s="7">
        <v>46031</v>
      </c>
      <c r="G87" s="7">
        <v>46387</v>
      </c>
      <c r="H87" s="8" t="s">
        <v>416</v>
      </c>
      <c r="I87" s="17" t="s">
        <v>1667</v>
      </c>
      <c r="J87" s="6" t="s">
        <v>143</v>
      </c>
      <c r="K87" s="6" t="s">
        <v>75</v>
      </c>
      <c r="L87" s="6" t="s">
        <v>417</v>
      </c>
      <c r="M87" s="6" t="s">
        <v>253</v>
      </c>
      <c r="N87" s="6" t="s">
        <v>134</v>
      </c>
      <c r="O87" t="s">
        <v>125</v>
      </c>
      <c r="P87" s="25" t="s">
        <v>2112</v>
      </c>
    </row>
    <row r="88" spans="1:18" ht="14.4" x14ac:dyDescent="0.3">
      <c r="A88" s="5">
        <v>81</v>
      </c>
      <c r="B88" s="17" t="s">
        <v>418</v>
      </c>
      <c r="C88" s="6">
        <v>79466477</v>
      </c>
      <c r="D88" s="6">
        <v>3192525405</v>
      </c>
      <c r="E88" s="12" t="s">
        <v>419</v>
      </c>
      <c r="F88" s="7">
        <v>46048</v>
      </c>
      <c r="G88" s="7">
        <v>46290</v>
      </c>
      <c r="H88" s="8" t="s">
        <v>420</v>
      </c>
      <c r="I88" s="6" t="s">
        <v>325</v>
      </c>
      <c r="J88" s="6" t="s">
        <v>80</v>
      </c>
      <c r="K88" s="6" t="s">
        <v>421</v>
      </c>
      <c r="L88" s="6" t="s">
        <v>422</v>
      </c>
      <c r="M88" s="6" t="s">
        <v>129</v>
      </c>
      <c r="N88" s="6" t="s">
        <v>60</v>
      </c>
      <c r="O88" t="s">
        <v>125</v>
      </c>
      <c r="P88" s="25" t="s">
        <v>2112</v>
      </c>
    </row>
    <row r="89" spans="1:18" ht="14.4" x14ac:dyDescent="0.3">
      <c r="A89" s="5">
        <v>82</v>
      </c>
      <c r="B89" s="17" t="s">
        <v>423</v>
      </c>
      <c r="C89" s="6">
        <v>39755949</v>
      </c>
      <c r="D89" s="6">
        <v>3224017010</v>
      </c>
      <c r="E89" s="12" t="s">
        <v>424</v>
      </c>
      <c r="F89" s="7">
        <v>46031</v>
      </c>
      <c r="G89" s="7">
        <v>46364</v>
      </c>
      <c r="H89" s="8" t="s">
        <v>425</v>
      </c>
      <c r="I89" s="6" t="s">
        <v>1905</v>
      </c>
      <c r="J89" s="6" t="s">
        <v>143</v>
      </c>
      <c r="K89" s="6" t="s">
        <v>304</v>
      </c>
      <c r="L89" s="6" t="s">
        <v>426</v>
      </c>
      <c r="M89" s="6" t="s">
        <v>17</v>
      </c>
      <c r="N89" s="6" t="s">
        <v>427</v>
      </c>
      <c r="O89" t="s">
        <v>125</v>
      </c>
      <c r="P89" s="25" t="s">
        <v>2112</v>
      </c>
    </row>
    <row r="90" spans="1:18" ht="14.4" x14ac:dyDescent="0.3">
      <c r="A90" s="5">
        <v>83</v>
      </c>
      <c r="B90" s="17" t="s">
        <v>428</v>
      </c>
      <c r="C90" s="6">
        <v>1010222069</v>
      </c>
      <c r="D90" s="6">
        <v>3106664184</v>
      </c>
      <c r="E90" s="12" t="s">
        <v>88</v>
      </c>
      <c r="F90" s="7">
        <v>46013</v>
      </c>
      <c r="G90" s="7">
        <v>46255</v>
      </c>
      <c r="H90" s="8" t="s">
        <v>89</v>
      </c>
      <c r="I90" s="6" t="s">
        <v>1905</v>
      </c>
      <c r="J90" s="6" t="s">
        <v>106</v>
      </c>
      <c r="K90" s="6" t="s">
        <v>429</v>
      </c>
      <c r="L90" s="6" t="s">
        <v>20</v>
      </c>
      <c r="M90" s="6" t="s">
        <v>129</v>
      </c>
      <c r="N90" s="6" t="s">
        <v>430</v>
      </c>
      <c r="O90" t="s">
        <v>125</v>
      </c>
      <c r="P90" s="25" t="s">
        <v>2112</v>
      </c>
    </row>
    <row r="91" spans="1:18" ht="14.4" x14ac:dyDescent="0.3">
      <c r="A91" s="16">
        <v>84</v>
      </c>
      <c r="B91" s="17" t="s">
        <v>431</v>
      </c>
      <c r="C91" s="6">
        <v>11350393</v>
      </c>
      <c r="D91" s="6">
        <v>3046650488</v>
      </c>
      <c r="E91" s="12" t="s">
        <v>432</v>
      </c>
      <c r="F91" s="7">
        <v>46031</v>
      </c>
      <c r="G91" s="7">
        <v>46387</v>
      </c>
      <c r="H91" s="8" t="s">
        <v>433</v>
      </c>
      <c r="I91" s="6" t="s">
        <v>434</v>
      </c>
      <c r="J91" s="6" t="s">
        <v>115</v>
      </c>
      <c r="K91" s="6" t="s">
        <v>393</v>
      </c>
      <c r="L91" s="6" t="s">
        <v>435</v>
      </c>
      <c r="M91" s="6" t="s">
        <v>17</v>
      </c>
      <c r="N91" s="6" t="s">
        <v>44</v>
      </c>
      <c r="O91" t="s">
        <v>125</v>
      </c>
      <c r="P91" s="25" t="s">
        <v>2112</v>
      </c>
    </row>
    <row r="92" spans="1:18" ht="14.4" x14ac:dyDescent="0.3">
      <c r="A92" s="5">
        <v>85</v>
      </c>
      <c r="B92" s="17" t="s">
        <v>436</v>
      </c>
      <c r="C92" s="17">
        <v>81715332</v>
      </c>
      <c r="D92" s="17">
        <v>3014996335</v>
      </c>
      <c r="E92" s="23" t="s">
        <v>437</v>
      </c>
      <c r="F92" s="18">
        <v>46029</v>
      </c>
      <c r="G92" s="18">
        <v>46332</v>
      </c>
      <c r="H92" s="8" t="s">
        <v>438</v>
      </c>
      <c r="I92" s="6" t="s">
        <v>1905</v>
      </c>
      <c r="J92" s="6" t="s">
        <v>143</v>
      </c>
      <c r="K92" s="17" t="s">
        <v>439</v>
      </c>
      <c r="L92" s="17" t="s">
        <v>440</v>
      </c>
      <c r="M92" s="17" t="s">
        <v>17</v>
      </c>
      <c r="N92" s="17" t="s">
        <v>18</v>
      </c>
      <c r="O92" s="19" t="s">
        <v>125</v>
      </c>
      <c r="P92" s="22" t="s">
        <v>2098</v>
      </c>
      <c r="Q92" s="20"/>
      <c r="R92" s="20"/>
    </row>
    <row r="93" spans="1:18" ht="14.4" x14ac:dyDescent="0.3">
      <c r="A93" s="5">
        <v>86</v>
      </c>
      <c r="B93" s="17" t="s">
        <v>441</v>
      </c>
      <c r="C93" s="6">
        <v>4579016</v>
      </c>
      <c r="D93" s="6">
        <v>3169705853</v>
      </c>
      <c r="E93" s="6" t="s">
        <v>20</v>
      </c>
      <c r="F93" s="7" t="s">
        <v>20</v>
      </c>
      <c r="G93" s="7" t="s">
        <v>20</v>
      </c>
      <c r="H93" s="8" t="s">
        <v>442</v>
      </c>
      <c r="I93" s="6" t="s">
        <v>270</v>
      </c>
      <c r="J93" s="6" t="s">
        <v>143</v>
      </c>
      <c r="K93" s="6" t="s">
        <v>443</v>
      </c>
      <c r="L93" s="6" t="s">
        <v>444</v>
      </c>
      <c r="M93" s="6" t="s">
        <v>17</v>
      </c>
      <c r="N93" s="6" t="s">
        <v>60</v>
      </c>
      <c r="O93" t="s">
        <v>119</v>
      </c>
      <c r="P93" s="25" t="s">
        <v>2112</v>
      </c>
    </row>
    <row r="94" spans="1:18" ht="14.4" x14ac:dyDescent="0.3">
      <c r="A94" s="5">
        <v>87</v>
      </c>
      <c r="B94" s="17" t="s">
        <v>445</v>
      </c>
      <c r="C94" s="6">
        <v>52820550</v>
      </c>
      <c r="D94" s="6">
        <v>3005554875</v>
      </c>
      <c r="E94" s="6" t="s">
        <v>20</v>
      </c>
      <c r="F94" s="7" t="s">
        <v>20</v>
      </c>
      <c r="G94" s="7" t="s">
        <v>20</v>
      </c>
      <c r="H94" s="8" t="s">
        <v>446</v>
      </c>
      <c r="I94" s="6" t="s">
        <v>434</v>
      </c>
      <c r="J94" s="6" t="s">
        <v>143</v>
      </c>
      <c r="K94" s="6" t="s">
        <v>447</v>
      </c>
      <c r="L94" s="6" t="s">
        <v>448</v>
      </c>
      <c r="M94" s="6" t="s">
        <v>17</v>
      </c>
      <c r="N94" s="6" t="s">
        <v>259</v>
      </c>
      <c r="O94" t="s">
        <v>119</v>
      </c>
      <c r="P94" s="25" t="s">
        <v>2112</v>
      </c>
    </row>
    <row r="95" spans="1:18" ht="14.4" x14ac:dyDescent="0.3">
      <c r="A95" s="16">
        <v>88</v>
      </c>
      <c r="B95" s="17" t="s">
        <v>449</v>
      </c>
      <c r="C95" s="6">
        <v>1026263191</v>
      </c>
      <c r="D95" s="6">
        <v>3185570652</v>
      </c>
      <c r="E95" s="12" t="s">
        <v>450</v>
      </c>
      <c r="F95" s="7">
        <v>46048</v>
      </c>
      <c r="G95" s="7">
        <v>46353</v>
      </c>
      <c r="H95" s="8" t="s">
        <v>451</v>
      </c>
      <c r="I95" s="6" t="s">
        <v>270</v>
      </c>
      <c r="J95" s="6" t="s">
        <v>115</v>
      </c>
      <c r="K95" s="6" t="s">
        <v>452</v>
      </c>
      <c r="L95" s="6" t="s">
        <v>453</v>
      </c>
      <c r="M95" s="6" t="s">
        <v>17</v>
      </c>
      <c r="N95" s="6" t="s">
        <v>146</v>
      </c>
      <c r="O95" t="s">
        <v>125</v>
      </c>
      <c r="P95" s="25" t="s">
        <v>2112</v>
      </c>
    </row>
    <row r="96" spans="1:18" ht="14.4" x14ac:dyDescent="0.3">
      <c r="A96" s="5">
        <v>89</v>
      </c>
      <c r="B96" s="17" t="s">
        <v>454</v>
      </c>
      <c r="C96" s="17">
        <v>49606615</v>
      </c>
      <c r="D96" s="17">
        <v>3017008600</v>
      </c>
      <c r="E96" s="23" t="s">
        <v>455</v>
      </c>
      <c r="F96" s="18">
        <v>46044</v>
      </c>
      <c r="G96" s="18">
        <v>46225</v>
      </c>
      <c r="H96" s="8" t="s">
        <v>456</v>
      </c>
      <c r="I96" s="6" t="s">
        <v>270</v>
      </c>
      <c r="J96" s="6" t="s">
        <v>143</v>
      </c>
      <c r="K96" s="17" t="s">
        <v>64</v>
      </c>
      <c r="L96" s="17" t="s">
        <v>457</v>
      </c>
      <c r="M96" s="17" t="s">
        <v>17</v>
      </c>
      <c r="N96" s="17" t="s">
        <v>66</v>
      </c>
      <c r="O96" s="19" t="s">
        <v>125</v>
      </c>
      <c r="P96" s="21" t="s">
        <v>2098</v>
      </c>
      <c r="Q96" s="20"/>
      <c r="R96" s="20"/>
    </row>
    <row r="97" spans="1:18" ht="14.4" x14ac:dyDescent="0.3">
      <c r="A97" s="5">
        <v>90</v>
      </c>
      <c r="B97" s="17" t="s">
        <v>458</v>
      </c>
      <c r="C97" s="17">
        <v>1032405392</v>
      </c>
      <c r="D97" s="17">
        <v>3507072865</v>
      </c>
      <c r="E97" s="23" t="s">
        <v>459</v>
      </c>
      <c r="F97" s="18">
        <v>46045</v>
      </c>
      <c r="G97" s="18">
        <v>46225</v>
      </c>
      <c r="H97" s="8" t="s">
        <v>460</v>
      </c>
      <c r="I97" s="6" t="s">
        <v>270</v>
      </c>
      <c r="J97" s="6" t="s">
        <v>115</v>
      </c>
      <c r="K97" s="17" t="s">
        <v>461</v>
      </c>
      <c r="L97" s="17" t="s">
        <v>462</v>
      </c>
      <c r="M97" s="17" t="s">
        <v>17</v>
      </c>
      <c r="N97" s="17" t="s">
        <v>24</v>
      </c>
      <c r="O97" s="19" t="s">
        <v>125</v>
      </c>
      <c r="P97" s="21" t="s">
        <v>2098</v>
      </c>
      <c r="Q97" s="20"/>
      <c r="R97" s="20"/>
    </row>
    <row r="98" spans="1:18" ht="14.4" x14ac:dyDescent="0.3">
      <c r="A98" s="5">
        <v>91</v>
      </c>
      <c r="B98" s="17" t="s">
        <v>463</v>
      </c>
      <c r="C98" s="6">
        <v>79620120</v>
      </c>
      <c r="D98" s="6">
        <v>3153572466</v>
      </c>
      <c r="E98" s="12" t="s">
        <v>464</v>
      </c>
      <c r="F98" s="7">
        <v>46036</v>
      </c>
      <c r="G98" s="7">
        <v>46387</v>
      </c>
      <c r="H98" s="8" t="s">
        <v>465</v>
      </c>
      <c r="I98" s="6" t="s">
        <v>2110</v>
      </c>
      <c r="J98" s="6" t="s">
        <v>143</v>
      </c>
      <c r="K98" s="6" t="s">
        <v>58</v>
      </c>
      <c r="L98" s="6" t="s">
        <v>466</v>
      </c>
      <c r="M98" s="6" t="s">
        <v>17</v>
      </c>
      <c r="N98" s="6" t="s">
        <v>467</v>
      </c>
      <c r="O98" t="s">
        <v>125</v>
      </c>
      <c r="P98" s="25" t="s">
        <v>2112</v>
      </c>
    </row>
    <row r="99" spans="1:18" ht="14.4" x14ac:dyDescent="0.3">
      <c r="A99" s="16">
        <v>92</v>
      </c>
      <c r="B99" s="17" t="s">
        <v>468</v>
      </c>
      <c r="C99" s="6">
        <v>53066202</v>
      </c>
      <c r="D99" s="6">
        <v>3002619924</v>
      </c>
      <c r="E99" s="12" t="s">
        <v>469</v>
      </c>
      <c r="F99" s="7">
        <v>46041</v>
      </c>
      <c r="G99" s="7">
        <v>46387</v>
      </c>
      <c r="H99" s="8" t="s">
        <v>470</v>
      </c>
      <c r="I99" s="6" t="s">
        <v>500</v>
      </c>
      <c r="J99" s="6" t="s">
        <v>115</v>
      </c>
      <c r="K99" s="6" t="s">
        <v>471</v>
      </c>
      <c r="L99" s="6" t="s">
        <v>472</v>
      </c>
      <c r="M99" s="6" t="s">
        <v>17</v>
      </c>
      <c r="N99" s="6" t="s">
        <v>44</v>
      </c>
      <c r="O99" t="s">
        <v>125</v>
      </c>
      <c r="P99" s="25" t="s">
        <v>2112</v>
      </c>
    </row>
    <row r="100" spans="1:18" ht="14.4" x14ac:dyDescent="0.3">
      <c r="A100" s="5">
        <v>93</v>
      </c>
      <c r="B100" s="17" t="s">
        <v>473</v>
      </c>
      <c r="C100" s="6">
        <v>79754530</v>
      </c>
      <c r="D100" s="6">
        <v>3162263936</v>
      </c>
      <c r="E100" s="12" t="s">
        <v>474</v>
      </c>
      <c r="F100" s="7">
        <v>46037</v>
      </c>
      <c r="G100" s="7">
        <v>46369</v>
      </c>
      <c r="H100" s="8" t="s">
        <v>475</v>
      </c>
      <c r="I100" s="17" t="s">
        <v>207</v>
      </c>
      <c r="J100" s="6" t="s">
        <v>143</v>
      </c>
      <c r="K100" s="6" t="s">
        <v>476</v>
      </c>
      <c r="L100" s="6" t="s">
        <v>477</v>
      </c>
      <c r="M100" s="6" t="s">
        <v>253</v>
      </c>
      <c r="N100" s="6" t="s">
        <v>66</v>
      </c>
      <c r="O100" t="s">
        <v>125</v>
      </c>
      <c r="P100" s="25" t="s">
        <v>2112</v>
      </c>
    </row>
    <row r="101" spans="1:18" ht="14.4" x14ac:dyDescent="0.3">
      <c r="A101" s="5">
        <v>94</v>
      </c>
      <c r="B101" s="17" t="s">
        <v>478</v>
      </c>
      <c r="C101" s="6">
        <v>53075545</v>
      </c>
      <c r="D101" s="6">
        <v>3013397612</v>
      </c>
      <c r="E101" s="12" t="s">
        <v>479</v>
      </c>
      <c r="F101" s="7">
        <v>46041</v>
      </c>
      <c r="G101" s="7">
        <v>46387</v>
      </c>
      <c r="H101" s="8" t="s">
        <v>480</v>
      </c>
      <c r="I101" s="6" t="s">
        <v>500</v>
      </c>
      <c r="J101" s="6" t="s">
        <v>143</v>
      </c>
      <c r="K101" s="6" t="s">
        <v>363</v>
      </c>
      <c r="L101" s="6" t="s">
        <v>481</v>
      </c>
      <c r="M101" s="6" t="s">
        <v>253</v>
      </c>
      <c r="N101" s="6" t="s">
        <v>146</v>
      </c>
      <c r="O101" t="s">
        <v>125</v>
      </c>
      <c r="P101" s="25" t="s">
        <v>2112</v>
      </c>
    </row>
    <row r="102" spans="1:18" ht="14.4" x14ac:dyDescent="0.3">
      <c r="A102" s="5">
        <v>95</v>
      </c>
      <c r="B102" s="17" t="s">
        <v>482</v>
      </c>
      <c r="C102" s="6">
        <v>1026279388</v>
      </c>
      <c r="D102" s="6">
        <v>3012286118</v>
      </c>
      <c r="E102" s="12" t="s">
        <v>483</v>
      </c>
      <c r="F102" s="7">
        <v>46036</v>
      </c>
      <c r="G102" s="7">
        <v>46387</v>
      </c>
      <c r="H102" s="8" t="s">
        <v>484</v>
      </c>
      <c r="I102" s="6" t="s">
        <v>434</v>
      </c>
      <c r="J102" s="6" t="s">
        <v>143</v>
      </c>
      <c r="K102" s="6" t="s">
        <v>485</v>
      </c>
      <c r="L102" s="6" t="s">
        <v>486</v>
      </c>
      <c r="M102" s="6" t="s">
        <v>253</v>
      </c>
      <c r="N102" s="6" t="s">
        <v>487</v>
      </c>
      <c r="O102" t="s">
        <v>125</v>
      </c>
      <c r="P102" s="25" t="s">
        <v>2112</v>
      </c>
    </row>
    <row r="103" spans="1:18" ht="14.4" x14ac:dyDescent="0.3">
      <c r="A103" s="16">
        <v>96</v>
      </c>
      <c r="B103" s="17" t="s">
        <v>488</v>
      </c>
      <c r="C103" s="6">
        <v>52355600</v>
      </c>
      <c r="D103" s="6">
        <v>3143575405</v>
      </c>
      <c r="E103" s="12" t="s">
        <v>489</v>
      </c>
      <c r="F103" s="7">
        <v>46036</v>
      </c>
      <c r="G103" s="7">
        <v>46387</v>
      </c>
      <c r="H103" s="8" t="s">
        <v>490</v>
      </c>
      <c r="I103" s="6" t="s">
        <v>500</v>
      </c>
      <c r="J103" s="6" t="s">
        <v>143</v>
      </c>
      <c r="K103" s="6" t="s">
        <v>491</v>
      </c>
      <c r="L103" s="6" t="s">
        <v>492</v>
      </c>
      <c r="M103" s="6" t="s">
        <v>17</v>
      </c>
      <c r="N103" s="6" t="s">
        <v>259</v>
      </c>
      <c r="O103" t="s">
        <v>125</v>
      </c>
      <c r="P103" s="25" t="s">
        <v>2112</v>
      </c>
    </row>
    <row r="104" spans="1:18" ht="14.4" x14ac:dyDescent="0.3">
      <c r="A104" s="5">
        <v>97</v>
      </c>
      <c r="B104" s="17" t="s">
        <v>493</v>
      </c>
      <c r="C104" s="6">
        <v>1010222054</v>
      </c>
      <c r="D104" s="6">
        <v>3102900983</v>
      </c>
      <c r="E104" s="12" t="s">
        <v>494</v>
      </c>
      <c r="F104" s="7">
        <v>46035</v>
      </c>
      <c r="G104" s="7">
        <v>46387</v>
      </c>
      <c r="H104" s="8" t="s">
        <v>495</v>
      </c>
      <c r="I104" s="6" t="s">
        <v>500</v>
      </c>
      <c r="J104" s="6" t="s">
        <v>143</v>
      </c>
      <c r="K104" s="6" t="s">
        <v>304</v>
      </c>
      <c r="L104" s="6" t="s">
        <v>496</v>
      </c>
      <c r="M104" s="6" t="s">
        <v>17</v>
      </c>
      <c r="N104" s="6" t="s">
        <v>66</v>
      </c>
      <c r="O104" t="s">
        <v>125</v>
      </c>
      <c r="P104" s="25" t="s">
        <v>2112</v>
      </c>
    </row>
    <row r="105" spans="1:18" ht="14.4" x14ac:dyDescent="0.3">
      <c r="A105" s="5">
        <v>98</v>
      </c>
      <c r="B105" s="17" t="s">
        <v>497</v>
      </c>
      <c r="C105" s="6">
        <v>1022332783</v>
      </c>
      <c r="D105" s="6">
        <v>3174017065</v>
      </c>
      <c r="E105" s="12" t="s">
        <v>498</v>
      </c>
      <c r="F105" s="7">
        <v>46045</v>
      </c>
      <c r="G105" s="7">
        <v>46387</v>
      </c>
      <c r="H105" s="8" t="s">
        <v>499</v>
      </c>
      <c r="I105" s="6" t="s">
        <v>500</v>
      </c>
      <c r="J105" s="6" t="s">
        <v>115</v>
      </c>
      <c r="K105" s="6" t="s">
        <v>501</v>
      </c>
      <c r="L105" s="6" t="s">
        <v>502</v>
      </c>
      <c r="M105" s="6" t="s">
        <v>17</v>
      </c>
      <c r="N105" s="6" t="s">
        <v>259</v>
      </c>
      <c r="O105" t="s">
        <v>125</v>
      </c>
      <c r="P105" s="25" t="s">
        <v>2112</v>
      </c>
    </row>
    <row r="106" spans="1:18" ht="14.4" x14ac:dyDescent="0.3">
      <c r="A106" s="5">
        <v>99</v>
      </c>
      <c r="B106" s="17" t="s">
        <v>503</v>
      </c>
      <c r="C106" s="6">
        <v>80723272</v>
      </c>
      <c r="D106" s="6">
        <v>3118556165</v>
      </c>
      <c r="E106" s="12" t="s">
        <v>504</v>
      </c>
      <c r="F106" s="7">
        <v>46041</v>
      </c>
      <c r="G106" s="7">
        <v>46387</v>
      </c>
      <c r="H106" s="8" t="s">
        <v>505</v>
      </c>
      <c r="I106" s="6" t="s">
        <v>500</v>
      </c>
      <c r="J106" s="6" t="s">
        <v>143</v>
      </c>
      <c r="K106" s="6" t="s">
        <v>506</v>
      </c>
      <c r="L106" s="6" t="s">
        <v>507</v>
      </c>
      <c r="M106" s="6" t="s">
        <v>17</v>
      </c>
      <c r="N106" s="6" t="s">
        <v>24</v>
      </c>
      <c r="O106" t="s">
        <v>125</v>
      </c>
      <c r="P106" s="25" t="s">
        <v>2112</v>
      </c>
    </row>
    <row r="107" spans="1:18" ht="14.4" x14ac:dyDescent="0.3">
      <c r="A107" s="16">
        <v>100</v>
      </c>
      <c r="B107" s="17" t="s">
        <v>508</v>
      </c>
      <c r="C107" s="6">
        <v>52267468</v>
      </c>
      <c r="D107" s="6">
        <v>3112711276</v>
      </c>
      <c r="E107" s="12" t="s">
        <v>509</v>
      </c>
      <c r="F107" s="7">
        <v>46036</v>
      </c>
      <c r="G107" s="7">
        <v>46278</v>
      </c>
      <c r="H107" s="8" t="s">
        <v>510</v>
      </c>
      <c r="I107" s="6" t="s">
        <v>500</v>
      </c>
      <c r="J107" s="6" t="s">
        <v>143</v>
      </c>
      <c r="K107" s="6" t="s">
        <v>56</v>
      </c>
      <c r="L107" s="6" t="s">
        <v>511</v>
      </c>
      <c r="M107" s="6" t="s">
        <v>17</v>
      </c>
      <c r="N107" s="6" t="s">
        <v>512</v>
      </c>
      <c r="O107" t="s">
        <v>125</v>
      </c>
      <c r="P107" s="25" t="s">
        <v>2112</v>
      </c>
    </row>
    <row r="108" spans="1:18" ht="14.4" x14ac:dyDescent="0.3">
      <c r="A108" s="5">
        <v>101</v>
      </c>
      <c r="B108" s="17" t="s">
        <v>513</v>
      </c>
      <c r="C108" s="6">
        <v>11204191</v>
      </c>
      <c r="D108" s="6">
        <v>3125349131</v>
      </c>
      <c r="E108" s="12" t="s">
        <v>514</v>
      </c>
      <c r="F108" s="7">
        <v>46038</v>
      </c>
      <c r="G108" s="7">
        <v>46249</v>
      </c>
      <c r="H108" s="8" t="s">
        <v>515</v>
      </c>
      <c r="I108" s="6" t="s">
        <v>1338</v>
      </c>
      <c r="J108" s="6" t="s">
        <v>106</v>
      </c>
      <c r="K108" s="6" t="s">
        <v>516</v>
      </c>
      <c r="L108" s="6" t="s">
        <v>517</v>
      </c>
      <c r="M108" s="6" t="s">
        <v>17</v>
      </c>
      <c r="N108" s="6" t="s">
        <v>177</v>
      </c>
      <c r="O108" t="s">
        <v>125</v>
      </c>
      <c r="P108" s="25" t="s">
        <v>2112</v>
      </c>
    </row>
    <row r="109" spans="1:18" ht="14.4" x14ac:dyDescent="0.3">
      <c r="A109" s="5">
        <v>102</v>
      </c>
      <c r="B109" s="17" t="s">
        <v>518</v>
      </c>
      <c r="C109" s="6">
        <v>52096386</v>
      </c>
      <c r="D109" s="6">
        <v>3104717361</v>
      </c>
      <c r="E109" s="12" t="s">
        <v>519</v>
      </c>
      <c r="F109" s="7">
        <v>46038</v>
      </c>
      <c r="G109" s="7">
        <v>46387</v>
      </c>
      <c r="H109" s="8" t="s">
        <v>520</v>
      </c>
      <c r="I109" s="6" t="s">
        <v>1562</v>
      </c>
      <c r="J109" s="6" t="s">
        <v>115</v>
      </c>
      <c r="K109" s="6" t="s">
        <v>304</v>
      </c>
      <c r="L109" s="6" t="s">
        <v>521</v>
      </c>
      <c r="M109" s="6" t="s">
        <v>17</v>
      </c>
      <c r="N109" s="6" t="s">
        <v>24</v>
      </c>
      <c r="O109" t="s">
        <v>125</v>
      </c>
      <c r="P109" s="25" t="s">
        <v>2112</v>
      </c>
    </row>
    <row r="110" spans="1:18" ht="14.4" x14ac:dyDescent="0.3">
      <c r="A110" s="5">
        <v>103</v>
      </c>
      <c r="B110" s="17" t="s">
        <v>522</v>
      </c>
      <c r="C110" s="6">
        <v>396645660</v>
      </c>
      <c r="D110" s="6">
        <v>3108741396</v>
      </c>
      <c r="E110" s="6" t="s">
        <v>20</v>
      </c>
      <c r="F110" s="7" t="s">
        <v>20</v>
      </c>
      <c r="G110" s="7" t="s">
        <v>20</v>
      </c>
      <c r="H110" s="8" t="s">
        <v>523</v>
      </c>
      <c r="I110" s="6" t="s">
        <v>270</v>
      </c>
      <c r="J110" s="6" t="s">
        <v>143</v>
      </c>
      <c r="K110" s="6" t="s">
        <v>524</v>
      </c>
      <c r="L110" s="6" t="s">
        <v>525</v>
      </c>
      <c r="M110" s="6" t="s">
        <v>17</v>
      </c>
      <c r="N110" s="6" t="s">
        <v>526</v>
      </c>
      <c r="O110" t="s">
        <v>119</v>
      </c>
      <c r="P110" s="25" t="s">
        <v>2112</v>
      </c>
    </row>
    <row r="111" spans="1:18" ht="14.4" x14ac:dyDescent="0.3">
      <c r="A111" s="16">
        <v>104</v>
      </c>
      <c r="B111" s="17" t="s">
        <v>527</v>
      </c>
      <c r="C111" s="6">
        <v>1023867746</v>
      </c>
      <c r="D111" s="6">
        <v>3118179706</v>
      </c>
      <c r="E111" s="12" t="s">
        <v>528</v>
      </c>
      <c r="F111" s="7">
        <v>46039</v>
      </c>
      <c r="G111" s="7">
        <v>46251</v>
      </c>
      <c r="H111" s="8" t="s">
        <v>529</v>
      </c>
      <c r="I111" s="6" t="s">
        <v>1338</v>
      </c>
      <c r="J111" s="6" t="s">
        <v>143</v>
      </c>
      <c r="K111" s="6" t="s">
        <v>304</v>
      </c>
      <c r="L111" s="6" t="s">
        <v>530</v>
      </c>
      <c r="M111" s="6" t="s">
        <v>17</v>
      </c>
      <c r="N111" s="6" t="s">
        <v>134</v>
      </c>
      <c r="O111" t="s">
        <v>125</v>
      </c>
      <c r="P111" s="25" t="s">
        <v>2112</v>
      </c>
    </row>
    <row r="112" spans="1:18" ht="14.4" x14ac:dyDescent="0.3">
      <c r="A112" s="5">
        <v>105</v>
      </c>
      <c r="B112" s="17" t="s">
        <v>531</v>
      </c>
      <c r="C112" s="6">
        <v>79844430</v>
      </c>
      <c r="D112" s="6">
        <v>3176481417</v>
      </c>
      <c r="E112" s="12" t="s">
        <v>532</v>
      </c>
      <c r="F112" s="7">
        <v>46031</v>
      </c>
      <c r="G112" s="7">
        <v>46387</v>
      </c>
      <c r="H112" s="8" t="s">
        <v>533</v>
      </c>
      <c r="I112" s="6" t="s">
        <v>2110</v>
      </c>
      <c r="J112" s="6" t="s">
        <v>115</v>
      </c>
      <c r="K112" s="6" t="s">
        <v>75</v>
      </c>
      <c r="L112" s="6" t="s">
        <v>534</v>
      </c>
      <c r="M112" s="6" t="s">
        <v>17</v>
      </c>
      <c r="N112" s="6" t="s">
        <v>166</v>
      </c>
      <c r="O112" t="s">
        <v>125</v>
      </c>
      <c r="P112" s="25" t="s">
        <v>2112</v>
      </c>
    </row>
    <row r="113" spans="1:18" ht="14.4" x14ac:dyDescent="0.3">
      <c r="A113" s="5">
        <v>106</v>
      </c>
      <c r="B113" s="17" t="s">
        <v>535</v>
      </c>
      <c r="C113" s="6">
        <v>50939844</v>
      </c>
      <c r="D113" s="6">
        <v>3006677111</v>
      </c>
      <c r="E113" s="12" t="s">
        <v>536</v>
      </c>
      <c r="F113" s="7">
        <v>46042</v>
      </c>
      <c r="G113" s="7">
        <v>46342</v>
      </c>
      <c r="H113" s="8" t="s">
        <v>537</v>
      </c>
      <c r="I113" s="6" t="s">
        <v>270</v>
      </c>
      <c r="J113" s="6" t="s">
        <v>115</v>
      </c>
      <c r="K113" s="6" t="s">
        <v>320</v>
      </c>
      <c r="L113" s="6" t="s">
        <v>538</v>
      </c>
      <c r="M113" s="6" t="s">
        <v>17</v>
      </c>
      <c r="N113" s="6" t="s">
        <v>18</v>
      </c>
      <c r="O113" t="s">
        <v>125</v>
      </c>
      <c r="P113" s="25" t="s">
        <v>2112</v>
      </c>
    </row>
    <row r="114" spans="1:18" ht="14.4" x14ac:dyDescent="0.3">
      <c r="A114" s="5">
        <v>107</v>
      </c>
      <c r="B114" s="17" t="s">
        <v>539</v>
      </c>
      <c r="C114" s="17">
        <v>1020834737</v>
      </c>
      <c r="D114" s="17">
        <v>3176797300</v>
      </c>
      <c r="E114" s="17" t="s">
        <v>540</v>
      </c>
      <c r="F114" s="18">
        <v>46013</v>
      </c>
      <c r="G114" s="18">
        <v>46224</v>
      </c>
      <c r="H114" s="8" t="s">
        <v>541</v>
      </c>
      <c r="I114" s="6" t="s">
        <v>1905</v>
      </c>
      <c r="J114" s="6" t="s">
        <v>115</v>
      </c>
      <c r="K114" s="17" t="s">
        <v>202</v>
      </c>
      <c r="L114" s="17" t="s">
        <v>542</v>
      </c>
      <c r="M114" s="17" t="s">
        <v>17</v>
      </c>
      <c r="N114" s="17" t="s">
        <v>66</v>
      </c>
      <c r="O114" s="19" t="s">
        <v>125</v>
      </c>
      <c r="P114" s="21" t="s">
        <v>2098</v>
      </c>
      <c r="Q114" s="20"/>
      <c r="R114" s="20"/>
    </row>
    <row r="115" spans="1:18" ht="14.4" x14ac:dyDescent="0.3">
      <c r="A115" s="16">
        <v>108</v>
      </c>
      <c r="B115" s="17" t="s">
        <v>543</v>
      </c>
      <c r="C115" s="17">
        <v>13741047</v>
      </c>
      <c r="D115" s="17">
        <v>3108128412</v>
      </c>
      <c r="E115" s="23" t="s">
        <v>544</v>
      </c>
      <c r="F115" s="18">
        <v>46029</v>
      </c>
      <c r="G115" s="18">
        <v>46363</v>
      </c>
      <c r="H115" s="8" t="s">
        <v>545</v>
      </c>
      <c r="I115" s="6" t="s">
        <v>1905</v>
      </c>
      <c r="J115" s="6" t="s">
        <v>115</v>
      </c>
      <c r="K115" s="17" t="s">
        <v>501</v>
      </c>
      <c r="L115" s="17" t="s">
        <v>546</v>
      </c>
      <c r="M115" s="17" t="s">
        <v>17</v>
      </c>
      <c r="N115" s="17" t="s">
        <v>60</v>
      </c>
      <c r="O115" s="19" t="s">
        <v>125</v>
      </c>
      <c r="P115" s="21" t="s">
        <v>2098</v>
      </c>
      <c r="Q115" s="20"/>
      <c r="R115" s="20"/>
    </row>
    <row r="116" spans="1:18" ht="14.4" x14ac:dyDescent="0.3">
      <c r="A116" s="5">
        <v>109</v>
      </c>
      <c r="B116" s="17" t="s">
        <v>547</v>
      </c>
      <c r="C116" s="6">
        <v>1030669555</v>
      </c>
      <c r="D116" s="6">
        <v>3142393483</v>
      </c>
      <c r="E116" s="12" t="s">
        <v>548</v>
      </c>
      <c r="F116" s="7">
        <v>46048</v>
      </c>
      <c r="G116" s="7">
        <v>46387</v>
      </c>
      <c r="H116" s="8" t="s">
        <v>549</v>
      </c>
      <c r="I116" s="6" t="s">
        <v>2110</v>
      </c>
      <c r="J116" s="6" t="s">
        <v>80</v>
      </c>
      <c r="K116" s="6" t="s">
        <v>550</v>
      </c>
      <c r="L116" s="6" t="s">
        <v>20</v>
      </c>
      <c r="M116" s="6" t="s">
        <v>80</v>
      </c>
      <c r="N116" s="6" t="s">
        <v>551</v>
      </c>
      <c r="O116" t="s">
        <v>125</v>
      </c>
      <c r="P116" s="25" t="s">
        <v>2112</v>
      </c>
    </row>
    <row r="117" spans="1:18" ht="14.4" x14ac:dyDescent="0.3">
      <c r="A117" s="5">
        <v>110</v>
      </c>
      <c r="B117" s="17" t="s">
        <v>552</v>
      </c>
      <c r="C117" s="6">
        <v>52715205</v>
      </c>
      <c r="D117" s="6">
        <v>3103268056</v>
      </c>
      <c r="E117" s="12" t="s">
        <v>553</v>
      </c>
      <c r="F117" s="7">
        <v>46041</v>
      </c>
      <c r="G117" s="7">
        <v>46252</v>
      </c>
      <c r="H117" s="8" t="s">
        <v>554</v>
      </c>
      <c r="I117" s="6" t="s">
        <v>1338</v>
      </c>
      <c r="J117" s="6" t="s">
        <v>115</v>
      </c>
      <c r="K117" s="6" t="s">
        <v>294</v>
      </c>
      <c r="L117" s="6" t="s">
        <v>555</v>
      </c>
      <c r="M117" s="6" t="s">
        <v>17</v>
      </c>
      <c r="N117" s="6" t="s">
        <v>60</v>
      </c>
      <c r="O117" t="s">
        <v>125</v>
      </c>
      <c r="P117" s="25" t="s">
        <v>2112</v>
      </c>
    </row>
    <row r="118" spans="1:18" ht="14.4" x14ac:dyDescent="0.3">
      <c r="A118" s="5">
        <v>111</v>
      </c>
      <c r="B118" s="17" t="s">
        <v>556</v>
      </c>
      <c r="C118" s="6">
        <v>30393634</v>
      </c>
      <c r="D118" s="6">
        <v>3176685571</v>
      </c>
      <c r="E118" s="12" t="s">
        <v>557</v>
      </c>
      <c r="F118" s="7">
        <v>46038</v>
      </c>
      <c r="G118" s="7">
        <v>46371</v>
      </c>
      <c r="H118" s="8" t="s">
        <v>558</v>
      </c>
      <c r="I118" s="6" t="s">
        <v>1843</v>
      </c>
      <c r="J118" s="6" t="s">
        <v>143</v>
      </c>
      <c r="K118" s="6" t="s">
        <v>559</v>
      </c>
      <c r="L118" s="6" t="s">
        <v>560</v>
      </c>
      <c r="M118" s="6" t="s">
        <v>17</v>
      </c>
      <c r="N118" s="6" t="s">
        <v>60</v>
      </c>
      <c r="O118" t="s">
        <v>125</v>
      </c>
      <c r="P118" s="25" t="s">
        <v>2112</v>
      </c>
    </row>
    <row r="119" spans="1:18" ht="14.4" x14ac:dyDescent="0.3">
      <c r="A119" s="16">
        <v>112</v>
      </c>
      <c r="B119" s="17" t="s">
        <v>561</v>
      </c>
      <c r="C119" s="6">
        <v>79950133</v>
      </c>
      <c r="D119" s="6">
        <v>3407192209</v>
      </c>
      <c r="E119" s="12" t="s">
        <v>562</v>
      </c>
      <c r="F119" s="7">
        <v>46042</v>
      </c>
      <c r="G119" s="7">
        <v>46387</v>
      </c>
      <c r="H119" s="8" t="s">
        <v>563</v>
      </c>
      <c r="I119" s="6" t="s">
        <v>742</v>
      </c>
      <c r="J119" s="6" t="s">
        <v>115</v>
      </c>
      <c r="K119" s="6" t="s">
        <v>524</v>
      </c>
      <c r="L119" s="6" t="s">
        <v>564</v>
      </c>
      <c r="M119" s="6" t="s">
        <v>17</v>
      </c>
      <c r="N119" s="6" t="s">
        <v>259</v>
      </c>
      <c r="O119" t="s">
        <v>125</v>
      </c>
      <c r="P119" s="25" t="s">
        <v>2112</v>
      </c>
    </row>
    <row r="120" spans="1:18" ht="14.4" x14ac:dyDescent="0.3">
      <c r="A120" s="5">
        <v>113</v>
      </c>
      <c r="B120" s="17" t="s">
        <v>565</v>
      </c>
      <c r="C120" s="6">
        <v>1030589207</v>
      </c>
      <c r="D120" s="6">
        <v>3232341517</v>
      </c>
      <c r="E120" s="6" t="s">
        <v>566</v>
      </c>
      <c r="F120" s="7">
        <v>46031</v>
      </c>
      <c r="G120" s="7">
        <v>46387</v>
      </c>
      <c r="H120" s="8" t="s">
        <v>567</v>
      </c>
      <c r="I120" s="6" t="s">
        <v>434</v>
      </c>
      <c r="J120" s="6" t="s">
        <v>143</v>
      </c>
      <c r="K120" s="6" t="s">
        <v>568</v>
      </c>
      <c r="L120" s="6" t="s">
        <v>569</v>
      </c>
      <c r="M120" s="6" t="s">
        <v>17</v>
      </c>
      <c r="N120" s="6" t="s">
        <v>570</v>
      </c>
      <c r="O120" t="s">
        <v>125</v>
      </c>
      <c r="P120" s="25" t="s">
        <v>2112</v>
      </c>
    </row>
    <row r="121" spans="1:18" ht="14.4" x14ac:dyDescent="0.3">
      <c r="A121" s="5">
        <v>114</v>
      </c>
      <c r="B121" s="17" t="s">
        <v>571</v>
      </c>
      <c r="C121" s="6">
        <v>1019060772</v>
      </c>
      <c r="D121" s="6">
        <v>3212564943</v>
      </c>
      <c r="E121" s="12" t="s">
        <v>357</v>
      </c>
      <c r="F121" s="7">
        <v>46042</v>
      </c>
      <c r="G121" s="7">
        <v>46387</v>
      </c>
      <c r="H121" s="8" t="s">
        <v>572</v>
      </c>
      <c r="I121" s="17" t="s">
        <v>299</v>
      </c>
      <c r="J121" s="6" t="s">
        <v>106</v>
      </c>
      <c r="K121" s="6" t="s">
        <v>516</v>
      </c>
      <c r="L121" s="6" t="s">
        <v>573</v>
      </c>
      <c r="M121" s="6" t="s">
        <v>17</v>
      </c>
      <c r="N121" s="6" t="s">
        <v>570</v>
      </c>
      <c r="O121" t="s">
        <v>125</v>
      </c>
      <c r="P121" s="25" t="s">
        <v>2112</v>
      </c>
    </row>
    <row r="122" spans="1:18" ht="14.4" x14ac:dyDescent="0.3">
      <c r="A122" s="5">
        <v>115</v>
      </c>
      <c r="B122" s="17" t="s">
        <v>574</v>
      </c>
      <c r="C122" s="6">
        <v>79938373</v>
      </c>
      <c r="D122" s="6">
        <v>3015403942</v>
      </c>
      <c r="E122" s="12" t="s">
        <v>575</v>
      </c>
      <c r="F122" s="7">
        <v>46038</v>
      </c>
      <c r="G122" s="7">
        <v>46387</v>
      </c>
      <c r="H122" s="8" t="s">
        <v>576</v>
      </c>
      <c r="I122" s="6" t="s">
        <v>587</v>
      </c>
      <c r="J122" s="6" t="s">
        <v>115</v>
      </c>
      <c r="K122" s="6" t="s">
        <v>22</v>
      </c>
      <c r="L122" s="6" t="s">
        <v>577</v>
      </c>
      <c r="M122" s="6" t="s">
        <v>129</v>
      </c>
      <c r="N122" s="6" t="s">
        <v>578</v>
      </c>
      <c r="O122" t="s">
        <v>125</v>
      </c>
      <c r="P122" s="25" t="s">
        <v>2112</v>
      </c>
    </row>
    <row r="123" spans="1:18" ht="14.4" x14ac:dyDescent="0.3">
      <c r="A123" s="16">
        <v>116</v>
      </c>
      <c r="B123" s="17" t="s">
        <v>579</v>
      </c>
      <c r="C123" s="17">
        <v>85203798</v>
      </c>
      <c r="D123" s="17">
        <v>3102141909</v>
      </c>
      <c r="E123" s="17" t="s">
        <v>580</v>
      </c>
      <c r="F123" s="18">
        <v>46048</v>
      </c>
      <c r="G123" s="18">
        <v>46210</v>
      </c>
      <c r="H123" s="8" t="s">
        <v>581</v>
      </c>
      <c r="I123" s="6" t="s">
        <v>1843</v>
      </c>
      <c r="J123" s="6" t="s">
        <v>106</v>
      </c>
      <c r="K123" s="17" t="s">
        <v>582</v>
      </c>
      <c r="L123" s="17" t="s">
        <v>583</v>
      </c>
      <c r="M123" s="17" t="s">
        <v>17</v>
      </c>
      <c r="N123" s="17" t="s">
        <v>44</v>
      </c>
      <c r="O123" s="19" t="s">
        <v>125</v>
      </c>
      <c r="P123" s="22" t="s">
        <v>2098</v>
      </c>
      <c r="Q123" s="20"/>
      <c r="R123" s="20"/>
    </row>
    <row r="124" spans="1:18" ht="14.4" x14ac:dyDescent="0.3">
      <c r="A124" s="5">
        <v>117</v>
      </c>
      <c r="B124" s="17" t="s">
        <v>584</v>
      </c>
      <c r="C124" s="17">
        <v>1001090013</v>
      </c>
      <c r="D124" s="17">
        <v>3214308705</v>
      </c>
      <c r="E124" s="23" t="s">
        <v>585</v>
      </c>
      <c r="F124" s="18">
        <v>46041</v>
      </c>
      <c r="G124" s="18">
        <v>46387</v>
      </c>
      <c r="H124" s="8" t="s">
        <v>586</v>
      </c>
      <c r="I124" s="6" t="s">
        <v>587</v>
      </c>
      <c r="J124" s="6" t="s">
        <v>143</v>
      </c>
      <c r="K124" s="17" t="s">
        <v>164</v>
      </c>
      <c r="L124" s="17" t="s">
        <v>588</v>
      </c>
      <c r="M124" s="17" t="s">
        <v>17</v>
      </c>
      <c r="N124" s="17" t="s">
        <v>589</v>
      </c>
      <c r="O124" s="19" t="s">
        <v>125</v>
      </c>
      <c r="P124" s="21" t="s">
        <v>2098</v>
      </c>
      <c r="Q124" s="20"/>
      <c r="R124" s="20"/>
    </row>
    <row r="125" spans="1:18" ht="14.4" x14ac:dyDescent="0.3">
      <c r="A125" s="5">
        <v>118</v>
      </c>
      <c r="B125" s="17" t="s">
        <v>590</v>
      </c>
      <c r="C125" s="6">
        <v>1049616323</v>
      </c>
      <c r="D125" s="6">
        <v>3004886701</v>
      </c>
      <c r="E125" s="12" t="s">
        <v>591</v>
      </c>
      <c r="F125" s="7">
        <v>46028</v>
      </c>
      <c r="G125" s="7">
        <v>46270</v>
      </c>
      <c r="H125" s="8" t="s">
        <v>592</v>
      </c>
      <c r="I125" s="6" t="s">
        <v>1843</v>
      </c>
      <c r="J125" s="6" t="s">
        <v>143</v>
      </c>
      <c r="K125" s="6" t="s">
        <v>294</v>
      </c>
      <c r="L125" s="6" t="s">
        <v>593</v>
      </c>
      <c r="M125" s="6" t="s">
        <v>17</v>
      </c>
      <c r="N125" s="6" t="s">
        <v>66</v>
      </c>
      <c r="O125" t="s">
        <v>125</v>
      </c>
      <c r="P125" s="25" t="s">
        <v>2112</v>
      </c>
    </row>
    <row r="126" spans="1:18" ht="14.4" x14ac:dyDescent="0.3">
      <c r="A126" s="5">
        <v>119</v>
      </c>
      <c r="B126" s="17" t="s">
        <v>594</v>
      </c>
      <c r="C126" s="6">
        <v>1015461189</v>
      </c>
      <c r="D126" s="6">
        <v>3106959545</v>
      </c>
      <c r="E126" s="12" t="s">
        <v>595</v>
      </c>
      <c r="F126" s="7">
        <v>46031</v>
      </c>
      <c r="G126" s="7">
        <v>46211</v>
      </c>
      <c r="H126" s="8" t="s">
        <v>596</v>
      </c>
      <c r="I126" s="6" t="s">
        <v>1353</v>
      </c>
      <c r="J126" s="6" t="s">
        <v>115</v>
      </c>
      <c r="K126" s="6" t="s">
        <v>64</v>
      </c>
      <c r="L126" s="6" t="s">
        <v>597</v>
      </c>
      <c r="M126" s="6" t="s">
        <v>253</v>
      </c>
      <c r="N126" s="6" t="s">
        <v>66</v>
      </c>
      <c r="O126" t="s">
        <v>125</v>
      </c>
      <c r="P126" s="25" t="s">
        <v>2112</v>
      </c>
    </row>
    <row r="127" spans="1:18" ht="14.4" x14ac:dyDescent="0.3">
      <c r="A127" s="16">
        <v>120</v>
      </c>
      <c r="B127" s="17" t="s">
        <v>598</v>
      </c>
      <c r="C127" s="6">
        <v>1032400206</v>
      </c>
      <c r="D127" s="6">
        <v>1032400206</v>
      </c>
      <c r="E127" s="12" t="s">
        <v>599</v>
      </c>
      <c r="F127" s="7">
        <v>46029</v>
      </c>
      <c r="G127" s="7">
        <v>46387</v>
      </c>
      <c r="H127" s="8" t="s">
        <v>600</v>
      </c>
      <c r="I127" s="6" t="s">
        <v>1843</v>
      </c>
      <c r="J127" s="6" t="s">
        <v>115</v>
      </c>
      <c r="K127" s="6" t="s">
        <v>75</v>
      </c>
      <c r="L127" s="6" t="s">
        <v>601</v>
      </c>
      <c r="M127" s="6" t="s">
        <v>253</v>
      </c>
      <c r="N127" s="6" t="s">
        <v>602</v>
      </c>
      <c r="O127" t="s">
        <v>125</v>
      </c>
      <c r="P127" s="25" t="s">
        <v>2112</v>
      </c>
    </row>
    <row r="128" spans="1:18" ht="14.4" x14ac:dyDescent="0.3">
      <c r="A128" s="5">
        <v>121</v>
      </c>
      <c r="B128" s="17" t="s">
        <v>603</v>
      </c>
      <c r="C128" s="17">
        <v>80505613</v>
      </c>
      <c r="D128" s="17">
        <v>3122600799</v>
      </c>
      <c r="E128" s="23" t="s">
        <v>604</v>
      </c>
      <c r="F128" s="18">
        <v>46042</v>
      </c>
      <c r="G128" s="18">
        <v>46041</v>
      </c>
      <c r="H128" s="8" t="s">
        <v>605</v>
      </c>
      <c r="I128" s="6" t="s">
        <v>1338</v>
      </c>
      <c r="J128" s="6" t="s">
        <v>106</v>
      </c>
      <c r="K128" s="17" t="s">
        <v>606</v>
      </c>
      <c r="L128" s="17" t="s">
        <v>607</v>
      </c>
      <c r="M128" s="17" t="s">
        <v>17</v>
      </c>
      <c r="N128" s="17" t="s">
        <v>608</v>
      </c>
      <c r="O128" s="19" t="s">
        <v>125</v>
      </c>
      <c r="P128" s="21" t="s">
        <v>2098</v>
      </c>
      <c r="Q128" s="20"/>
      <c r="R128" s="20"/>
    </row>
    <row r="129" spans="1:18" ht="14.4" x14ac:dyDescent="0.3">
      <c r="A129" s="5">
        <v>122</v>
      </c>
      <c r="B129" s="17" t="s">
        <v>609</v>
      </c>
      <c r="C129" s="6">
        <v>1015444843</v>
      </c>
      <c r="D129" s="6">
        <v>3104810937</v>
      </c>
      <c r="E129" s="12" t="s">
        <v>610</v>
      </c>
      <c r="F129" s="7">
        <v>46036</v>
      </c>
      <c r="G129" s="7">
        <v>46340</v>
      </c>
      <c r="H129" s="8" t="s">
        <v>611</v>
      </c>
      <c r="I129" s="6" t="s">
        <v>587</v>
      </c>
      <c r="J129" s="6" t="s">
        <v>115</v>
      </c>
      <c r="K129" s="6" t="s">
        <v>116</v>
      </c>
      <c r="L129" s="6" t="s">
        <v>612</v>
      </c>
      <c r="M129" s="6" t="s">
        <v>17</v>
      </c>
      <c r="N129" s="6" t="s">
        <v>66</v>
      </c>
      <c r="O129" t="s">
        <v>125</v>
      </c>
      <c r="P129" s="25" t="s">
        <v>2112</v>
      </c>
    </row>
    <row r="130" spans="1:18" ht="14.4" x14ac:dyDescent="0.3">
      <c r="A130" s="5">
        <v>123</v>
      </c>
      <c r="B130" s="17" t="s">
        <v>613</v>
      </c>
      <c r="C130" s="6">
        <v>39698825</v>
      </c>
      <c r="D130" s="6">
        <v>3103341145</v>
      </c>
      <c r="E130" s="12" t="s">
        <v>614</v>
      </c>
      <c r="F130" s="7">
        <v>46045</v>
      </c>
      <c r="G130" s="7">
        <v>46256</v>
      </c>
      <c r="H130" s="8" t="s">
        <v>615</v>
      </c>
      <c r="I130" s="6" t="s">
        <v>1843</v>
      </c>
      <c r="J130" s="6" t="s">
        <v>115</v>
      </c>
      <c r="K130" s="6" t="s">
        <v>616</v>
      </c>
      <c r="L130" s="6" t="s">
        <v>617</v>
      </c>
      <c r="M130" s="6" t="s">
        <v>253</v>
      </c>
      <c r="N130" s="6" t="s">
        <v>618</v>
      </c>
      <c r="O130" t="s">
        <v>125</v>
      </c>
      <c r="P130" s="25" t="s">
        <v>2112</v>
      </c>
    </row>
    <row r="131" spans="1:18" ht="14.4" x14ac:dyDescent="0.3">
      <c r="A131" s="16">
        <v>124</v>
      </c>
      <c r="B131" s="17" t="s">
        <v>619</v>
      </c>
      <c r="C131" s="6">
        <v>53047446</v>
      </c>
      <c r="D131" s="6">
        <v>3214141813</v>
      </c>
      <c r="E131" s="6" t="s">
        <v>20</v>
      </c>
      <c r="F131" s="7" t="s">
        <v>20</v>
      </c>
      <c r="G131" s="7" t="s">
        <v>20</v>
      </c>
      <c r="H131" s="8" t="s">
        <v>620</v>
      </c>
      <c r="I131" s="6" t="s">
        <v>2110</v>
      </c>
      <c r="J131" s="6" t="s">
        <v>143</v>
      </c>
      <c r="K131" s="6" t="s">
        <v>64</v>
      </c>
      <c r="L131" s="6" t="s">
        <v>621</v>
      </c>
      <c r="M131" s="6" t="s">
        <v>253</v>
      </c>
      <c r="N131" s="6" t="s">
        <v>18</v>
      </c>
      <c r="O131" t="s">
        <v>119</v>
      </c>
      <c r="P131" s="25" t="s">
        <v>2112</v>
      </c>
    </row>
    <row r="132" spans="1:18" ht="14.4" x14ac:dyDescent="0.3">
      <c r="A132" s="5">
        <v>125</v>
      </c>
      <c r="B132" s="17" t="s">
        <v>622</v>
      </c>
      <c r="C132" s="6">
        <v>1019104675</v>
      </c>
      <c r="D132" s="6">
        <v>3102390866</v>
      </c>
      <c r="E132" s="12" t="s">
        <v>623</v>
      </c>
      <c r="F132" s="7">
        <v>46031</v>
      </c>
      <c r="G132" s="7">
        <v>46264</v>
      </c>
      <c r="H132" s="8" t="s">
        <v>624</v>
      </c>
      <c r="I132" s="6" t="s">
        <v>270</v>
      </c>
      <c r="J132" s="6" t="s">
        <v>106</v>
      </c>
      <c r="K132" s="6" t="s">
        <v>276</v>
      </c>
      <c r="L132" s="6" t="s">
        <v>625</v>
      </c>
      <c r="M132" s="6" t="s">
        <v>17</v>
      </c>
      <c r="N132" s="6" t="s">
        <v>157</v>
      </c>
      <c r="O132" t="s">
        <v>125</v>
      </c>
      <c r="P132" s="25" t="s">
        <v>2112</v>
      </c>
    </row>
    <row r="133" spans="1:18" ht="14.4" x14ac:dyDescent="0.3">
      <c r="A133" s="5">
        <v>126</v>
      </c>
      <c r="B133" s="17" t="s">
        <v>626</v>
      </c>
      <c r="C133" s="6">
        <v>19325842</v>
      </c>
      <c r="D133" s="6">
        <v>3192146582</v>
      </c>
      <c r="E133" s="12" t="s">
        <v>627</v>
      </c>
      <c r="F133" s="7">
        <v>46031</v>
      </c>
      <c r="G133" s="7">
        <v>46387</v>
      </c>
      <c r="H133" s="8" t="s">
        <v>628</v>
      </c>
      <c r="I133" s="6" t="s">
        <v>1562</v>
      </c>
      <c r="J133" s="6" t="s">
        <v>115</v>
      </c>
      <c r="K133" s="6" t="s">
        <v>75</v>
      </c>
      <c r="L133" s="6" t="s">
        <v>629</v>
      </c>
      <c r="M133" s="6" t="s">
        <v>17</v>
      </c>
      <c r="N133" s="6" t="s">
        <v>630</v>
      </c>
      <c r="O133" t="s">
        <v>125</v>
      </c>
      <c r="P133" s="25" t="s">
        <v>2112</v>
      </c>
    </row>
    <row r="134" spans="1:18" ht="14.4" x14ac:dyDescent="0.3">
      <c r="A134" s="5">
        <v>127</v>
      </c>
      <c r="B134" s="17" t="s">
        <v>631</v>
      </c>
      <c r="C134" s="6">
        <v>1031156687</v>
      </c>
      <c r="D134" s="6">
        <v>3102338749</v>
      </c>
      <c r="E134" s="12" t="s">
        <v>632</v>
      </c>
      <c r="F134" s="7">
        <v>46036</v>
      </c>
      <c r="G134" s="7">
        <v>46339</v>
      </c>
      <c r="H134" s="8" t="s">
        <v>633</v>
      </c>
      <c r="I134" s="6" t="s">
        <v>1843</v>
      </c>
      <c r="J134" s="6" t="s">
        <v>143</v>
      </c>
      <c r="K134" s="6" t="s">
        <v>116</v>
      </c>
      <c r="L134" s="6" t="s">
        <v>634</v>
      </c>
      <c r="M134" s="6" t="s">
        <v>253</v>
      </c>
      <c r="N134" s="6" t="s">
        <v>146</v>
      </c>
      <c r="O134" t="s">
        <v>125</v>
      </c>
      <c r="P134" s="25" t="s">
        <v>2112</v>
      </c>
    </row>
    <row r="135" spans="1:18" ht="14.4" x14ac:dyDescent="0.3">
      <c r="A135" s="16">
        <v>128</v>
      </c>
      <c r="B135" s="17" t="s">
        <v>635</v>
      </c>
      <c r="C135" s="17">
        <v>52453674</v>
      </c>
      <c r="D135" s="17">
        <v>3112023325</v>
      </c>
      <c r="E135" s="23" t="s">
        <v>636</v>
      </c>
      <c r="F135" s="18">
        <v>46035</v>
      </c>
      <c r="G135" s="18">
        <v>46215</v>
      </c>
      <c r="H135" s="8" t="s">
        <v>637</v>
      </c>
      <c r="I135" s="6" t="s">
        <v>1353</v>
      </c>
      <c r="J135" s="6" t="s">
        <v>143</v>
      </c>
      <c r="K135" s="17" t="s">
        <v>638</v>
      </c>
      <c r="L135" s="17" t="s">
        <v>639</v>
      </c>
      <c r="M135" s="6" t="s">
        <v>253</v>
      </c>
      <c r="N135" s="17" t="s">
        <v>259</v>
      </c>
      <c r="O135" s="19" t="s">
        <v>125</v>
      </c>
      <c r="P135" s="21" t="s">
        <v>2098</v>
      </c>
      <c r="Q135" s="20"/>
      <c r="R135" s="20"/>
    </row>
    <row r="136" spans="1:18" ht="14.4" x14ac:dyDescent="0.3">
      <c r="A136" s="5">
        <v>129</v>
      </c>
      <c r="B136" s="17" t="s">
        <v>640</v>
      </c>
      <c r="C136" s="6">
        <v>1023943099</v>
      </c>
      <c r="D136" s="6">
        <v>3118215076</v>
      </c>
      <c r="E136" s="12" t="s">
        <v>641</v>
      </c>
      <c r="F136" s="7">
        <v>46035</v>
      </c>
      <c r="G136" s="7">
        <v>46387</v>
      </c>
      <c r="H136" s="8" t="s">
        <v>642</v>
      </c>
      <c r="I136" s="6" t="s">
        <v>500</v>
      </c>
      <c r="J136" s="6" t="s">
        <v>106</v>
      </c>
      <c r="K136" s="6" t="s">
        <v>175</v>
      </c>
      <c r="L136" s="6" t="s">
        <v>643</v>
      </c>
      <c r="M136" s="6" t="s">
        <v>17</v>
      </c>
      <c r="N136" s="6" t="s">
        <v>60</v>
      </c>
      <c r="O136" t="s">
        <v>125</v>
      </c>
      <c r="P136" s="25" t="s">
        <v>2112</v>
      </c>
    </row>
    <row r="137" spans="1:18" ht="14.4" x14ac:dyDescent="0.3">
      <c r="A137" s="5">
        <v>130</v>
      </c>
      <c r="B137" s="17" t="s">
        <v>644</v>
      </c>
      <c r="C137" s="6">
        <v>1020833621</v>
      </c>
      <c r="D137" s="6">
        <v>3106183500</v>
      </c>
      <c r="E137" s="6" t="s">
        <v>645</v>
      </c>
      <c r="F137" s="7">
        <v>46031</v>
      </c>
      <c r="G137" s="7">
        <v>46387</v>
      </c>
      <c r="H137" s="8" t="s">
        <v>646</v>
      </c>
      <c r="I137" s="17" t="s">
        <v>299</v>
      </c>
      <c r="J137" s="6" t="s">
        <v>143</v>
      </c>
      <c r="K137" s="6" t="s">
        <v>276</v>
      </c>
      <c r="L137" s="6" t="s">
        <v>647</v>
      </c>
      <c r="M137" s="6" t="s">
        <v>17</v>
      </c>
      <c r="N137" s="6" t="s">
        <v>146</v>
      </c>
      <c r="O137" t="s">
        <v>125</v>
      </c>
      <c r="P137" s="25" t="s">
        <v>2112</v>
      </c>
    </row>
    <row r="138" spans="1:18" ht="14.4" x14ac:dyDescent="0.3">
      <c r="A138" s="5">
        <v>131</v>
      </c>
      <c r="B138" s="17" t="s">
        <v>648</v>
      </c>
      <c r="C138" s="6">
        <v>1032464919</v>
      </c>
      <c r="D138" s="6">
        <v>3204134805</v>
      </c>
      <c r="E138" s="12" t="s">
        <v>649</v>
      </c>
      <c r="F138" s="7">
        <v>46042</v>
      </c>
      <c r="G138" s="7">
        <v>46265</v>
      </c>
      <c r="H138" s="8" t="s">
        <v>650</v>
      </c>
      <c r="I138" s="6" t="s">
        <v>270</v>
      </c>
      <c r="J138" s="6" t="s">
        <v>115</v>
      </c>
      <c r="K138" s="6" t="s">
        <v>651</v>
      </c>
      <c r="L138" s="6" t="s">
        <v>652</v>
      </c>
      <c r="M138" s="6" t="s">
        <v>17</v>
      </c>
      <c r="N138" s="6" t="s">
        <v>653</v>
      </c>
      <c r="O138" t="s">
        <v>125</v>
      </c>
      <c r="P138" s="25" t="s">
        <v>2112</v>
      </c>
    </row>
    <row r="139" spans="1:18" ht="14.4" x14ac:dyDescent="0.3">
      <c r="A139" s="16">
        <v>132</v>
      </c>
      <c r="B139" s="17" t="s">
        <v>654</v>
      </c>
      <c r="C139" s="6">
        <v>1070306077</v>
      </c>
      <c r="D139" s="6">
        <v>3143622249</v>
      </c>
      <c r="E139" s="12" t="s">
        <v>655</v>
      </c>
      <c r="F139" s="7">
        <v>46031</v>
      </c>
      <c r="G139" s="7">
        <v>46364</v>
      </c>
      <c r="H139" s="8" t="s">
        <v>656</v>
      </c>
      <c r="I139" s="6" t="s">
        <v>1905</v>
      </c>
      <c r="J139" s="6" t="s">
        <v>143</v>
      </c>
      <c r="K139" s="6" t="s">
        <v>657</v>
      </c>
      <c r="L139" s="6" t="s">
        <v>658</v>
      </c>
      <c r="M139" s="6" t="s">
        <v>17</v>
      </c>
      <c r="N139" s="6" t="s">
        <v>60</v>
      </c>
      <c r="O139" t="s">
        <v>125</v>
      </c>
      <c r="P139" s="25" t="s">
        <v>2112</v>
      </c>
    </row>
    <row r="140" spans="1:18" ht="14.4" x14ac:dyDescent="0.3">
      <c r="A140" s="5">
        <v>133</v>
      </c>
      <c r="B140" s="17" t="s">
        <v>659</v>
      </c>
      <c r="C140" s="17">
        <v>1075282666</v>
      </c>
      <c r="D140" s="17">
        <v>3166559929</v>
      </c>
      <c r="E140" s="23" t="s">
        <v>660</v>
      </c>
      <c r="F140" s="18">
        <v>46031</v>
      </c>
      <c r="G140" s="18">
        <v>46211</v>
      </c>
      <c r="H140" s="8" t="s">
        <v>661</v>
      </c>
      <c r="I140" s="6" t="s">
        <v>256</v>
      </c>
      <c r="J140" s="6" t="s">
        <v>106</v>
      </c>
      <c r="K140" s="17" t="s">
        <v>582</v>
      </c>
      <c r="L140" s="17" t="s">
        <v>662</v>
      </c>
      <c r="M140" s="17" t="s">
        <v>17</v>
      </c>
      <c r="N140" s="17" t="s">
        <v>18</v>
      </c>
      <c r="O140" s="19" t="s">
        <v>125</v>
      </c>
      <c r="P140" s="21" t="s">
        <v>2098</v>
      </c>
      <c r="Q140" s="20"/>
      <c r="R140" s="20"/>
    </row>
    <row r="141" spans="1:18" ht="14.4" x14ac:dyDescent="0.3">
      <c r="A141" s="5">
        <v>134</v>
      </c>
      <c r="B141" s="17" t="s">
        <v>663</v>
      </c>
      <c r="C141" s="6">
        <v>1019023084</v>
      </c>
      <c r="D141" s="6">
        <v>3104785629</v>
      </c>
      <c r="E141" s="12" t="s">
        <v>664</v>
      </c>
      <c r="F141" s="7">
        <v>46037</v>
      </c>
      <c r="G141" s="7">
        <v>46387</v>
      </c>
      <c r="H141" s="8" t="s">
        <v>665</v>
      </c>
      <c r="I141" s="17" t="s">
        <v>299</v>
      </c>
      <c r="J141" s="6" t="s">
        <v>115</v>
      </c>
      <c r="K141" s="6" t="s">
        <v>116</v>
      </c>
      <c r="L141" s="6" t="s">
        <v>666</v>
      </c>
      <c r="M141" s="6" t="s">
        <v>17</v>
      </c>
      <c r="N141" s="6" t="s">
        <v>60</v>
      </c>
      <c r="O141" t="s">
        <v>125</v>
      </c>
      <c r="P141" s="25" t="s">
        <v>2112</v>
      </c>
    </row>
    <row r="142" spans="1:18" ht="14.4" x14ac:dyDescent="0.3">
      <c r="A142" s="5">
        <v>135</v>
      </c>
      <c r="B142" s="17" t="s">
        <v>667</v>
      </c>
      <c r="C142" s="6">
        <v>1022356860</v>
      </c>
      <c r="D142" s="6">
        <v>3004842838</v>
      </c>
      <c r="E142" s="12" t="s">
        <v>668</v>
      </c>
      <c r="F142" s="7">
        <v>46030</v>
      </c>
      <c r="G142" s="7">
        <v>46363</v>
      </c>
      <c r="H142" s="8" t="s">
        <v>669</v>
      </c>
      <c r="I142" s="6" t="s">
        <v>587</v>
      </c>
      <c r="J142" s="6" t="s">
        <v>106</v>
      </c>
      <c r="K142" s="6" t="s">
        <v>670</v>
      </c>
      <c r="L142" s="6" t="s">
        <v>671</v>
      </c>
      <c r="M142" s="6" t="s">
        <v>17</v>
      </c>
      <c r="N142" s="6" t="s">
        <v>672</v>
      </c>
      <c r="O142" t="s">
        <v>125</v>
      </c>
      <c r="P142" s="25" t="s">
        <v>2112</v>
      </c>
    </row>
    <row r="143" spans="1:18" ht="14.4" x14ac:dyDescent="0.3">
      <c r="A143" s="16">
        <v>136</v>
      </c>
      <c r="B143" s="17" t="s">
        <v>673</v>
      </c>
      <c r="C143" s="6">
        <v>51974917</v>
      </c>
      <c r="D143" s="6">
        <v>3175767854</v>
      </c>
      <c r="E143" s="6" t="s">
        <v>674</v>
      </c>
      <c r="F143" s="7">
        <v>46044</v>
      </c>
      <c r="G143" s="7">
        <v>46387</v>
      </c>
      <c r="H143" s="8" t="s">
        <v>675</v>
      </c>
      <c r="I143" s="6" t="s">
        <v>500</v>
      </c>
      <c r="J143" s="6" t="s">
        <v>115</v>
      </c>
      <c r="K143" s="6" t="s">
        <v>676</v>
      </c>
      <c r="L143" s="6" t="s">
        <v>677</v>
      </c>
      <c r="M143" s="6" t="s">
        <v>253</v>
      </c>
      <c r="N143" s="6" t="s">
        <v>60</v>
      </c>
      <c r="O143" t="s">
        <v>125</v>
      </c>
      <c r="P143" s="25" t="s">
        <v>2112</v>
      </c>
    </row>
    <row r="144" spans="1:18" ht="14.4" x14ac:dyDescent="0.3">
      <c r="A144" s="5">
        <v>137</v>
      </c>
      <c r="B144" s="17" t="s">
        <v>678</v>
      </c>
      <c r="C144" s="6">
        <v>1233895766</v>
      </c>
      <c r="D144" s="6">
        <v>3013641971</v>
      </c>
      <c r="E144" s="6" t="s">
        <v>679</v>
      </c>
      <c r="F144" s="7">
        <v>46045</v>
      </c>
      <c r="G144" s="7">
        <v>46387</v>
      </c>
      <c r="H144" s="8" t="s">
        <v>680</v>
      </c>
      <c r="I144" s="6" t="s">
        <v>500</v>
      </c>
      <c r="J144" s="6" t="s">
        <v>115</v>
      </c>
      <c r="K144" s="6" t="s">
        <v>681</v>
      </c>
      <c r="L144" s="6" t="s">
        <v>682</v>
      </c>
      <c r="M144" s="6" t="s">
        <v>17</v>
      </c>
      <c r="N144" s="6" t="s">
        <v>683</v>
      </c>
      <c r="O144" t="s">
        <v>125</v>
      </c>
      <c r="P144" s="25" t="s">
        <v>2112</v>
      </c>
    </row>
    <row r="145" spans="1:18" ht="14.4" x14ac:dyDescent="0.3">
      <c r="A145" s="5">
        <v>138</v>
      </c>
      <c r="B145" s="17" t="s">
        <v>684</v>
      </c>
      <c r="C145" s="6">
        <v>10288931</v>
      </c>
      <c r="D145" s="6">
        <v>3176767882</v>
      </c>
      <c r="E145" s="12" t="s">
        <v>685</v>
      </c>
      <c r="F145" s="7">
        <v>46041</v>
      </c>
      <c r="G145" s="7">
        <v>46252</v>
      </c>
      <c r="H145" s="8" t="s">
        <v>686</v>
      </c>
      <c r="I145" s="6" t="s">
        <v>1716</v>
      </c>
      <c r="J145" s="6" t="s">
        <v>115</v>
      </c>
      <c r="K145" s="6" t="s">
        <v>337</v>
      </c>
      <c r="L145" s="6" t="s">
        <v>687</v>
      </c>
      <c r="M145" s="6" t="s">
        <v>17</v>
      </c>
      <c r="N145" s="6" t="s">
        <v>248</v>
      </c>
      <c r="O145" t="s">
        <v>125</v>
      </c>
      <c r="P145" s="25" t="s">
        <v>2112</v>
      </c>
    </row>
    <row r="146" spans="1:18" ht="14.4" x14ac:dyDescent="0.3">
      <c r="A146" s="5">
        <v>139</v>
      </c>
      <c r="B146" s="17" t="s">
        <v>688</v>
      </c>
      <c r="C146" s="6">
        <v>228042</v>
      </c>
      <c r="D146" s="6">
        <v>3132090951</v>
      </c>
      <c r="E146" s="12" t="s">
        <v>689</v>
      </c>
      <c r="F146" s="7">
        <v>46038</v>
      </c>
      <c r="G146" s="7">
        <v>46387</v>
      </c>
      <c r="H146" s="8" t="s">
        <v>690</v>
      </c>
      <c r="I146" s="6" t="s">
        <v>2109</v>
      </c>
      <c r="J146" s="6" t="s">
        <v>115</v>
      </c>
      <c r="K146" s="6" t="s">
        <v>691</v>
      </c>
      <c r="L146" s="6" t="s">
        <v>692</v>
      </c>
      <c r="M146" s="6" t="s">
        <v>17</v>
      </c>
      <c r="N146" s="6" t="s">
        <v>693</v>
      </c>
      <c r="O146" t="s">
        <v>125</v>
      </c>
      <c r="P146" s="25" t="s">
        <v>2112</v>
      </c>
    </row>
    <row r="147" spans="1:18" ht="14.4" x14ac:dyDescent="0.3">
      <c r="A147" s="16">
        <v>140</v>
      </c>
      <c r="B147" s="17" t="s">
        <v>694</v>
      </c>
      <c r="C147" s="6">
        <v>7217591</v>
      </c>
      <c r="D147" s="6">
        <v>3102059928</v>
      </c>
      <c r="E147" s="6" t="s">
        <v>20</v>
      </c>
      <c r="F147" s="7" t="s">
        <v>20</v>
      </c>
      <c r="G147" s="7" t="s">
        <v>20</v>
      </c>
      <c r="H147" s="8" t="s">
        <v>695</v>
      </c>
      <c r="I147" s="6" t="s">
        <v>270</v>
      </c>
      <c r="J147" s="6" t="s">
        <v>143</v>
      </c>
      <c r="K147" s="6" t="s">
        <v>696</v>
      </c>
      <c r="L147" s="6" t="s">
        <v>697</v>
      </c>
      <c r="M147" s="6" t="s">
        <v>17</v>
      </c>
      <c r="N147" s="6" t="s">
        <v>60</v>
      </c>
      <c r="O147" t="s">
        <v>119</v>
      </c>
      <c r="P147" s="25" t="s">
        <v>2112</v>
      </c>
    </row>
    <row r="148" spans="1:18" ht="14.4" x14ac:dyDescent="0.3">
      <c r="A148" s="5">
        <v>141</v>
      </c>
      <c r="B148" s="17" t="s">
        <v>698</v>
      </c>
      <c r="C148" s="6">
        <v>80154998</v>
      </c>
      <c r="D148" s="6">
        <v>3102136875</v>
      </c>
      <c r="E148" s="12" t="s">
        <v>699</v>
      </c>
      <c r="F148" s="7">
        <v>46036</v>
      </c>
      <c r="G148" s="7">
        <v>46387</v>
      </c>
      <c r="H148" s="8" t="s">
        <v>700</v>
      </c>
      <c r="I148" s="6" t="s">
        <v>1006</v>
      </c>
      <c r="J148" s="6" t="s">
        <v>106</v>
      </c>
      <c r="K148" s="6" t="s">
        <v>701</v>
      </c>
      <c r="L148" s="6" t="s">
        <v>702</v>
      </c>
      <c r="M148" s="6" t="s">
        <v>17</v>
      </c>
      <c r="N148" s="6" t="s">
        <v>703</v>
      </c>
      <c r="O148" t="s">
        <v>125</v>
      </c>
      <c r="P148" s="25" t="s">
        <v>2112</v>
      </c>
    </row>
    <row r="149" spans="1:18" ht="14.4" x14ac:dyDescent="0.3">
      <c r="A149" s="5">
        <v>142</v>
      </c>
      <c r="B149" s="17" t="s">
        <v>704</v>
      </c>
      <c r="C149" s="6">
        <v>51769687</v>
      </c>
      <c r="D149" s="6">
        <v>3153111493</v>
      </c>
      <c r="E149" s="12" t="s">
        <v>705</v>
      </c>
      <c r="F149" s="7">
        <v>46049</v>
      </c>
      <c r="G149" s="7">
        <v>46387</v>
      </c>
      <c r="H149" s="8" t="s">
        <v>706</v>
      </c>
      <c r="I149" s="6" t="s">
        <v>500</v>
      </c>
      <c r="J149" s="6" t="s">
        <v>143</v>
      </c>
      <c r="K149" s="6" t="s">
        <v>398</v>
      </c>
      <c r="L149" s="6" t="s">
        <v>707</v>
      </c>
      <c r="M149" s="6" t="s">
        <v>17</v>
      </c>
      <c r="N149" s="6" t="s">
        <v>708</v>
      </c>
      <c r="O149" t="s">
        <v>125</v>
      </c>
      <c r="P149" s="25" t="s">
        <v>2112</v>
      </c>
    </row>
    <row r="150" spans="1:18" ht="14.4" x14ac:dyDescent="0.3">
      <c r="A150" s="5">
        <v>143</v>
      </c>
      <c r="B150" s="17" t="s">
        <v>709</v>
      </c>
      <c r="C150" s="6">
        <v>1024496377</v>
      </c>
      <c r="D150" s="6">
        <v>3193786568</v>
      </c>
      <c r="E150" s="12" t="s">
        <v>710</v>
      </c>
      <c r="F150" s="7">
        <v>46048</v>
      </c>
      <c r="G150" s="7">
        <v>46387</v>
      </c>
      <c r="H150" s="8" t="s">
        <v>711</v>
      </c>
      <c r="I150" s="6" t="s">
        <v>325</v>
      </c>
      <c r="J150" s="6" t="s">
        <v>143</v>
      </c>
      <c r="K150" s="6" t="s">
        <v>712</v>
      </c>
      <c r="L150" s="6" t="s">
        <v>713</v>
      </c>
      <c r="M150" s="6" t="s">
        <v>17</v>
      </c>
      <c r="N150" s="6" t="s">
        <v>339</v>
      </c>
      <c r="O150" t="s">
        <v>125</v>
      </c>
      <c r="P150" s="25" t="s">
        <v>2112</v>
      </c>
    </row>
    <row r="151" spans="1:18" ht="14.4" x14ac:dyDescent="0.3">
      <c r="A151" s="16">
        <v>144</v>
      </c>
      <c r="B151" s="17" t="s">
        <v>714</v>
      </c>
      <c r="C151" s="17">
        <v>1012330327</v>
      </c>
      <c r="D151" s="17">
        <v>3223664247</v>
      </c>
      <c r="E151" s="23" t="s">
        <v>715</v>
      </c>
      <c r="F151" s="18">
        <v>46030</v>
      </c>
      <c r="G151" s="18">
        <v>46387</v>
      </c>
      <c r="H151" s="8" t="s">
        <v>716</v>
      </c>
      <c r="I151" s="6" t="s">
        <v>500</v>
      </c>
      <c r="J151" s="6" t="s">
        <v>106</v>
      </c>
      <c r="K151" s="17" t="s">
        <v>56</v>
      </c>
      <c r="L151" s="17" t="s">
        <v>717</v>
      </c>
      <c r="M151" s="17" t="s">
        <v>17</v>
      </c>
      <c r="N151" s="17" t="s">
        <v>166</v>
      </c>
      <c r="O151" s="19" t="s">
        <v>125</v>
      </c>
      <c r="P151" s="21" t="s">
        <v>2098</v>
      </c>
      <c r="Q151" s="20"/>
      <c r="R151" s="20"/>
    </row>
    <row r="152" spans="1:18" ht="14.4" x14ac:dyDescent="0.3">
      <c r="A152" s="5">
        <v>145</v>
      </c>
      <c r="B152" s="17" t="s">
        <v>718</v>
      </c>
      <c r="C152" s="6">
        <v>11204730</v>
      </c>
      <c r="D152" s="6">
        <v>3003093074</v>
      </c>
      <c r="E152" s="6" t="s">
        <v>20</v>
      </c>
      <c r="F152" s="7" t="s">
        <v>20</v>
      </c>
      <c r="G152" s="7" t="s">
        <v>20</v>
      </c>
      <c r="H152" s="8" t="s">
        <v>719</v>
      </c>
      <c r="I152" s="17" t="s">
        <v>1395</v>
      </c>
      <c r="J152" s="6" t="s">
        <v>115</v>
      </c>
      <c r="K152" s="6" t="s">
        <v>144</v>
      </c>
      <c r="L152" s="6" t="s">
        <v>720</v>
      </c>
      <c r="M152" s="6" t="s">
        <v>17</v>
      </c>
      <c r="N152" s="6" t="s">
        <v>60</v>
      </c>
      <c r="O152" t="s">
        <v>119</v>
      </c>
      <c r="P152" s="25" t="s">
        <v>2112</v>
      </c>
    </row>
    <row r="153" spans="1:18" ht="14.4" x14ac:dyDescent="0.3">
      <c r="A153" s="5">
        <v>146</v>
      </c>
      <c r="B153" s="17" t="s">
        <v>721</v>
      </c>
      <c r="C153" s="6">
        <v>5710812</v>
      </c>
      <c r="D153" s="6">
        <v>3153353328</v>
      </c>
      <c r="E153" s="12" t="s">
        <v>722</v>
      </c>
      <c r="F153" s="7">
        <v>46042</v>
      </c>
      <c r="G153" s="7">
        <v>46346</v>
      </c>
      <c r="H153" s="8" t="s">
        <v>723</v>
      </c>
      <c r="I153" s="6" t="s">
        <v>270</v>
      </c>
      <c r="J153" s="6" t="s">
        <v>143</v>
      </c>
      <c r="K153" s="6" t="s">
        <v>524</v>
      </c>
      <c r="L153" s="6" t="s">
        <v>724</v>
      </c>
      <c r="M153" s="6" t="s">
        <v>17</v>
      </c>
      <c r="N153" s="6" t="s">
        <v>725</v>
      </c>
      <c r="O153" t="s">
        <v>125</v>
      </c>
      <c r="P153" s="25" t="s">
        <v>2112</v>
      </c>
    </row>
    <row r="154" spans="1:18" ht="14.4" x14ac:dyDescent="0.3">
      <c r="A154" s="5">
        <v>147</v>
      </c>
      <c r="B154" s="17" t="s">
        <v>726</v>
      </c>
      <c r="C154" s="6">
        <v>52777129</v>
      </c>
      <c r="D154" s="6">
        <v>3212128327</v>
      </c>
      <c r="E154" s="12" t="s">
        <v>727</v>
      </c>
      <c r="F154" s="7">
        <v>46036</v>
      </c>
      <c r="G154" s="7">
        <v>46370</v>
      </c>
      <c r="H154" s="8" t="s">
        <v>728</v>
      </c>
      <c r="I154" s="6" t="s">
        <v>587</v>
      </c>
      <c r="J154" s="6" t="s">
        <v>115</v>
      </c>
      <c r="K154" s="6" t="s">
        <v>164</v>
      </c>
      <c r="L154" s="6" t="s">
        <v>729</v>
      </c>
      <c r="M154" s="6" t="s">
        <v>17</v>
      </c>
      <c r="N154" s="6" t="s">
        <v>60</v>
      </c>
      <c r="O154" t="s">
        <v>125</v>
      </c>
      <c r="P154" s="25" t="s">
        <v>2112</v>
      </c>
    </row>
    <row r="155" spans="1:18" ht="14.4" x14ac:dyDescent="0.3">
      <c r="A155" s="16">
        <v>148</v>
      </c>
      <c r="B155" s="17" t="s">
        <v>730</v>
      </c>
      <c r="C155" s="6">
        <v>1019132150</v>
      </c>
      <c r="D155" s="6">
        <v>3115143524</v>
      </c>
      <c r="E155" s="12" t="s">
        <v>731</v>
      </c>
      <c r="F155" s="7">
        <v>46041</v>
      </c>
      <c r="G155" s="7">
        <v>46356</v>
      </c>
      <c r="H155" s="8" t="s">
        <v>732</v>
      </c>
      <c r="I155" s="6" t="s">
        <v>256</v>
      </c>
      <c r="J155" s="6" t="s">
        <v>106</v>
      </c>
      <c r="K155" s="6" t="s">
        <v>56</v>
      </c>
      <c r="L155" s="6" t="s">
        <v>733</v>
      </c>
      <c r="M155" s="6" t="s">
        <v>17</v>
      </c>
      <c r="N155" s="6" t="s">
        <v>734</v>
      </c>
      <c r="O155" t="s">
        <v>125</v>
      </c>
      <c r="P155" s="25" t="s">
        <v>2112</v>
      </c>
    </row>
    <row r="156" spans="1:18" ht="14.4" x14ac:dyDescent="0.3">
      <c r="A156" s="5">
        <v>149</v>
      </c>
      <c r="B156" s="17" t="s">
        <v>735</v>
      </c>
      <c r="C156" s="6">
        <v>79328182</v>
      </c>
      <c r="D156" s="6">
        <v>3166210717</v>
      </c>
      <c r="E156" s="12" t="s">
        <v>736</v>
      </c>
      <c r="F156" s="7">
        <v>46035</v>
      </c>
      <c r="G156" s="7">
        <v>46379</v>
      </c>
      <c r="H156" s="8" t="s">
        <v>737</v>
      </c>
      <c r="I156" s="6" t="s">
        <v>587</v>
      </c>
      <c r="J156" s="6" t="s">
        <v>115</v>
      </c>
      <c r="K156" s="6" t="s">
        <v>196</v>
      </c>
      <c r="L156" s="6" t="s">
        <v>738</v>
      </c>
      <c r="M156" s="6" t="s">
        <v>17</v>
      </c>
      <c r="N156" s="6" t="s">
        <v>24</v>
      </c>
      <c r="O156" t="s">
        <v>125</v>
      </c>
      <c r="P156" s="25" t="s">
        <v>2112</v>
      </c>
    </row>
    <row r="157" spans="1:18" ht="14.4" x14ac:dyDescent="0.3">
      <c r="A157" s="5">
        <v>150</v>
      </c>
      <c r="B157" s="17" t="s">
        <v>739</v>
      </c>
      <c r="C157" s="6">
        <v>51940883</v>
      </c>
      <c r="D157" s="6">
        <v>3103348195</v>
      </c>
      <c r="E157" s="12" t="s">
        <v>740</v>
      </c>
      <c r="F157" s="7">
        <v>46049</v>
      </c>
      <c r="G157" s="7">
        <v>46387</v>
      </c>
      <c r="H157" s="8" t="s">
        <v>741</v>
      </c>
      <c r="I157" s="6" t="s">
        <v>742</v>
      </c>
      <c r="J157" s="6" t="s">
        <v>115</v>
      </c>
      <c r="K157" s="6" t="s">
        <v>743</v>
      </c>
      <c r="L157" s="6" t="s">
        <v>744</v>
      </c>
      <c r="M157" s="6" t="s">
        <v>17</v>
      </c>
      <c r="N157" s="6" t="s">
        <v>44</v>
      </c>
      <c r="O157" t="s">
        <v>125</v>
      </c>
      <c r="P157" s="25" t="s">
        <v>2112</v>
      </c>
    </row>
    <row r="158" spans="1:18" ht="14.4" x14ac:dyDescent="0.3">
      <c r="A158" s="5">
        <v>151</v>
      </c>
      <c r="B158" s="17" t="s">
        <v>745</v>
      </c>
      <c r="C158" s="6">
        <v>67023991</v>
      </c>
      <c r="D158" s="6">
        <v>3214263022</v>
      </c>
      <c r="E158" s="12" t="s">
        <v>746</v>
      </c>
      <c r="F158" s="7">
        <v>46035</v>
      </c>
      <c r="G158" s="7">
        <v>46387</v>
      </c>
      <c r="H158" s="8" t="s">
        <v>747</v>
      </c>
      <c r="I158" s="6" t="s">
        <v>2110</v>
      </c>
      <c r="J158" s="6" t="s">
        <v>115</v>
      </c>
      <c r="K158" s="6" t="s">
        <v>348</v>
      </c>
      <c r="L158" s="6" t="s">
        <v>748</v>
      </c>
      <c r="M158" s="6" t="s">
        <v>253</v>
      </c>
      <c r="N158" s="6" t="s">
        <v>146</v>
      </c>
      <c r="O158" t="s">
        <v>125</v>
      </c>
      <c r="P158" s="25" t="s">
        <v>2112</v>
      </c>
    </row>
    <row r="159" spans="1:18" ht="14.4" x14ac:dyDescent="0.3">
      <c r="A159" s="16">
        <v>152</v>
      </c>
      <c r="B159" s="17" t="s">
        <v>749</v>
      </c>
      <c r="C159" s="6">
        <v>11433116</v>
      </c>
      <c r="D159" s="6">
        <v>3123789683</v>
      </c>
      <c r="E159" s="6" t="s">
        <v>20</v>
      </c>
      <c r="F159" s="7" t="s">
        <v>20</v>
      </c>
      <c r="G159" s="7" t="s">
        <v>20</v>
      </c>
      <c r="H159" s="8" t="s">
        <v>750</v>
      </c>
      <c r="I159" s="6" t="s">
        <v>270</v>
      </c>
      <c r="J159" s="6" t="s">
        <v>143</v>
      </c>
      <c r="K159" s="6" t="s">
        <v>751</v>
      </c>
      <c r="L159" s="6" t="s">
        <v>752</v>
      </c>
      <c r="M159" s="6" t="s">
        <v>17</v>
      </c>
      <c r="N159" s="6" t="s">
        <v>248</v>
      </c>
      <c r="O159" t="s">
        <v>119</v>
      </c>
      <c r="P159" s="25" t="s">
        <v>2112</v>
      </c>
    </row>
    <row r="160" spans="1:18" ht="14.4" x14ac:dyDescent="0.3">
      <c r="A160" s="5">
        <v>153</v>
      </c>
      <c r="B160" s="17" t="s">
        <v>2106</v>
      </c>
      <c r="C160" s="6">
        <v>91495511</v>
      </c>
      <c r="D160" s="6">
        <v>3163208044</v>
      </c>
      <c r="E160" s="6" t="s">
        <v>2105</v>
      </c>
      <c r="F160" s="7">
        <v>46048</v>
      </c>
      <c r="G160" s="7">
        <v>46387</v>
      </c>
      <c r="H160" s="8" t="s">
        <v>753</v>
      </c>
      <c r="I160" s="6" t="s">
        <v>201</v>
      </c>
      <c r="J160" s="6" t="s">
        <v>106</v>
      </c>
      <c r="K160" s="6" t="s">
        <v>754</v>
      </c>
      <c r="L160" s="6" t="s">
        <v>755</v>
      </c>
      <c r="M160" s="6" t="s">
        <v>17</v>
      </c>
      <c r="N160" s="6" t="s">
        <v>24</v>
      </c>
      <c r="O160" t="s">
        <v>125</v>
      </c>
      <c r="P160" s="25" t="s">
        <v>2112</v>
      </c>
    </row>
    <row r="161" spans="1:18" ht="14.4" x14ac:dyDescent="0.3">
      <c r="A161" s="5">
        <v>154</v>
      </c>
      <c r="B161" s="17" t="s">
        <v>756</v>
      </c>
      <c r="C161" s="6">
        <v>79908099</v>
      </c>
      <c r="D161" s="6">
        <v>3012386108</v>
      </c>
      <c r="E161" s="12" t="s">
        <v>757</v>
      </c>
      <c r="F161" s="7">
        <v>46045</v>
      </c>
      <c r="G161" s="7">
        <v>46387</v>
      </c>
      <c r="H161" s="8" t="s">
        <v>758</v>
      </c>
      <c r="I161" s="6" t="s">
        <v>325</v>
      </c>
      <c r="J161" s="6" t="s">
        <v>143</v>
      </c>
      <c r="K161" s="6" t="s">
        <v>408</v>
      </c>
      <c r="L161" s="6" t="s">
        <v>759</v>
      </c>
      <c r="M161" s="6" t="s">
        <v>253</v>
      </c>
      <c r="N161" s="6" t="s">
        <v>60</v>
      </c>
      <c r="O161" t="s">
        <v>125</v>
      </c>
      <c r="P161" s="25" t="s">
        <v>2112</v>
      </c>
    </row>
    <row r="162" spans="1:18" ht="14.4" x14ac:dyDescent="0.3">
      <c r="A162" s="5">
        <v>155</v>
      </c>
      <c r="B162" s="17" t="s">
        <v>760</v>
      </c>
      <c r="C162" s="6">
        <v>80543468</v>
      </c>
      <c r="D162" s="6">
        <v>3108847606</v>
      </c>
      <c r="E162" s="12" t="s">
        <v>761</v>
      </c>
      <c r="F162" s="7">
        <v>46031</v>
      </c>
      <c r="G162" s="7">
        <v>46387</v>
      </c>
      <c r="H162" s="8" t="s">
        <v>762</v>
      </c>
      <c r="I162" s="6" t="s">
        <v>2110</v>
      </c>
      <c r="J162" s="6" t="s">
        <v>143</v>
      </c>
      <c r="K162" s="6" t="s">
        <v>64</v>
      </c>
      <c r="L162" s="6" t="s">
        <v>763</v>
      </c>
      <c r="M162" s="6" t="s">
        <v>17</v>
      </c>
      <c r="N162" s="6" t="s">
        <v>66</v>
      </c>
      <c r="O162" t="s">
        <v>125</v>
      </c>
      <c r="P162" s="25" t="s">
        <v>2112</v>
      </c>
    </row>
    <row r="163" spans="1:18" ht="14.4" x14ac:dyDescent="0.3">
      <c r="A163" s="16">
        <v>156</v>
      </c>
      <c r="B163" s="17" t="s">
        <v>764</v>
      </c>
      <c r="C163" s="6">
        <v>1010206263</v>
      </c>
      <c r="D163" s="6">
        <v>3204811196</v>
      </c>
      <c r="E163" s="12" t="s">
        <v>765</v>
      </c>
      <c r="F163" s="7">
        <v>46036</v>
      </c>
      <c r="G163" s="7">
        <v>46273</v>
      </c>
      <c r="H163" s="8" t="s">
        <v>766</v>
      </c>
      <c r="I163" s="6" t="s">
        <v>2110</v>
      </c>
      <c r="J163" s="6" t="s">
        <v>115</v>
      </c>
      <c r="K163" s="6" t="s">
        <v>616</v>
      </c>
      <c r="L163" s="6" t="s">
        <v>767</v>
      </c>
      <c r="M163" s="6" t="s">
        <v>17</v>
      </c>
      <c r="N163" s="6" t="s">
        <v>146</v>
      </c>
      <c r="O163" t="s">
        <v>125</v>
      </c>
      <c r="P163" s="25" t="s">
        <v>2112</v>
      </c>
    </row>
    <row r="164" spans="1:18" ht="14.4" x14ac:dyDescent="0.3">
      <c r="A164" s="5">
        <v>157</v>
      </c>
      <c r="B164" s="17" t="s">
        <v>768</v>
      </c>
      <c r="C164" s="6">
        <v>1020722791</v>
      </c>
      <c r="D164" s="6">
        <v>3194507035</v>
      </c>
      <c r="E164" s="12" t="s">
        <v>769</v>
      </c>
      <c r="F164" s="7">
        <v>46043</v>
      </c>
      <c r="G164" s="7">
        <v>46387</v>
      </c>
      <c r="H164" s="8" t="s">
        <v>770</v>
      </c>
      <c r="I164" s="6" t="s">
        <v>434</v>
      </c>
      <c r="J164" s="6" t="s">
        <v>143</v>
      </c>
      <c r="K164" s="6" t="s">
        <v>771</v>
      </c>
      <c r="L164" s="6" t="s">
        <v>772</v>
      </c>
      <c r="M164" s="6" t="s">
        <v>17</v>
      </c>
      <c r="N164" s="6" t="s">
        <v>773</v>
      </c>
      <c r="O164" t="s">
        <v>125</v>
      </c>
      <c r="P164" s="25" t="s">
        <v>2112</v>
      </c>
    </row>
    <row r="165" spans="1:18" ht="14.4" x14ac:dyDescent="0.3">
      <c r="A165" s="5">
        <v>158</v>
      </c>
      <c r="B165" s="17" t="s">
        <v>774</v>
      </c>
      <c r="C165" s="6">
        <v>1026568929</v>
      </c>
      <c r="D165" s="6">
        <v>3156165304</v>
      </c>
      <c r="E165" s="12" t="s">
        <v>775</v>
      </c>
      <c r="F165" s="7">
        <v>46045</v>
      </c>
      <c r="G165" s="7">
        <v>46387</v>
      </c>
      <c r="H165" s="8" t="s">
        <v>776</v>
      </c>
      <c r="I165" s="6" t="s">
        <v>201</v>
      </c>
      <c r="J165" s="6" t="s">
        <v>143</v>
      </c>
      <c r="K165" s="6" t="s">
        <v>777</v>
      </c>
      <c r="L165" s="6" t="s">
        <v>778</v>
      </c>
      <c r="M165" s="6" t="s">
        <v>17</v>
      </c>
      <c r="N165" s="6" t="s">
        <v>725</v>
      </c>
      <c r="O165" t="s">
        <v>125</v>
      </c>
      <c r="P165" s="25" t="s">
        <v>2112</v>
      </c>
    </row>
    <row r="166" spans="1:18" ht="14.4" x14ac:dyDescent="0.3">
      <c r="A166" s="5">
        <v>159</v>
      </c>
      <c r="B166" s="17" t="s">
        <v>779</v>
      </c>
      <c r="C166" s="6">
        <v>80121497</v>
      </c>
      <c r="D166" s="6">
        <v>3003457997</v>
      </c>
      <c r="E166" s="6" t="s">
        <v>20</v>
      </c>
      <c r="F166" s="7" t="s">
        <v>20</v>
      </c>
      <c r="G166" s="7" t="s">
        <v>20</v>
      </c>
      <c r="H166" s="8" t="s">
        <v>780</v>
      </c>
      <c r="I166" s="6" t="s">
        <v>1229</v>
      </c>
      <c r="J166" s="6" t="s">
        <v>115</v>
      </c>
      <c r="K166" s="6" t="s">
        <v>781</v>
      </c>
      <c r="L166" s="6" t="s">
        <v>782</v>
      </c>
      <c r="M166" s="6" t="s">
        <v>17</v>
      </c>
      <c r="N166" s="6" t="s">
        <v>66</v>
      </c>
      <c r="O166" t="s">
        <v>119</v>
      </c>
      <c r="P166" s="25" t="s">
        <v>2112</v>
      </c>
    </row>
    <row r="167" spans="1:18" ht="14.4" x14ac:dyDescent="0.3">
      <c r="A167" s="16">
        <v>160</v>
      </c>
      <c r="B167" s="17" t="s">
        <v>783</v>
      </c>
      <c r="C167" s="17">
        <v>1020716220</v>
      </c>
      <c r="D167" s="17">
        <v>3103201521</v>
      </c>
      <c r="E167" s="17" t="s">
        <v>784</v>
      </c>
      <c r="F167" s="18">
        <v>46031</v>
      </c>
      <c r="G167" s="18">
        <v>46209</v>
      </c>
      <c r="H167" s="8" t="s">
        <v>785</v>
      </c>
      <c r="I167" s="17" t="s">
        <v>299</v>
      </c>
      <c r="J167" s="6" t="s">
        <v>143</v>
      </c>
      <c r="K167" s="17" t="s">
        <v>58</v>
      </c>
      <c r="L167" s="17" t="s">
        <v>786</v>
      </c>
      <c r="M167" s="17" t="s">
        <v>17</v>
      </c>
      <c r="N167" s="17" t="s">
        <v>52</v>
      </c>
      <c r="O167" s="19" t="s">
        <v>125</v>
      </c>
      <c r="P167" s="21" t="s">
        <v>2098</v>
      </c>
      <c r="Q167" s="20"/>
      <c r="R167" s="20"/>
    </row>
    <row r="168" spans="1:18" ht="14.4" x14ac:dyDescent="0.3">
      <c r="A168" s="5">
        <v>161</v>
      </c>
      <c r="B168" s="17" t="s">
        <v>787</v>
      </c>
      <c r="C168" s="6">
        <v>80766953</v>
      </c>
      <c r="D168" s="6">
        <v>3124619148</v>
      </c>
      <c r="E168" s="12" t="s">
        <v>788</v>
      </c>
      <c r="F168" s="7">
        <v>46035</v>
      </c>
      <c r="G168" s="7">
        <v>46277</v>
      </c>
      <c r="H168" s="8" t="s">
        <v>789</v>
      </c>
      <c r="I168" s="6" t="s">
        <v>500</v>
      </c>
      <c r="J168" s="6" t="s">
        <v>143</v>
      </c>
      <c r="K168" s="6" t="s">
        <v>790</v>
      </c>
      <c r="L168" s="6" t="s">
        <v>791</v>
      </c>
      <c r="M168" s="6" t="s">
        <v>17</v>
      </c>
      <c r="N168" s="6" t="s">
        <v>66</v>
      </c>
      <c r="O168" t="s">
        <v>125</v>
      </c>
      <c r="P168" s="25" t="s">
        <v>2112</v>
      </c>
    </row>
    <row r="169" spans="1:18" ht="14.4" x14ac:dyDescent="0.3">
      <c r="A169" s="5">
        <v>162</v>
      </c>
      <c r="B169" s="17" t="s">
        <v>792</v>
      </c>
      <c r="C169" s="6">
        <v>80060504</v>
      </c>
      <c r="D169" s="6">
        <v>3176435060</v>
      </c>
      <c r="E169" s="6" t="s">
        <v>793</v>
      </c>
      <c r="F169" s="7">
        <v>46037</v>
      </c>
      <c r="G169" s="7">
        <v>46371</v>
      </c>
      <c r="H169" s="8" t="s">
        <v>794</v>
      </c>
      <c r="I169" s="6" t="s">
        <v>587</v>
      </c>
      <c r="J169" s="6" t="s">
        <v>106</v>
      </c>
      <c r="K169" s="6" t="s">
        <v>795</v>
      </c>
      <c r="L169" s="6" t="s">
        <v>796</v>
      </c>
      <c r="M169" s="6" t="s">
        <v>17</v>
      </c>
      <c r="N169" s="6" t="s">
        <v>797</v>
      </c>
      <c r="O169" t="s">
        <v>125</v>
      </c>
      <c r="P169" s="25" t="s">
        <v>2112</v>
      </c>
    </row>
    <row r="170" spans="1:18" ht="14.4" x14ac:dyDescent="0.3">
      <c r="A170" s="5">
        <v>163</v>
      </c>
      <c r="B170" s="17" t="s">
        <v>798</v>
      </c>
      <c r="C170" s="6">
        <v>5770982</v>
      </c>
      <c r="D170" s="6">
        <v>3164707235</v>
      </c>
      <c r="E170" s="12" t="s">
        <v>799</v>
      </c>
      <c r="F170" s="7">
        <v>46048</v>
      </c>
      <c r="G170" s="7">
        <v>46371</v>
      </c>
      <c r="H170" s="8" t="s">
        <v>800</v>
      </c>
      <c r="I170" s="17" t="s">
        <v>1667</v>
      </c>
      <c r="J170" s="6" t="s">
        <v>115</v>
      </c>
      <c r="K170" s="6" t="s">
        <v>164</v>
      </c>
      <c r="L170" s="6" t="s">
        <v>801</v>
      </c>
      <c r="M170" s="6" t="s">
        <v>17</v>
      </c>
      <c r="N170" s="6" t="s">
        <v>60</v>
      </c>
      <c r="O170" t="s">
        <v>125</v>
      </c>
      <c r="P170" s="25" t="s">
        <v>2112</v>
      </c>
    </row>
    <row r="171" spans="1:18" ht="14.4" x14ac:dyDescent="0.3">
      <c r="A171" s="16">
        <v>164</v>
      </c>
      <c r="B171" s="17" t="s">
        <v>802</v>
      </c>
      <c r="C171" s="17">
        <v>52494966</v>
      </c>
      <c r="D171" s="17">
        <v>3132523070</v>
      </c>
      <c r="E171" s="23" t="s">
        <v>803</v>
      </c>
      <c r="F171" s="18">
        <v>46031</v>
      </c>
      <c r="G171" s="18">
        <v>46242</v>
      </c>
      <c r="H171" s="8" t="s">
        <v>804</v>
      </c>
      <c r="I171" s="6" t="s">
        <v>270</v>
      </c>
      <c r="J171" s="6" t="s">
        <v>106</v>
      </c>
      <c r="K171" s="17" t="s">
        <v>805</v>
      </c>
      <c r="L171" s="17" t="s">
        <v>806</v>
      </c>
      <c r="M171" s="17" t="s">
        <v>17</v>
      </c>
      <c r="N171" s="17" t="s">
        <v>24</v>
      </c>
      <c r="O171" s="19" t="s">
        <v>125</v>
      </c>
      <c r="P171" s="22" t="s">
        <v>2098</v>
      </c>
      <c r="Q171" s="20"/>
      <c r="R171" s="20"/>
    </row>
    <row r="172" spans="1:18" ht="14.4" x14ac:dyDescent="0.3">
      <c r="A172" s="5">
        <v>165</v>
      </c>
      <c r="B172" s="17" t="s">
        <v>807</v>
      </c>
      <c r="C172" s="6">
        <v>28483877</v>
      </c>
      <c r="D172" s="6">
        <v>3206522181</v>
      </c>
      <c r="E172" s="12" t="s">
        <v>808</v>
      </c>
      <c r="F172" s="7">
        <v>46035</v>
      </c>
      <c r="G172" s="7">
        <v>46216</v>
      </c>
      <c r="H172" s="8" t="s">
        <v>809</v>
      </c>
      <c r="I172" s="6" t="s">
        <v>270</v>
      </c>
      <c r="J172" s="6" t="s">
        <v>143</v>
      </c>
      <c r="K172" s="6" t="s">
        <v>810</v>
      </c>
      <c r="L172" s="6" t="s">
        <v>811</v>
      </c>
      <c r="M172" s="6" t="s">
        <v>253</v>
      </c>
      <c r="N172" s="6" t="s">
        <v>166</v>
      </c>
      <c r="O172" t="s">
        <v>125</v>
      </c>
      <c r="P172" s="25" t="s">
        <v>2112</v>
      </c>
    </row>
    <row r="173" spans="1:18" ht="14.4" x14ac:dyDescent="0.3">
      <c r="A173" s="5">
        <v>166</v>
      </c>
      <c r="B173" s="17" t="s">
        <v>812</v>
      </c>
      <c r="C173" s="17">
        <v>1140882919</v>
      </c>
      <c r="D173" s="17">
        <v>3012086860</v>
      </c>
      <c r="E173" s="17" t="s">
        <v>813</v>
      </c>
      <c r="F173" s="18">
        <v>46044</v>
      </c>
      <c r="G173" s="18">
        <v>46226</v>
      </c>
      <c r="H173" s="8" t="s">
        <v>814</v>
      </c>
      <c r="I173" s="6" t="s">
        <v>270</v>
      </c>
      <c r="J173" s="6" t="s">
        <v>115</v>
      </c>
      <c r="K173" s="17" t="s">
        <v>815</v>
      </c>
      <c r="L173" s="17" t="s">
        <v>30</v>
      </c>
      <c r="M173" s="17" t="s">
        <v>17</v>
      </c>
      <c r="N173" s="17" t="s">
        <v>66</v>
      </c>
      <c r="O173" s="19" t="s">
        <v>125</v>
      </c>
      <c r="P173" s="21" t="s">
        <v>2098</v>
      </c>
      <c r="Q173" s="20"/>
      <c r="R173" s="20"/>
    </row>
    <row r="174" spans="1:18" ht="14.4" x14ac:dyDescent="0.3">
      <c r="A174" s="5">
        <v>167</v>
      </c>
      <c r="B174" s="17" t="s">
        <v>816</v>
      </c>
      <c r="C174" s="6">
        <v>1026271116</v>
      </c>
      <c r="D174" s="6">
        <v>3187948753</v>
      </c>
      <c r="E174" s="6" t="s">
        <v>20</v>
      </c>
      <c r="F174" s="7" t="s">
        <v>20</v>
      </c>
      <c r="G174" s="7" t="s">
        <v>20</v>
      </c>
      <c r="H174" s="8" t="s">
        <v>817</v>
      </c>
      <c r="I174" s="6" t="s">
        <v>270</v>
      </c>
      <c r="J174" s="6" t="s">
        <v>143</v>
      </c>
      <c r="K174" s="6" t="s">
        <v>337</v>
      </c>
      <c r="L174" s="6" t="s">
        <v>818</v>
      </c>
      <c r="M174" s="6" t="s">
        <v>17</v>
      </c>
      <c r="N174" s="6" t="s">
        <v>60</v>
      </c>
      <c r="O174" t="s">
        <v>119</v>
      </c>
      <c r="P174" s="25" t="s">
        <v>2112</v>
      </c>
    </row>
    <row r="175" spans="1:18" ht="14.4" x14ac:dyDescent="0.3">
      <c r="A175" s="16">
        <v>168</v>
      </c>
      <c r="B175" s="17" t="s">
        <v>819</v>
      </c>
      <c r="C175" s="17">
        <v>1121869677</v>
      </c>
      <c r="D175" s="17">
        <v>3212005607</v>
      </c>
      <c r="E175" s="23" t="s">
        <v>820</v>
      </c>
      <c r="F175" s="18">
        <v>46035</v>
      </c>
      <c r="G175" s="18">
        <v>46216</v>
      </c>
      <c r="H175" s="8" t="s">
        <v>821</v>
      </c>
      <c r="I175" s="6" t="s">
        <v>270</v>
      </c>
      <c r="J175" s="6" t="s">
        <v>115</v>
      </c>
      <c r="K175" s="17" t="s">
        <v>681</v>
      </c>
      <c r="L175" s="17" t="s">
        <v>822</v>
      </c>
      <c r="M175" s="17" t="s">
        <v>17</v>
      </c>
      <c r="N175" s="17" t="s">
        <v>66</v>
      </c>
      <c r="O175" s="19" t="s">
        <v>125</v>
      </c>
      <c r="P175" s="21" t="s">
        <v>2098</v>
      </c>
      <c r="Q175" s="20"/>
      <c r="R175" s="20"/>
    </row>
    <row r="176" spans="1:18" ht="14.4" x14ac:dyDescent="0.3">
      <c r="A176" s="5">
        <v>169</v>
      </c>
      <c r="B176" s="17" t="s">
        <v>823</v>
      </c>
      <c r="C176" s="6">
        <v>1020731626</v>
      </c>
      <c r="D176" s="6">
        <v>3155350751</v>
      </c>
      <c r="E176" s="12" t="s">
        <v>824</v>
      </c>
      <c r="F176" s="7">
        <v>46049</v>
      </c>
      <c r="G176" s="7">
        <v>46387</v>
      </c>
      <c r="H176" s="8" t="s">
        <v>825</v>
      </c>
      <c r="I176" s="6" t="s">
        <v>325</v>
      </c>
      <c r="J176" s="6" t="s">
        <v>143</v>
      </c>
      <c r="K176" s="6" t="s">
        <v>75</v>
      </c>
      <c r="L176" s="6" t="s">
        <v>826</v>
      </c>
      <c r="M176" s="6" t="s">
        <v>253</v>
      </c>
      <c r="N176" s="6" t="s">
        <v>44</v>
      </c>
      <c r="O176" t="s">
        <v>125</v>
      </c>
      <c r="P176" s="25" t="s">
        <v>2112</v>
      </c>
    </row>
    <row r="177" spans="1:18" ht="14.4" x14ac:dyDescent="0.3">
      <c r="A177" s="5">
        <v>170</v>
      </c>
      <c r="B177" s="17" t="s">
        <v>827</v>
      </c>
      <c r="C177" s="6">
        <v>52907657</v>
      </c>
      <c r="D177" s="6">
        <v>3123779731</v>
      </c>
      <c r="E177" s="12" t="s">
        <v>828</v>
      </c>
      <c r="F177" s="7">
        <v>46044</v>
      </c>
      <c r="G177" s="7">
        <v>46255</v>
      </c>
      <c r="H177" s="8" t="s">
        <v>829</v>
      </c>
      <c r="I177" s="6" t="s">
        <v>1843</v>
      </c>
      <c r="J177" s="6" t="s">
        <v>143</v>
      </c>
      <c r="K177" s="6" t="s">
        <v>830</v>
      </c>
      <c r="L177" s="6" t="s">
        <v>831</v>
      </c>
      <c r="M177" s="6" t="s">
        <v>17</v>
      </c>
      <c r="N177" s="6" t="s">
        <v>44</v>
      </c>
      <c r="O177" t="s">
        <v>125</v>
      </c>
      <c r="P177" s="25" t="s">
        <v>2112</v>
      </c>
    </row>
    <row r="178" spans="1:18" ht="14.4" x14ac:dyDescent="0.3">
      <c r="A178" s="5">
        <v>171</v>
      </c>
      <c r="B178" s="17" t="s">
        <v>832</v>
      </c>
      <c r="C178" s="6">
        <v>1030579980</v>
      </c>
      <c r="D178" s="6">
        <v>3112350620</v>
      </c>
      <c r="E178" s="12" t="s">
        <v>833</v>
      </c>
      <c r="F178" s="7">
        <v>46042</v>
      </c>
      <c r="G178" s="7">
        <v>46387</v>
      </c>
      <c r="H178" s="8" t="s">
        <v>834</v>
      </c>
      <c r="I178" s="6" t="s">
        <v>2109</v>
      </c>
      <c r="J178" s="6" t="s">
        <v>106</v>
      </c>
      <c r="K178" s="6" t="s">
        <v>701</v>
      </c>
      <c r="L178" s="6" t="s">
        <v>835</v>
      </c>
      <c r="M178" s="6" t="s">
        <v>17</v>
      </c>
      <c r="N178" s="6" t="s">
        <v>24</v>
      </c>
      <c r="O178" t="s">
        <v>125</v>
      </c>
      <c r="P178" s="25" t="s">
        <v>2112</v>
      </c>
    </row>
    <row r="179" spans="1:18" ht="14.4" x14ac:dyDescent="0.3">
      <c r="A179" s="16">
        <v>172</v>
      </c>
      <c r="B179" s="17" t="s">
        <v>836</v>
      </c>
      <c r="C179" s="6">
        <v>79798056</v>
      </c>
      <c r="D179" s="6">
        <v>3112816837</v>
      </c>
      <c r="E179" s="12" t="s">
        <v>837</v>
      </c>
      <c r="F179" s="7">
        <v>46036</v>
      </c>
      <c r="G179" s="7">
        <v>46216</v>
      </c>
      <c r="H179" s="8" t="s">
        <v>838</v>
      </c>
      <c r="I179" s="6" t="s">
        <v>1353</v>
      </c>
      <c r="J179" s="6" t="s">
        <v>115</v>
      </c>
      <c r="K179" s="6" t="s">
        <v>246</v>
      </c>
      <c r="L179" s="6" t="s">
        <v>839</v>
      </c>
      <c r="M179" s="6" t="s">
        <v>17</v>
      </c>
      <c r="N179" s="6" t="s">
        <v>166</v>
      </c>
      <c r="O179" t="s">
        <v>125</v>
      </c>
      <c r="P179" s="25" t="s">
        <v>2112</v>
      </c>
    </row>
    <row r="180" spans="1:18" ht="14.4" x14ac:dyDescent="0.3">
      <c r="A180" s="5">
        <v>173</v>
      </c>
      <c r="B180" s="17" t="s">
        <v>840</v>
      </c>
      <c r="C180" s="6">
        <v>52152263</v>
      </c>
      <c r="D180" s="6">
        <v>3203940357</v>
      </c>
      <c r="E180" s="12" t="s">
        <v>841</v>
      </c>
      <c r="F180" s="7">
        <v>46035</v>
      </c>
      <c r="G180" s="7">
        <v>46338</v>
      </c>
      <c r="H180" s="8" t="s">
        <v>842</v>
      </c>
      <c r="I180" s="6" t="s">
        <v>2109</v>
      </c>
      <c r="J180" s="6" t="s">
        <v>115</v>
      </c>
      <c r="K180" s="6" t="s">
        <v>843</v>
      </c>
      <c r="L180" s="6" t="s">
        <v>844</v>
      </c>
      <c r="M180" s="6" t="s">
        <v>17</v>
      </c>
      <c r="N180" s="6" t="s">
        <v>845</v>
      </c>
      <c r="O180" t="s">
        <v>125</v>
      </c>
      <c r="P180" s="25" t="s">
        <v>2112</v>
      </c>
    </row>
    <row r="181" spans="1:18" ht="14.4" x14ac:dyDescent="0.3">
      <c r="A181" s="5">
        <v>174</v>
      </c>
      <c r="B181" s="17" t="s">
        <v>846</v>
      </c>
      <c r="C181" s="6">
        <v>1073152672</v>
      </c>
      <c r="D181" s="6">
        <v>3102543144</v>
      </c>
      <c r="E181" s="12" t="s">
        <v>847</v>
      </c>
      <c r="F181" s="7">
        <v>46038</v>
      </c>
      <c r="G181" s="7">
        <v>46387</v>
      </c>
      <c r="H181" s="8" t="s">
        <v>848</v>
      </c>
      <c r="I181" s="17" t="s">
        <v>2011</v>
      </c>
      <c r="J181" s="6" t="s">
        <v>106</v>
      </c>
      <c r="K181" s="6" t="s">
        <v>849</v>
      </c>
      <c r="L181" s="6" t="s">
        <v>850</v>
      </c>
      <c r="M181" s="6" t="s">
        <v>17</v>
      </c>
      <c r="N181" s="6" t="s">
        <v>851</v>
      </c>
      <c r="O181" t="s">
        <v>125</v>
      </c>
      <c r="P181" s="25" t="s">
        <v>2112</v>
      </c>
    </row>
    <row r="182" spans="1:18" ht="14.4" x14ac:dyDescent="0.3">
      <c r="A182" s="5">
        <v>175</v>
      </c>
      <c r="B182" s="17" t="s">
        <v>852</v>
      </c>
      <c r="C182" s="6">
        <v>6769668</v>
      </c>
      <c r="D182" s="6">
        <v>3105680410</v>
      </c>
      <c r="E182" s="6" t="s">
        <v>20</v>
      </c>
      <c r="F182" s="7" t="s">
        <v>20</v>
      </c>
      <c r="G182" s="7" t="s">
        <v>20</v>
      </c>
      <c r="H182" s="8" t="s">
        <v>853</v>
      </c>
      <c r="I182" s="6" t="s">
        <v>500</v>
      </c>
      <c r="J182" s="6" t="s">
        <v>115</v>
      </c>
      <c r="K182" s="6" t="s">
        <v>144</v>
      </c>
      <c r="L182" s="6" t="s">
        <v>854</v>
      </c>
      <c r="M182" s="6" t="s">
        <v>17</v>
      </c>
      <c r="N182" s="6" t="s">
        <v>339</v>
      </c>
      <c r="O182" t="s">
        <v>119</v>
      </c>
      <c r="P182" s="25" t="s">
        <v>2112</v>
      </c>
    </row>
    <row r="183" spans="1:18" ht="14.4" x14ac:dyDescent="0.3">
      <c r="A183" s="16">
        <v>176</v>
      </c>
      <c r="B183" s="17" t="s">
        <v>855</v>
      </c>
      <c r="C183" s="6">
        <v>52028400</v>
      </c>
      <c r="D183" s="6">
        <v>3123500023</v>
      </c>
      <c r="E183" s="12" t="s">
        <v>856</v>
      </c>
      <c r="F183" s="7">
        <v>46037</v>
      </c>
      <c r="G183" s="7">
        <v>46387</v>
      </c>
      <c r="H183" s="8" t="s">
        <v>857</v>
      </c>
      <c r="I183" s="6" t="s">
        <v>500</v>
      </c>
      <c r="J183" s="6" t="s">
        <v>115</v>
      </c>
      <c r="K183" s="6" t="s">
        <v>202</v>
      </c>
      <c r="L183" s="6" t="s">
        <v>858</v>
      </c>
      <c r="M183" s="6" t="s">
        <v>17</v>
      </c>
      <c r="N183" s="6" t="s">
        <v>859</v>
      </c>
      <c r="O183" t="s">
        <v>125</v>
      </c>
      <c r="P183" s="25" t="s">
        <v>2112</v>
      </c>
    </row>
    <row r="184" spans="1:18" ht="14.4" x14ac:dyDescent="0.3">
      <c r="A184" s="5">
        <v>177</v>
      </c>
      <c r="B184" s="17" t="s">
        <v>860</v>
      </c>
      <c r="C184" s="17">
        <v>29120343</v>
      </c>
      <c r="D184" s="17">
        <v>3017861952</v>
      </c>
      <c r="E184" s="23" t="s">
        <v>861</v>
      </c>
      <c r="F184" s="18">
        <v>46031</v>
      </c>
      <c r="G184" s="18">
        <v>46387</v>
      </c>
      <c r="H184" s="8" t="s">
        <v>862</v>
      </c>
      <c r="I184" s="6" t="s">
        <v>500</v>
      </c>
      <c r="J184" s="6" t="s">
        <v>115</v>
      </c>
      <c r="K184" s="17" t="s">
        <v>337</v>
      </c>
      <c r="L184" s="17" t="s">
        <v>863</v>
      </c>
      <c r="M184" s="17" t="s">
        <v>17</v>
      </c>
      <c r="N184" s="17" t="s">
        <v>248</v>
      </c>
      <c r="O184" s="19" t="s">
        <v>125</v>
      </c>
      <c r="P184" s="21" t="s">
        <v>2098</v>
      </c>
      <c r="Q184" s="20"/>
      <c r="R184" s="20"/>
    </row>
    <row r="185" spans="1:18" ht="14.4" x14ac:dyDescent="0.3">
      <c r="A185" s="5">
        <v>178</v>
      </c>
      <c r="B185" s="17" t="s">
        <v>864</v>
      </c>
      <c r="C185" s="6">
        <v>1010196659</v>
      </c>
      <c r="D185" s="6">
        <v>3213057575</v>
      </c>
      <c r="E185" s="12" t="s">
        <v>865</v>
      </c>
      <c r="F185" s="7">
        <v>46041</v>
      </c>
      <c r="G185" s="7">
        <v>46387</v>
      </c>
      <c r="H185" s="8" t="s">
        <v>866</v>
      </c>
      <c r="I185" s="6" t="s">
        <v>500</v>
      </c>
      <c r="J185" s="6" t="s">
        <v>143</v>
      </c>
      <c r="K185" s="6" t="s">
        <v>132</v>
      </c>
      <c r="L185" s="6" t="s">
        <v>867</v>
      </c>
      <c r="M185" s="6" t="s">
        <v>17</v>
      </c>
      <c r="N185" s="6" t="s">
        <v>60</v>
      </c>
      <c r="O185" t="s">
        <v>125</v>
      </c>
      <c r="P185" s="25" t="s">
        <v>2112</v>
      </c>
    </row>
    <row r="186" spans="1:18" ht="14.4" x14ac:dyDescent="0.3">
      <c r="A186" s="5">
        <v>179</v>
      </c>
      <c r="B186" s="17" t="s">
        <v>868</v>
      </c>
      <c r="C186" s="17">
        <v>80239647</v>
      </c>
      <c r="D186" s="17">
        <v>3102659301</v>
      </c>
      <c r="E186" s="17" t="s">
        <v>20</v>
      </c>
      <c r="F186" s="18" t="s">
        <v>20</v>
      </c>
      <c r="G186" s="18" t="s">
        <v>20</v>
      </c>
      <c r="H186" s="8" t="s">
        <v>869</v>
      </c>
      <c r="I186" s="6" t="s">
        <v>1716</v>
      </c>
      <c r="J186" s="6" t="s">
        <v>143</v>
      </c>
      <c r="K186" s="17" t="s">
        <v>294</v>
      </c>
      <c r="L186" s="17" t="s">
        <v>870</v>
      </c>
      <c r="M186" s="6" t="s">
        <v>253</v>
      </c>
      <c r="N186" s="17" t="s">
        <v>60</v>
      </c>
      <c r="O186" s="19" t="s">
        <v>119</v>
      </c>
      <c r="P186" s="22" t="s">
        <v>2098</v>
      </c>
      <c r="Q186" s="20"/>
      <c r="R186" s="20"/>
    </row>
    <row r="187" spans="1:18" ht="14.4" x14ac:dyDescent="0.3">
      <c r="A187" s="16">
        <v>180</v>
      </c>
      <c r="B187" s="17" t="s">
        <v>871</v>
      </c>
      <c r="C187" s="17">
        <v>1030543652</v>
      </c>
      <c r="D187" s="17">
        <v>3014400686</v>
      </c>
      <c r="E187" s="23" t="s">
        <v>872</v>
      </c>
      <c r="F187" s="18">
        <v>46028</v>
      </c>
      <c r="G187" s="18">
        <v>46230</v>
      </c>
      <c r="H187" s="8" t="s">
        <v>873</v>
      </c>
      <c r="I187" s="6" t="s">
        <v>285</v>
      </c>
      <c r="J187" s="6" t="s">
        <v>106</v>
      </c>
      <c r="K187" s="17" t="s">
        <v>56</v>
      </c>
      <c r="L187" s="17" t="s">
        <v>874</v>
      </c>
      <c r="M187" s="17" t="s">
        <v>17</v>
      </c>
      <c r="N187" s="17" t="s">
        <v>146</v>
      </c>
      <c r="O187" s="19" t="s">
        <v>125</v>
      </c>
      <c r="P187" s="22" t="s">
        <v>2098</v>
      </c>
      <c r="Q187" s="20"/>
      <c r="R187" s="20"/>
    </row>
    <row r="188" spans="1:18" ht="14.4" x14ac:dyDescent="0.3">
      <c r="A188" s="5">
        <v>181</v>
      </c>
      <c r="B188" s="17" t="s">
        <v>875</v>
      </c>
      <c r="C188" s="6">
        <v>1010247161</v>
      </c>
      <c r="D188" s="6">
        <v>3014130619</v>
      </c>
      <c r="E188" s="12" t="s">
        <v>876</v>
      </c>
      <c r="F188" s="7">
        <v>46043</v>
      </c>
      <c r="G188" s="7">
        <v>46219</v>
      </c>
      <c r="H188" s="8" t="s">
        <v>877</v>
      </c>
      <c r="I188" s="17" t="s">
        <v>1395</v>
      </c>
      <c r="J188" s="6" t="s">
        <v>106</v>
      </c>
      <c r="K188" s="6" t="s">
        <v>878</v>
      </c>
      <c r="L188" s="6" t="s">
        <v>879</v>
      </c>
      <c r="M188" s="6" t="s">
        <v>17</v>
      </c>
      <c r="N188" s="6" t="s">
        <v>880</v>
      </c>
      <c r="O188" t="s">
        <v>125</v>
      </c>
      <c r="P188" s="25" t="s">
        <v>2112</v>
      </c>
    </row>
    <row r="189" spans="1:18" ht="14.4" x14ac:dyDescent="0.3">
      <c r="A189" s="5">
        <v>182</v>
      </c>
      <c r="B189" s="17" t="s">
        <v>881</v>
      </c>
      <c r="C189" s="6">
        <v>6070137</v>
      </c>
      <c r="D189" s="6">
        <v>3148350647</v>
      </c>
      <c r="E189" s="12" t="s">
        <v>882</v>
      </c>
      <c r="F189" s="7">
        <v>46031</v>
      </c>
      <c r="G189" s="7">
        <v>46387</v>
      </c>
      <c r="H189" s="8" t="s">
        <v>883</v>
      </c>
      <c r="I189" s="6" t="s">
        <v>1716</v>
      </c>
      <c r="J189" s="6" t="s">
        <v>115</v>
      </c>
      <c r="K189" s="6" t="s">
        <v>304</v>
      </c>
      <c r="L189" s="6" t="s">
        <v>884</v>
      </c>
      <c r="M189" s="6" t="s">
        <v>17</v>
      </c>
      <c r="N189" s="6" t="s">
        <v>44</v>
      </c>
      <c r="O189" t="s">
        <v>125</v>
      </c>
      <c r="P189" s="25" t="s">
        <v>2112</v>
      </c>
    </row>
    <row r="190" spans="1:18" ht="14.4" x14ac:dyDescent="0.3">
      <c r="A190" s="5">
        <v>183</v>
      </c>
      <c r="B190" s="17" t="s">
        <v>885</v>
      </c>
      <c r="C190" s="6">
        <v>10305307</v>
      </c>
      <c r="D190" s="6">
        <v>3167222810</v>
      </c>
      <c r="E190" s="12" t="s">
        <v>886</v>
      </c>
      <c r="F190" s="7">
        <v>46032</v>
      </c>
      <c r="G190" s="7">
        <v>46387</v>
      </c>
      <c r="H190" s="8" t="s">
        <v>887</v>
      </c>
      <c r="I190" s="6" t="s">
        <v>201</v>
      </c>
      <c r="J190" s="6" t="s">
        <v>115</v>
      </c>
      <c r="K190" s="6" t="s">
        <v>304</v>
      </c>
      <c r="L190" s="6" t="s">
        <v>888</v>
      </c>
      <c r="M190" s="6" t="s">
        <v>17</v>
      </c>
      <c r="N190" s="6" t="s">
        <v>66</v>
      </c>
      <c r="O190" t="s">
        <v>125</v>
      </c>
      <c r="P190" s="25" t="s">
        <v>2112</v>
      </c>
    </row>
    <row r="191" spans="1:18" ht="14.4" x14ac:dyDescent="0.3">
      <c r="A191" s="16">
        <v>184</v>
      </c>
      <c r="B191" s="17" t="s">
        <v>889</v>
      </c>
      <c r="C191" s="6">
        <v>1110494882</v>
      </c>
      <c r="D191" s="6">
        <v>3004812996</v>
      </c>
      <c r="E191" s="12" t="s">
        <v>890</v>
      </c>
      <c r="F191" s="7">
        <v>46037</v>
      </c>
      <c r="G191" s="7">
        <v>46249</v>
      </c>
      <c r="H191" s="8" t="s">
        <v>891</v>
      </c>
      <c r="I191" s="6" t="s">
        <v>270</v>
      </c>
      <c r="J191" s="6" t="s">
        <v>143</v>
      </c>
      <c r="K191" s="6" t="s">
        <v>892</v>
      </c>
      <c r="L191" s="6" t="s">
        <v>893</v>
      </c>
      <c r="M191" s="6" t="s">
        <v>17</v>
      </c>
      <c r="N191" s="6" t="s">
        <v>248</v>
      </c>
      <c r="O191" t="s">
        <v>125</v>
      </c>
      <c r="P191" s="25" t="s">
        <v>2112</v>
      </c>
    </row>
    <row r="192" spans="1:18" ht="14.4" x14ac:dyDescent="0.3">
      <c r="A192" s="5">
        <v>185</v>
      </c>
      <c r="B192" s="17" t="s">
        <v>894</v>
      </c>
      <c r="C192" s="17">
        <v>39707570</v>
      </c>
      <c r="D192" s="17">
        <v>3125627087</v>
      </c>
      <c r="E192" s="23" t="s">
        <v>895</v>
      </c>
      <c r="F192" s="18">
        <v>46049</v>
      </c>
      <c r="G192" s="18">
        <v>46215</v>
      </c>
      <c r="H192" s="8" t="s">
        <v>896</v>
      </c>
      <c r="I192" s="17" t="s">
        <v>1395</v>
      </c>
      <c r="J192" s="6" t="s">
        <v>143</v>
      </c>
      <c r="K192" s="17" t="s">
        <v>58</v>
      </c>
      <c r="L192" s="17" t="s">
        <v>897</v>
      </c>
      <c r="M192" s="17" t="s">
        <v>17</v>
      </c>
      <c r="N192" s="17" t="s">
        <v>60</v>
      </c>
      <c r="O192" s="19" t="s">
        <v>125</v>
      </c>
      <c r="P192" s="22" t="s">
        <v>2098</v>
      </c>
      <c r="Q192" s="20"/>
      <c r="R192" s="20"/>
    </row>
    <row r="193" spans="1:16" ht="14.4" x14ac:dyDescent="0.3">
      <c r="A193" s="5">
        <v>186</v>
      </c>
      <c r="B193" s="17" t="s">
        <v>898</v>
      </c>
      <c r="C193" s="6">
        <v>51563303</v>
      </c>
      <c r="D193" s="6">
        <v>3003942680</v>
      </c>
      <c r="E193" s="12" t="s">
        <v>899</v>
      </c>
      <c r="F193" s="7">
        <v>46042</v>
      </c>
      <c r="G193" s="7">
        <v>46387</v>
      </c>
      <c r="H193" s="8" t="s">
        <v>900</v>
      </c>
      <c r="I193" s="6" t="s">
        <v>500</v>
      </c>
      <c r="J193" s="6" t="s">
        <v>143</v>
      </c>
      <c r="K193" s="6" t="s">
        <v>58</v>
      </c>
      <c r="L193" s="6" t="s">
        <v>901</v>
      </c>
      <c r="M193" s="6" t="s">
        <v>17</v>
      </c>
      <c r="N193" s="6" t="s">
        <v>653</v>
      </c>
      <c r="O193" t="s">
        <v>125</v>
      </c>
      <c r="P193" s="25" t="s">
        <v>2112</v>
      </c>
    </row>
    <row r="194" spans="1:16" ht="14.4" x14ac:dyDescent="0.3">
      <c r="A194" s="5">
        <v>187</v>
      </c>
      <c r="B194" s="17" t="s">
        <v>902</v>
      </c>
      <c r="C194" s="6">
        <v>4978456</v>
      </c>
      <c r="D194" s="6">
        <v>3108688874</v>
      </c>
      <c r="E194" s="12" t="s">
        <v>903</v>
      </c>
      <c r="F194" s="7">
        <v>46044</v>
      </c>
      <c r="G194" s="7">
        <v>46286</v>
      </c>
      <c r="H194" s="8" t="s">
        <v>904</v>
      </c>
      <c r="I194" s="6" t="s">
        <v>500</v>
      </c>
      <c r="J194" s="6" t="s">
        <v>115</v>
      </c>
      <c r="K194" s="6" t="s">
        <v>905</v>
      </c>
      <c r="L194" s="6" t="s">
        <v>906</v>
      </c>
      <c r="M194" s="6" t="s">
        <v>17</v>
      </c>
      <c r="N194" s="6" t="s">
        <v>66</v>
      </c>
      <c r="O194" t="s">
        <v>125</v>
      </c>
      <c r="P194" s="25" t="s">
        <v>2112</v>
      </c>
    </row>
    <row r="195" spans="1:16" ht="14.4" x14ac:dyDescent="0.3">
      <c r="A195" s="16">
        <v>188</v>
      </c>
      <c r="B195" s="17" t="s">
        <v>907</v>
      </c>
      <c r="C195" s="6">
        <v>1000008186</v>
      </c>
      <c r="D195" s="6">
        <v>3006087040</v>
      </c>
      <c r="E195" s="6" t="s">
        <v>908</v>
      </c>
      <c r="F195" s="7">
        <v>46049</v>
      </c>
      <c r="G195" s="7">
        <v>46387</v>
      </c>
      <c r="H195" s="8" t="s">
        <v>909</v>
      </c>
      <c r="I195" s="6" t="s">
        <v>2110</v>
      </c>
      <c r="J195" s="6" t="s">
        <v>106</v>
      </c>
      <c r="K195" s="6" t="s">
        <v>616</v>
      </c>
      <c r="L195" s="6" t="s">
        <v>910</v>
      </c>
      <c r="M195" s="6" t="s">
        <v>17</v>
      </c>
      <c r="N195" s="6" t="s">
        <v>911</v>
      </c>
      <c r="O195" t="s">
        <v>125</v>
      </c>
      <c r="P195" s="25" t="s">
        <v>2112</v>
      </c>
    </row>
    <row r="196" spans="1:16" ht="14.4" x14ac:dyDescent="0.3">
      <c r="A196" s="5">
        <v>189</v>
      </c>
      <c r="B196" s="17" t="s">
        <v>912</v>
      </c>
      <c r="C196" s="6">
        <v>80129534</v>
      </c>
      <c r="D196" s="6">
        <v>3212687523</v>
      </c>
      <c r="E196" s="12" t="s">
        <v>913</v>
      </c>
      <c r="F196" s="7">
        <v>46038</v>
      </c>
      <c r="G196" s="7">
        <v>46387</v>
      </c>
      <c r="H196" s="8" t="s">
        <v>914</v>
      </c>
      <c r="I196" s="6" t="s">
        <v>500</v>
      </c>
      <c r="J196" s="6" t="s">
        <v>115</v>
      </c>
      <c r="K196" s="6" t="s">
        <v>75</v>
      </c>
      <c r="L196" s="6" t="s">
        <v>915</v>
      </c>
      <c r="M196" s="6" t="s">
        <v>17</v>
      </c>
      <c r="N196" s="6" t="s">
        <v>725</v>
      </c>
      <c r="O196" t="s">
        <v>125</v>
      </c>
      <c r="P196" s="25" t="s">
        <v>2112</v>
      </c>
    </row>
    <row r="197" spans="1:16" ht="14.4" x14ac:dyDescent="0.3">
      <c r="A197" s="5">
        <v>190</v>
      </c>
      <c r="B197" s="17" t="s">
        <v>916</v>
      </c>
      <c r="C197" s="6">
        <v>53021213</v>
      </c>
      <c r="D197" s="6">
        <v>3137297394</v>
      </c>
      <c r="E197" s="12" t="s">
        <v>917</v>
      </c>
      <c r="F197" s="7">
        <v>46029</v>
      </c>
      <c r="G197" s="7">
        <v>46053</v>
      </c>
      <c r="H197" s="8" t="s">
        <v>918</v>
      </c>
      <c r="I197" s="6" t="s">
        <v>500</v>
      </c>
      <c r="J197" s="6" t="s">
        <v>115</v>
      </c>
      <c r="K197" s="6" t="s">
        <v>919</v>
      </c>
      <c r="L197" s="6" t="s">
        <v>920</v>
      </c>
      <c r="M197" s="6" t="s">
        <v>17</v>
      </c>
      <c r="N197" s="6" t="s">
        <v>921</v>
      </c>
      <c r="O197" t="s">
        <v>125</v>
      </c>
      <c r="P197" s="25" t="s">
        <v>2112</v>
      </c>
    </row>
    <row r="198" spans="1:16" ht="14.4" x14ac:dyDescent="0.3">
      <c r="A198" s="5">
        <v>191</v>
      </c>
      <c r="B198" s="17" t="s">
        <v>922</v>
      </c>
      <c r="C198" s="6">
        <v>80401214</v>
      </c>
      <c r="D198" s="6">
        <v>3144430585</v>
      </c>
      <c r="E198" s="12" t="s">
        <v>923</v>
      </c>
      <c r="F198" s="7">
        <v>46043</v>
      </c>
      <c r="G198" s="7">
        <v>46252</v>
      </c>
      <c r="H198" s="8" t="s">
        <v>924</v>
      </c>
      <c r="I198" s="6" t="s">
        <v>270</v>
      </c>
      <c r="J198" s="6" t="s">
        <v>115</v>
      </c>
      <c r="K198" s="6" t="s">
        <v>354</v>
      </c>
      <c r="L198" s="6" t="s">
        <v>925</v>
      </c>
      <c r="M198" s="6" t="s">
        <v>17</v>
      </c>
      <c r="N198" s="6" t="s">
        <v>34</v>
      </c>
      <c r="O198" t="s">
        <v>125</v>
      </c>
      <c r="P198" s="25" t="s">
        <v>2112</v>
      </c>
    </row>
    <row r="199" spans="1:16" ht="14.4" x14ac:dyDescent="0.3">
      <c r="A199" s="16">
        <v>192</v>
      </c>
      <c r="B199" s="17" t="s">
        <v>926</v>
      </c>
      <c r="C199" s="6">
        <v>79881307</v>
      </c>
      <c r="D199" s="6">
        <v>3125860568</v>
      </c>
      <c r="E199" s="12" t="s">
        <v>927</v>
      </c>
      <c r="F199" s="7">
        <v>46045</v>
      </c>
      <c r="G199" s="7">
        <v>46234</v>
      </c>
      <c r="H199" s="8" t="s">
        <v>928</v>
      </c>
      <c r="I199" s="6" t="s">
        <v>270</v>
      </c>
      <c r="J199" s="6" t="s">
        <v>143</v>
      </c>
      <c r="K199" s="6" t="s">
        <v>929</v>
      </c>
      <c r="L199" s="6" t="s">
        <v>930</v>
      </c>
      <c r="M199" s="6" t="s">
        <v>17</v>
      </c>
      <c r="N199" s="6" t="s">
        <v>931</v>
      </c>
      <c r="O199" t="s">
        <v>125</v>
      </c>
      <c r="P199" s="25" t="s">
        <v>2112</v>
      </c>
    </row>
    <row r="200" spans="1:16" ht="14.4" x14ac:dyDescent="0.3">
      <c r="A200" s="5">
        <v>193</v>
      </c>
      <c r="B200" s="17" t="s">
        <v>932</v>
      </c>
      <c r="C200" s="6">
        <v>80213841</v>
      </c>
      <c r="D200" s="6">
        <v>314263028</v>
      </c>
      <c r="E200" s="12" t="s">
        <v>933</v>
      </c>
      <c r="F200" s="7">
        <v>46031</v>
      </c>
      <c r="G200" s="7">
        <v>46387</v>
      </c>
      <c r="H200" s="8" t="s">
        <v>934</v>
      </c>
      <c r="I200" s="6" t="s">
        <v>500</v>
      </c>
      <c r="J200" s="6" t="s">
        <v>115</v>
      </c>
      <c r="K200" s="6" t="s">
        <v>22</v>
      </c>
      <c r="L200" s="6" t="s">
        <v>935</v>
      </c>
      <c r="M200" s="6" t="s">
        <v>129</v>
      </c>
      <c r="N200" s="6" t="s">
        <v>38</v>
      </c>
      <c r="O200" t="s">
        <v>125</v>
      </c>
      <c r="P200" s="25" t="s">
        <v>2112</v>
      </c>
    </row>
    <row r="201" spans="1:16" ht="14.4" x14ac:dyDescent="0.3">
      <c r="A201" s="5">
        <v>194</v>
      </c>
      <c r="B201" s="17" t="s">
        <v>936</v>
      </c>
      <c r="C201" s="6">
        <v>79265641</v>
      </c>
      <c r="D201" s="6">
        <v>3108078188</v>
      </c>
      <c r="E201" s="6" t="s">
        <v>20</v>
      </c>
      <c r="F201" s="7" t="s">
        <v>20</v>
      </c>
      <c r="G201" s="7" t="s">
        <v>20</v>
      </c>
      <c r="H201" s="8" t="s">
        <v>937</v>
      </c>
      <c r="I201" s="6" t="s">
        <v>270</v>
      </c>
      <c r="J201" s="6" t="s">
        <v>143</v>
      </c>
      <c r="K201" s="6" t="s">
        <v>75</v>
      </c>
      <c r="L201" s="6" t="s">
        <v>938</v>
      </c>
      <c r="M201" s="6" t="s">
        <v>253</v>
      </c>
      <c r="N201" s="6" t="s">
        <v>66</v>
      </c>
      <c r="O201" t="s">
        <v>119</v>
      </c>
      <c r="P201" s="25" t="s">
        <v>2112</v>
      </c>
    </row>
    <row r="202" spans="1:16" ht="14.4" x14ac:dyDescent="0.3">
      <c r="A202" s="5">
        <v>195</v>
      </c>
      <c r="B202" s="17" t="s">
        <v>939</v>
      </c>
      <c r="C202" s="6">
        <v>1140847934</v>
      </c>
      <c r="D202" s="6">
        <v>3002719624</v>
      </c>
      <c r="E202" s="6" t="s">
        <v>940</v>
      </c>
      <c r="F202" s="7">
        <v>46036</v>
      </c>
      <c r="G202" s="7">
        <v>46251</v>
      </c>
      <c r="H202" s="8" t="s">
        <v>941</v>
      </c>
      <c r="I202" s="6" t="s">
        <v>1338</v>
      </c>
      <c r="J202" s="6" t="s">
        <v>115</v>
      </c>
      <c r="K202" s="6" t="s">
        <v>398</v>
      </c>
      <c r="L202" s="6" t="s">
        <v>942</v>
      </c>
      <c r="M202" s="6" t="s">
        <v>17</v>
      </c>
      <c r="N202" s="6" t="s">
        <v>943</v>
      </c>
      <c r="O202" t="s">
        <v>125</v>
      </c>
      <c r="P202" s="25" t="s">
        <v>2112</v>
      </c>
    </row>
    <row r="203" spans="1:16" ht="14.4" x14ac:dyDescent="0.3">
      <c r="A203" s="16">
        <v>196</v>
      </c>
      <c r="B203" s="17" t="s">
        <v>944</v>
      </c>
      <c r="C203" s="6">
        <v>1000596077</v>
      </c>
      <c r="D203" s="6">
        <v>3197033980</v>
      </c>
      <c r="E203" s="12" t="s">
        <v>945</v>
      </c>
      <c r="F203" s="7">
        <v>46035</v>
      </c>
      <c r="G203" s="7">
        <v>46387</v>
      </c>
      <c r="H203" s="8" t="s">
        <v>946</v>
      </c>
      <c r="I203" s="6" t="s">
        <v>201</v>
      </c>
      <c r="J203" s="6" t="s">
        <v>106</v>
      </c>
      <c r="K203" s="6" t="s">
        <v>56</v>
      </c>
      <c r="L203" s="6" t="s">
        <v>947</v>
      </c>
      <c r="M203" s="6" t="s">
        <v>17</v>
      </c>
      <c r="N203" s="6" t="s">
        <v>725</v>
      </c>
      <c r="O203" t="s">
        <v>125</v>
      </c>
      <c r="P203" s="25" t="s">
        <v>2112</v>
      </c>
    </row>
    <row r="204" spans="1:16" ht="14.4" x14ac:dyDescent="0.3">
      <c r="A204" s="5">
        <v>197</v>
      </c>
      <c r="B204" s="17" t="s">
        <v>948</v>
      </c>
      <c r="C204" s="6">
        <v>53140489</v>
      </c>
      <c r="D204" s="6">
        <v>3174451841</v>
      </c>
      <c r="E204" s="12" t="s">
        <v>949</v>
      </c>
      <c r="F204" s="7">
        <v>46031</v>
      </c>
      <c r="G204" s="7">
        <v>46364</v>
      </c>
      <c r="H204" s="8" t="s">
        <v>950</v>
      </c>
      <c r="I204" s="6" t="s">
        <v>2111</v>
      </c>
      <c r="J204" s="6" t="s">
        <v>115</v>
      </c>
      <c r="K204" s="6" t="s">
        <v>447</v>
      </c>
      <c r="L204" s="6" t="s">
        <v>951</v>
      </c>
      <c r="M204" s="6" t="s">
        <v>17</v>
      </c>
      <c r="N204" s="6" t="s">
        <v>134</v>
      </c>
      <c r="O204" t="s">
        <v>125</v>
      </c>
      <c r="P204" s="25" t="s">
        <v>2112</v>
      </c>
    </row>
    <row r="205" spans="1:16" ht="14.4" x14ac:dyDescent="0.3">
      <c r="A205" s="5">
        <v>198</v>
      </c>
      <c r="B205" s="17" t="s">
        <v>952</v>
      </c>
      <c r="C205" s="6">
        <v>13745497</v>
      </c>
      <c r="D205" s="6">
        <v>3168346153</v>
      </c>
      <c r="E205" s="12" t="s">
        <v>953</v>
      </c>
      <c r="F205" s="7">
        <v>46035</v>
      </c>
      <c r="G205" s="7">
        <v>46387</v>
      </c>
      <c r="H205" s="8" t="s">
        <v>954</v>
      </c>
      <c r="I205" s="6" t="s">
        <v>500</v>
      </c>
      <c r="J205" s="6" t="s">
        <v>115</v>
      </c>
      <c r="K205" s="6" t="s">
        <v>320</v>
      </c>
      <c r="L205" s="6" t="s">
        <v>955</v>
      </c>
      <c r="M205" s="6" t="s">
        <v>17</v>
      </c>
      <c r="N205" s="6" t="s">
        <v>956</v>
      </c>
      <c r="O205" t="s">
        <v>125</v>
      </c>
      <c r="P205" s="25" t="s">
        <v>2112</v>
      </c>
    </row>
    <row r="206" spans="1:16" ht="14.4" x14ac:dyDescent="0.3">
      <c r="A206" s="5">
        <v>199</v>
      </c>
      <c r="B206" s="17" t="s">
        <v>957</v>
      </c>
      <c r="C206" s="6">
        <v>52855892</v>
      </c>
      <c r="D206" s="6">
        <v>3002980068</v>
      </c>
      <c r="E206" s="12" t="s">
        <v>958</v>
      </c>
      <c r="F206" s="7">
        <v>46035</v>
      </c>
      <c r="G206" s="7">
        <v>46387</v>
      </c>
      <c r="H206" s="8" t="s">
        <v>959</v>
      </c>
      <c r="I206" s="6" t="s">
        <v>201</v>
      </c>
      <c r="J206" s="6" t="s">
        <v>115</v>
      </c>
      <c r="K206" s="6" t="s">
        <v>116</v>
      </c>
      <c r="L206" s="6" t="s">
        <v>960</v>
      </c>
      <c r="M206" s="6" t="s">
        <v>17</v>
      </c>
      <c r="N206" s="6" t="s">
        <v>44</v>
      </c>
      <c r="O206" t="s">
        <v>125</v>
      </c>
      <c r="P206" s="25" t="s">
        <v>2112</v>
      </c>
    </row>
    <row r="207" spans="1:16" ht="14.4" x14ac:dyDescent="0.3">
      <c r="A207" s="16">
        <v>200</v>
      </c>
      <c r="B207" s="17" t="s">
        <v>961</v>
      </c>
      <c r="C207" s="6">
        <v>1001114395</v>
      </c>
      <c r="D207" s="6">
        <v>3142011762</v>
      </c>
      <c r="E207" s="12" t="s">
        <v>962</v>
      </c>
      <c r="F207" s="7">
        <v>46037</v>
      </c>
      <c r="G207" s="7">
        <v>46248</v>
      </c>
      <c r="H207" s="8" t="s">
        <v>963</v>
      </c>
      <c r="I207" s="6" t="s">
        <v>270</v>
      </c>
      <c r="J207" s="6" t="s">
        <v>106</v>
      </c>
      <c r="K207" s="6" t="s">
        <v>701</v>
      </c>
      <c r="L207" s="6" t="s">
        <v>964</v>
      </c>
      <c r="M207" s="6" t="s">
        <v>17</v>
      </c>
      <c r="N207" s="6" t="s">
        <v>24</v>
      </c>
      <c r="O207" t="s">
        <v>125</v>
      </c>
      <c r="P207" s="25" t="s">
        <v>2112</v>
      </c>
    </row>
    <row r="208" spans="1:16" ht="14.4" x14ac:dyDescent="0.3">
      <c r="A208" s="5">
        <v>201</v>
      </c>
      <c r="B208" s="17" t="s">
        <v>965</v>
      </c>
      <c r="C208" s="6">
        <v>1049640375</v>
      </c>
      <c r="D208" s="6">
        <v>3142417321</v>
      </c>
      <c r="E208" s="12" t="s">
        <v>966</v>
      </c>
      <c r="F208" s="7">
        <v>46036</v>
      </c>
      <c r="G208" s="7">
        <v>46308</v>
      </c>
      <c r="H208" s="8" t="s">
        <v>967</v>
      </c>
      <c r="I208" s="6" t="s">
        <v>270</v>
      </c>
      <c r="J208" s="6" t="s">
        <v>143</v>
      </c>
      <c r="K208" s="6" t="s">
        <v>64</v>
      </c>
      <c r="L208" s="6" t="s">
        <v>968</v>
      </c>
      <c r="M208" s="6" t="s">
        <v>17</v>
      </c>
      <c r="N208" s="6" t="s">
        <v>66</v>
      </c>
      <c r="O208" t="s">
        <v>125</v>
      </c>
      <c r="P208" s="25" t="s">
        <v>2112</v>
      </c>
    </row>
    <row r="209" spans="1:18" ht="14.4" x14ac:dyDescent="0.3">
      <c r="A209" s="5">
        <v>202</v>
      </c>
      <c r="B209" s="17" t="s">
        <v>969</v>
      </c>
      <c r="C209" s="17">
        <v>31422496</v>
      </c>
      <c r="D209" s="17">
        <v>3166231174</v>
      </c>
      <c r="E209" s="23" t="s">
        <v>970</v>
      </c>
      <c r="F209" s="18">
        <v>46036</v>
      </c>
      <c r="G209" s="18">
        <v>46231</v>
      </c>
      <c r="H209" s="8" t="s">
        <v>971</v>
      </c>
      <c r="I209" s="6" t="s">
        <v>285</v>
      </c>
      <c r="J209" s="6" t="s">
        <v>115</v>
      </c>
      <c r="K209" s="17" t="s">
        <v>304</v>
      </c>
      <c r="L209" s="17" t="s">
        <v>972</v>
      </c>
      <c r="M209" s="17" t="s">
        <v>17</v>
      </c>
      <c r="N209" s="17" t="s">
        <v>973</v>
      </c>
      <c r="O209" s="19" t="s">
        <v>125</v>
      </c>
      <c r="P209" s="22" t="s">
        <v>2098</v>
      </c>
      <c r="Q209" s="20"/>
      <c r="R209" s="20"/>
    </row>
    <row r="210" spans="1:18" ht="14.4" x14ac:dyDescent="0.3">
      <c r="A210" s="5">
        <v>203</v>
      </c>
      <c r="B210" s="17" t="s">
        <v>974</v>
      </c>
      <c r="C210" s="6">
        <v>1019131919</v>
      </c>
      <c r="D210" s="6">
        <v>3214139115</v>
      </c>
      <c r="E210" s="12" t="s">
        <v>975</v>
      </c>
      <c r="F210" s="7">
        <v>46048</v>
      </c>
      <c r="G210" s="7">
        <v>46259</v>
      </c>
      <c r="H210" s="8" t="s">
        <v>976</v>
      </c>
      <c r="I210" s="6" t="s">
        <v>1338</v>
      </c>
      <c r="J210" s="6" t="s">
        <v>115</v>
      </c>
      <c r="K210" s="6" t="s">
        <v>337</v>
      </c>
      <c r="L210" s="6" t="s">
        <v>977</v>
      </c>
      <c r="M210" s="6" t="s">
        <v>17</v>
      </c>
      <c r="N210" s="6" t="s">
        <v>24</v>
      </c>
      <c r="O210" t="s">
        <v>125</v>
      </c>
      <c r="P210" s="25" t="s">
        <v>2112</v>
      </c>
    </row>
    <row r="211" spans="1:18" ht="14.4" x14ac:dyDescent="0.3">
      <c r="A211" s="16">
        <v>204</v>
      </c>
      <c r="B211" s="17" t="s">
        <v>978</v>
      </c>
      <c r="C211" s="17">
        <v>1020806493</v>
      </c>
      <c r="D211" s="17">
        <v>3115008521</v>
      </c>
      <c r="E211" s="23" t="s">
        <v>979</v>
      </c>
      <c r="F211" s="18">
        <v>46041</v>
      </c>
      <c r="G211" s="18">
        <v>46387</v>
      </c>
      <c r="H211" s="8" t="s">
        <v>980</v>
      </c>
      <c r="I211" s="6" t="s">
        <v>201</v>
      </c>
      <c r="J211" s="6" t="s">
        <v>115</v>
      </c>
      <c r="K211" s="17" t="s">
        <v>202</v>
      </c>
      <c r="L211" s="17" t="s">
        <v>981</v>
      </c>
      <c r="M211" s="17" t="s">
        <v>17</v>
      </c>
      <c r="N211" s="17" t="s">
        <v>44</v>
      </c>
      <c r="O211" s="19" t="s">
        <v>125</v>
      </c>
      <c r="P211" s="22" t="s">
        <v>2098</v>
      </c>
      <c r="Q211" s="20"/>
      <c r="R211" s="20"/>
    </row>
    <row r="212" spans="1:18" ht="14.4" x14ac:dyDescent="0.3">
      <c r="A212" s="5">
        <v>205</v>
      </c>
      <c r="B212" s="17" t="s">
        <v>982</v>
      </c>
      <c r="C212" s="6">
        <v>79802867</v>
      </c>
      <c r="D212" s="6">
        <v>3102412963</v>
      </c>
      <c r="E212" s="6" t="s">
        <v>20</v>
      </c>
      <c r="F212" s="7" t="s">
        <v>20</v>
      </c>
      <c r="G212" s="7" t="s">
        <v>20</v>
      </c>
      <c r="H212" s="8" t="s">
        <v>983</v>
      </c>
      <c r="I212" s="6" t="s">
        <v>285</v>
      </c>
      <c r="J212" s="6" t="s">
        <v>115</v>
      </c>
      <c r="K212" s="6" t="s">
        <v>75</v>
      </c>
      <c r="L212" s="6" t="s">
        <v>984</v>
      </c>
      <c r="M212" s="6" t="s">
        <v>17</v>
      </c>
      <c r="N212" s="6" t="s">
        <v>985</v>
      </c>
      <c r="O212" t="s">
        <v>119</v>
      </c>
      <c r="P212" s="25" t="s">
        <v>2112</v>
      </c>
    </row>
    <row r="213" spans="1:18" ht="14.4" x14ac:dyDescent="0.3">
      <c r="A213" s="5">
        <v>206</v>
      </c>
      <c r="B213" s="17" t="s">
        <v>986</v>
      </c>
      <c r="C213" s="6">
        <v>1023893878</v>
      </c>
      <c r="D213" s="6">
        <v>3144632678</v>
      </c>
      <c r="E213" s="6" t="s">
        <v>20</v>
      </c>
      <c r="F213" s="7" t="s">
        <v>20</v>
      </c>
      <c r="G213" s="7" t="s">
        <v>20</v>
      </c>
      <c r="H213" s="8" t="s">
        <v>987</v>
      </c>
      <c r="I213" s="6" t="s">
        <v>270</v>
      </c>
      <c r="J213" s="6" t="s">
        <v>115</v>
      </c>
      <c r="K213" s="6" t="s">
        <v>988</v>
      </c>
      <c r="L213" s="6" t="s">
        <v>989</v>
      </c>
      <c r="M213" s="6" t="s">
        <v>17</v>
      </c>
      <c r="N213" s="6" t="s">
        <v>990</v>
      </c>
      <c r="O213" t="s">
        <v>119</v>
      </c>
      <c r="P213" s="25" t="s">
        <v>2112</v>
      </c>
    </row>
    <row r="214" spans="1:18" ht="14.4" x14ac:dyDescent="0.3">
      <c r="A214" s="5">
        <v>207</v>
      </c>
      <c r="B214" s="17" t="s">
        <v>991</v>
      </c>
      <c r="C214" s="6">
        <v>1010033134</v>
      </c>
      <c r="D214" s="6">
        <v>3184658662</v>
      </c>
      <c r="E214" s="12" t="s">
        <v>992</v>
      </c>
      <c r="F214" s="7">
        <v>46049</v>
      </c>
      <c r="G214" s="7">
        <v>46387</v>
      </c>
      <c r="H214" s="8" t="s">
        <v>993</v>
      </c>
      <c r="I214" s="6" t="s">
        <v>325</v>
      </c>
      <c r="J214" s="6" t="s">
        <v>106</v>
      </c>
      <c r="K214" s="6" t="s">
        <v>994</v>
      </c>
      <c r="L214" s="6" t="s">
        <v>20</v>
      </c>
      <c r="M214" s="6" t="s">
        <v>129</v>
      </c>
      <c r="N214" s="6" t="s">
        <v>60</v>
      </c>
      <c r="O214" t="s">
        <v>125</v>
      </c>
      <c r="P214" s="25" t="s">
        <v>2112</v>
      </c>
    </row>
    <row r="215" spans="1:18" ht="14.4" x14ac:dyDescent="0.3">
      <c r="A215" s="16">
        <v>208</v>
      </c>
      <c r="B215" s="17" t="s">
        <v>995</v>
      </c>
      <c r="C215" s="6">
        <v>1078347237</v>
      </c>
      <c r="D215" s="6">
        <v>3015595583</v>
      </c>
      <c r="E215" s="12" t="s">
        <v>996</v>
      </c>
      <c r="F215" s="7">
        <v>46043</v>
      </c>
      <c r="G215" s="7">
        <v>46387</v>
      </c>
      <c r="H215" s="8" t="s">
        <v>997</v>
      </c>
      <c r="I215" s="6" t="s">
        <v>500</v>
      </c>
      <c r="J215" s="6" t="s">
        <v>115</v>
      </c>
      <c r="K215" s="6" t="s">
        <v>398</v>
      </c>
      <c r="L215" s="6" t="s">
        <v>998</v>
      </c>
      <c r="M215" s="6" t="s">
        <v>17</v>
      </c>
      <c r="N215" s="6" t="s">
        <v>66</v>
      </c>
      <c r="O215" t="s">
        <v>125</v>
      </c>
      <c r="P215" s="25" t="s">
        <v>2112</v>
      </c>
    </row>
    <row r="216" spans="1:18" ht="14.4" x14ac:dyDescent="0.3">
      <c r="A216" s="5">
        <v>209</v>
      </c>
      <c r="B216" s="17" t="s">
        <v>999</v>
      </c>
      <c r="C216" s="6">
        <v>80085952</v>
      </c>
      <c r="D216" s="6">
        <v>3012185822</v>
      </c>
      <c r="E216" s="6" t="s">
        <v>1000</v>
      </c>
      <c r="F216" s="7">
        <v>46029</v>
      </c>
      <c r="G216" s="7">
        <v>46387</v>
      </c>
      <c r="H216" s="8" t="s">
        <v>1001</v>
      </c>
      <c r="I216" s="6" t="s">
        <v>201</v>
      </c>
      <c r="J216" s="6" t="s">
        <v>115</v>
      </c>
      <c r="K216" s="6" t="s">
        <v>132</v>
      </c>
      <c r="L216" s="6" t="s">
        <v>1002</v>
      </c>
      <c r="M216" s="6" t="s">
        <v>17</v>
      </c>
      <c r="N216" s="6" t="s">
        <v>259</v>
      </c>
      <c r="O216" t="s">
        <v>125</v>
      </c>
      <c r="P216" s="25" t="s">
        <v>2112</v>
      </c>
    </row>
    <row r="217" spans="1:18" ht="14.4" x14ac:dyDescent="0.3">
      <c r="A217" s="5">
        <v>210</v>
      </c>
      <c r="B217" s="17" t="s">
        <v>1003</v>
      </c>
      <c r="C217" s="6">
        <v>1015479089</v>
      </c>
      <c r="D217" s="6">
        <v>3012660204</v>
      </c>
      <c r="E217" s="12" t="s">
        <v>1004</v>
      </c>
      <c r="F217" s="7">
        <v>46050</v>
      </c>
      <c r="G217" s="7">
        <v>46387</v>
      </c>
      <c r="H217" s="8" t="s">
        <v>1005</v>
      </c>
      <c r="I217" s="6" t="s">
        <v>1006</v>
      </c>
      <c r="J217" s="6" t="s">
        <v>106</v>
      </c>
      <c r="K217" s="6" t="s">
        <v>175</v>
      </c>
      <c r="L217" s="6" t="s">
        <v>1007</v>
      </c>
      <c r="M217" s="6" t="s">
        <v>17</v>
      </c>
      <c r="N217" s="6" t="s">
        <v>24</v>
      </c>
      <c r="O217" t="s">
        <v>125</v>
      </c>
      <c r="P217" s="25" t="s">
        <v>2112</v>
      </c>
    </row>
    <row r="218" spans="1:18" ht="14.4" x14ac:dyDescent="0.3">
      <c r="A218" s="5">
        <v>211</v>
      </c>
      <c r="B218" s="17" t="s">
        <v>1008</v>
      </c>
      <c r="C218" s="6">
        <v>1072072690</v>
      </c>
      <c r="D218" s="6">
        <v>3112795171</v>
      </c>
      <c r="E218" s="12" t="s">
        <v>1009</v>
      </c>
      <c r="F218" s="7">
        <v>46048</v>
      </c>
      <c r="G218" s="7">
        <v>46351</v>
      </c>
      <c r="H218" s="8" t="s">
        <v>1010</v>
      </c>
      <c r="I218" s="6" t="s">
        <v>256</v>
      </c>
      <c r="J218" s="6" t="s">
        <v>115</v>
      </c>
      <c r="K218" s="6" t="s">
        <v>616</v>
      </c>
      <c r="L218" s="6" t="s">
        <v>1011</v>
      </c>
      <c r="M218" s="6" t="s">
        <v>253</v>
      </c>
      <c r="N218" s="6" t="s">
        <v>60</v>
      </c>
      <c r="O218" t="s">
        <v>125</v>
      </c>
      <c r="P218" s="25" t="s">
        <v>2112</v>
      </c>
    </row>
    <row r="219" spans="1:18" ht="14.4" x14ac:dyDescent="0.3">
      <c r="A219" s="16">
        <v>212</v>
      </c>
      <c r="B219" s="17" t="s">
        <v>1012</v>
      </c>
      <c r="C219" s="6">
        <v>1018482735</v>
      </c>
      <c r="D219" s="6">
        <v>3125685518</v>
      </c>
      <c r="E219" s="12" t="s">
        <v>1013</v>
      </c>
      <c r="F219" s="7">
        <v>46042</v>
      </c>
      <c r="G219" s="7">
        <v>46375</v>
      </c>
      <c r="H219" s="8" t="s">
        <v>1014</v>
      </c>
      <c r="I219" s="6" t="s">
        <v>2111</v>
      </c>
      <c r="J219" s="6" t="s">
        <v>106</v>
      </c>
      <c r="K219" s="6" t="s">
        <v>701</v>
      </c>
      <c r="L219" s="6" t="s">
        <v>1015</v>
      </c>
      <c r="M219" s="6" t="s">
        <v>17</v>
      </c>
      <c r="N219" s="6" t="s">
        <v>880</v>
      </c>
      <c r="O219" t="s">
        <v>125</v>
      </c>
      <c r="P219" s="25" t="s">
        <v>2112</v>
      </c>
    </row>
    <row r="220" spans="1:18" ht="14.4" x14ac:dyDescent="0.3">
      <c r="A220" s="5">
        <v>213</v>
      </c>
      <c r="B220" s="17" t="s">
        <v>1016</v>
      </c>
      <c r="C220" s="6">
        <v>1016070278</v>
      </c>
      <c r="D220" s="6">
        <v>3208723277</v>
      </c>
      <c r="E220" s="12" t="s">
        <v>1017</v>
      </c>
      <c r="F220" s="7">
        <v>46031</v>
      </c>
      <c r="G220" s="7">
        <v>46334</v>
      </c>
      <c r="H220" s="8" t="s">
        <v>1018</v>
      </c>
      <c r="I220" s="6" t="s">
        <v>270</v>
      </c>
      <c r="J220" s="6" t="s">
        <v>115</v>
      </c>
      <c r="K220" s="6" t="s">
        <v>1019</v>
      </c>
      <c r="L220" s="6" t="s">
        <v>1020</v>
      </c>
      <c r="M220" s="6" t="s">
        <v>253</v>
      </c>
      <c r="N220" s="6" t="s">
        <v>1021</v>
      </c>
      <c r="O220" t="s">
        <v>125</v>
      </c>
      <c r="P220" s="25" t="s">
        <v>2112</v>
      </c>
    </row>
    <row r="221" spans="1:18" ht="14.4" x14ac:dyDescent="0.3">
      <c r="A221" s="5">
        <v>214</v>
      </c>
      <c r="B221" s="17" t="s">
        <v>1022</v>
      </c>
      <c r="C221" s="6">
        <v>1019005047</v>
      </c>
      <c r="D221" s="6">
        <v>3183890213</v>
      </c>
      <c r="E221" s="6" t="s">
        <v>1023</v>
      </c>
      <c r="F221" s="7">
        <v>46049</v>
      </c>
      <c r="G221" s="7">
        <v>46291</v>
      </c>
      <c r="H221" s="8" t="s">
        <v>1024</v>
      </c>
      <c r="I221" s="6" t="s">
        <v>325</v>
      </c>
      <c r="J221" s="6" t="s">
        <v>115</v>
      </c>
      <c r="K221" s="6" t="s">
        <v>304</v>
      </c>
      <c r="L221" s="6" t="s">
        <v>1025</v>
      </c>
      <c r="M221" s="6" t="s">
        <v>17</v>
      </c>
      <c r="N221" s="6" t="s">
        <v>66</v>
      </c>
      <c r="O221" t="s">
        <v>125</v>
      </c>
      <c r="P221" s="25" t="s">
        <v>2112</v>
      </c>
    </row>
    <row r="222" spans="1:18" ht="14.4" x14ac:dyDescent="0.3">
      <c r="A222" s="5">
        <v>215</v>
      </c>
      <c r="B222" s="17" t="s">
        <v>1026</v>
      </c>
      <c r="C222" s="6">
        <v>1030636071</v>
      </c>
      <c r="D222" s="6">
        <v>3123964150</v>
      </c>
      <c r="E222" s="6" t="s">
        <v>1027</v>
      </c>
      <c r="F222" s="7">
        <v>46035</v>
      </c>
      <c r="G222" s="7">
        <v>46246</v>
      </c>
      <c r="H222" s="8" t="s">
        <v>1028</v>
      </c>
      <c r="I222" s="6" t="s">
        <v>1338</v>
      </c>
      <c r="J222" s="6" t="s">
        <v>106</v>
      </c>
      <c r="K222" s="6" t="s">
        <v>56</v>
      </c>
      <c r="L222" s="6" t="s">
        <v>1029</v>
      </c>
      <c r="M222" s="6" t="s">
        <v>17</v>
      </c>
      <c r="N222" s="6" t="s">
        <v>24</v>
      </c>
      <c r="O222" t="s">
        <v>125</v>
      </c>
      <c r="P222" s="25" t="s">
        <v>2112</v>
      </c>
    </row>
    <row r="223" spans="1:18" ht="14.4" x14ac:dyDescent="0.3">
      <c r="A223" s="16">
        <v>216</v>
      </c>
      <c r="B223" s="17" t="s">
        <v>1030</v>
      </c>
      <c r="C223" s="6">
        <v>1019111965</v>
      </c>
      <c r="D223" s="6">
        <v>3183795565</v>
      </c>
      <c r="E223" s="6" t="s">
        <v>20</v>
      </c>
      <c r="F223" s="7" t="s">
        <v>20</v>
      </c>
      <c r="G223" s="7" t="s">
        <v>20</v>
      </c>
      <c r="H223" s="8" t="s">
        <v>1031</v>
      </c>
      <c r="I223" s="17" t="s">
        <v>299</v>
      </c>
      <c r="J223" s="6" t="s">
        <v>115</v>
      </c>
      <c r="K223" s="6" t="s">
        <v>64</v>
      </c>
      <c r="L223" s="6" t="s">
        <v>1032</v>
      </c>
      <c r="M223" s="6" t="s">
        <v>253</v>
      </c>
      <c r="N223" s="6" t="s">
        <v>526</v>
      </c>
      <c r="O223" t="s">
        <v>119</v>
      </c>
      <c r="P223" s="25" t="s">
        <v>2112</v>
      </c>
    </row>
    <row r="224" spans="1:18" ht="14.4" x14ac:dyDescent="0.3">
      <c r="A224" s="5">
        <v>217</v>
      </c>
      <c r="B224" s="17" t="s">
        <v>1033</v>
      </c>
      <c r="C224" s="6">
        <v>79793117</v>
      </c>
      <c r="D224" s="6">
        <v>3504147600</v>
      </c>
      <c r="E224" s="12" t="s">
        <v>1034</v>
      </c>
      <c r="F224" s="7">
        <v>46037</v>
      </c>
      <c r="G224" s="7">
        <v>46369</v>
      </c>
      <c r="H224" s="8" t="s">
        <v>1035</v>
      </c>
      <c r="I224" s="6" t="s">
        <v>2109</v>
      </c>
      <c r="J224" s="6" t="s">
        <v>143</v>
      </c>
      <c r="K224" s="6" t="s">
        <v>1036</v>
      </c>
      <c r="L224" s="6" t="s">
        <v>1037</v>
      </c>
      <c r="M224" s="6" t="s">
        <v>253</v>
      </c>
      <c r="N224" s="6" t="s">
        <v>60</v>
      </c>
      <c r="O224" t="s">
        <v>125</v>
      </c>
      <c r="P224" s="25" t="s">
        <v>2112</v>
      </c>
    </row>
    <row r="225" spans="1:18" ht="15.9" customHeight="1" x14ac:dyDescent="0.3">
      <c r="A225" s="5">
        <v>218</v>
      </c>
      <c r="B225" s="17" t="s">
        <v>1038</v>
      </c>
      <c r="C225" s="17">
        <v>1000604330</v>
      </c>
      <c r="D225" s="17">
        <v>3042217727</v>
      </c>
      <c r="E225" s="23" t="s">
        <v>1039</v>
      </c>
      <c r="F225" s="18">
        <v>46045</v>
      </c>
      <c r="G225" s="18">
        <v>46225</v>
      </c>
      <c r="H225" s="8" t="s">
        <v>1040</v>
      </c>
      <c r="I225" s="17" t="s">
        <v>1041</v>
      </c>
      <c r="J225" s="6" t="s">
        <v>115</v>
      </c>
      <c r="K225" s="17" t="s">
        <v>304</v>
      </c>
      <c r="L225" s="17" t="s">
        <v>1042</v>
      </c>
      <c r="M225" s="17" t="s">
        <v>17</v>
      </c>
      <c r="N225" s="17" t="s">
        <v>1043</v>
      </c>
      <c r="O225" s="19" t="s">
        <v>125</v>
      </c>
      <c r="P225" s="21" t="s">
        <v>2098</v>
      </c>
      <c r="Q225" s="20"/>
      <c r="R225" s="20"/>
    </row>
    <row r="226" spans="1:18" ht="14.4" x14ac:dyDescent="0.3">
      <c r="A226" s="5">
        <v>219</v>
      </c>
      <c r="B226" s="17" t="s">
        <v>1044</v>
      </c>
      <c r="C226" s="17">
        <v>1075257769</v>
      </c>
      <c r="D226" s="17">
        <v>3002962851</v>
      </c>
      <c r="E226" s="17" t="s">
        <v>1045</v>
      </c>
      <c r="F226" s="18">
        <v>46051</v>
      </c>
      <c r="G226" s="18">
        <v>46232</v>
      </c>
      <c r="H226" s="8" t="s">
        <v>1046</v>
      </c>
      <c r="I226" s="17" t="s">
        <v>1041</v>
      </c>
      <c r="J226" s="6" t="s">
        <v>106</v>
      </c>
      <c r="K226" s="17" t="s">
        <v>582</v>
      </c>
      <c r="L226" s="17" t="s">
        <v>1047</v>
      </c>
      <c r="M226" s="17" t="s">
        <v>17</v>
      </c>
      <c r="N226" s="17" t="s">
        <v>1048</v>
      </c>
      <c r="O226" s="19" t="s">
        <v>125</v>
      </c>
      <c r="P226" s="22" t="s">
        <v>2098</v>
      </c>
      <c r="Q226" s="20"/>
      <c r="R226" s="20"/>
    </row>
    <row r="227" spans="1:18" ht="14.4" x14ac:dyDescent="0.3">
      <c r="A227" s="16">
        <v>220</v>
      </c>
      <c r="B227" s="17" t="s">
        <v>1049</v>
      </c>
      <c r="C227" s="6">
        <v>1018477650</v>
      </c>
      <c r="D227" s="6">
        <v>3013099446</v>
      </c>
      <c r="E227" s="6" t="s">
        <v>1050</v>
      </c>
      <c r="F227" s="7">
        <v>46031</v>
      </c>
      <c r="G227" s="7">
        <v>46387</v>
      </c>
      <c r="H227" s="8" t="s">
        <v>1051</v>
      </c>
      <c r="I227" s="6" t="s">
        <v>201</v>
      </c>
      <c r="J227" s="6" t="s">
        <v>115</v>
      </c>
      <c r="K227" s="6" t="s">
        <v>22</v>
      </c>
      <c r="L227" s="6" t="s">
        <v>1052</v>
      </c>
      <c r="M227" s="6" t="s">
        <v>129</v>
      </c>
      <c r="N227" s="6" t="s">
        <v>146</v>
      </c>
      <c r="O227" t="s">
        <v>125</v>
      </c>
      <c r="P227" s="25" t="s">
        <v>2112</v>
      </c>
    </row>
    <row r="228" spans="1:18" ht="14.4" x14ac:dyDescent="0.3">
      <c r="A228" s="5">
        <v>221</v>
      </c>
      <c r="B228" s="17" t="s">
        <v>1053</v>
      </c>
      <c r="C228" s="6">
        <v>52821918</v>
      </c>
      <c r="D228" s="6">
        <v>3187954073</v>
      </c>
      <c r="E228" s="12" t="s">
        <v>1054</v>
      </c>
      <c r="F228" s="7">
        <v>46042</v>
      </c>
      <c r="G228" s="7">
        <v>46387</v>
      </c>
      <c r="H228" s="8" t="s">
        <v>1055</v>
      </c>
      <c r="I228" s="6" t="s">
        <v>201</v>
      </c>
      <c r="J228" s="6" t="s">
        <v>115</v>
      </c>
      <c r="K228" s="6" t="s">
        <v>343</v>
      </c>
      <c r="L228" s="6" t="s">
        <v>1056</v>
      </c>
      <c r="M228" s="6" t="s">
        <v>17</v>
      </c>
      <c r="N228" s="6" t="s">
        <v>693</v>
      </c>
      <c r="O228" t="s">
        <v>125</v>
      </c>
      <c r="P228" s="25" t="s">
        <v>2112</v>
      </c>
    </row>
    <row r="229" spans="1:18" ht="14.4" x14ac:dyDescent="0.3">
      <c r="A229" s="5">
        <v>222</v>
      </c>
      <c r="B229" s="17" t="s">
        <v>1057</v>
      </c>
      <c r="C229" s="6">
        <v>1026302740</v>
      </c>
      <c r="D229" s="6">
        <v>3226346627</v>
      </c>
      <c r="E229" s="12" t="s">
        <v>1058</v>
      </c>
      <c r="F229" s="7">
        <v>46035</v>
      </c>
      <c r="G229" s="7">
        <v>46387</v>
      </c>
      <c r="H229" s="8" t="s">
        <v>1059</v>
      </c>
      <c r="I229" s="6" t="s">
        <v>1006</v>
      </c>
      <c r="J229" s="6" t="s">
        <v>115</v>
      </c>
      <c r="K229" s="6" t="s">
        <v>132</v>
      </c>
      <c r="L229" s="6" t="s">
        <v>1060</v>
      </c>
      <c r="M229" s="6" t="s">
        <v>17</v>
      </c>
      <c r="N229" s="6" t="s">
        <v>66</v>
      </c>
      <c r="O229" t="s">
        <v>125</v>
      </c>
      <c r="P229" s="25" t="s">
        <v>2112</v>
      </c>
    </row>
    <row r="230" spans="1:18" ht="14.4" x14ac:dyDescent="0.3">
      <c r="A230" s="5">
        <v>223</v>
      </c>
      <c r="B230" s="17" t="s">
        <v>1061</v>
      </c>
      <c r="C230" s="6">
        <v>24731198</v>
      </c>
      <c r="D230" s="6">
        <v>3102982496</v>
      </c>
      <c r="E230" s="6" t="s">
        <v>1062</v>
      </c>
      <c r="F230" s="7">
        <v>46036</v>
      </c>
      <c r="G230" s="7">
        <v>46387</v>
      </c>
      <c r="H230" s="8" t="s">
        <v>1063</v>
      </c>
      <c r="I230" s="6" t="s">
        <v>500</v>
      </c>
      <c r="J230" s="6" t="s">
        <v>115</v>
      </c>
      <c r="K230" s="6" t="s">
        <v>1064</v>
      </c>
      <c r="L230" s="6" t="s">
        <v>1065</v>
      </c>
      <c r="M230" s="6" t="s">
        <v>17</v>
      </c>
      <c r="N230" s="6" t="s">
        <v>44</v>
      </c>
      <c r="O230" t="s">
        <v>125</v>
      </c>
      <c r="P230" s="25" t="s">
        <v>2112</v>
      </c>
    </row>
    <row r="231" spans="1:18" ht="14.4" x14ac:dyDescent="0.3">
      <c r="A231" s="16">
        <v>224</v>
      </c>
      <c r="B231" s="17" t="s">
        <v>1066</v>
      </c>
      <c r="C231" s="6">
        <v>1022360944</v>
      </c>
      <c r="D231" s="6">
        <v>3208648492</v>
      </c>
      <c r="E231" s="12" t="s">
        <v>1067</v>
      </c>
      <c r="F231" s="7">
        <v>46042</v>
      </c>
      <c r="G231" s="7">
        <v>46387</v>
      </c>
      <c r="H231" s="8" t="s">
        <v>1068</v>
      </c>
      <c r="I231" s="6" t="s">
        <v>2109</v>
      </c>
      <c r="J231" s="6" t="s">
        <v>143</v>
      </c>
      <c r="K231" s="6" t="s">
        <v>1069</v>
      </c>
      <c r="L231" s="6" t="s">
        <v>1070</v>
      </c>
      <c r="M231" s="6" t="s">
        <v>17</v>
      </c>
      <c r="N231" s="6" t="s">
        <v>44</v>
      </c>
      <c r="O231" t="s">
        <v>125</v>
      </c>
      <c r="P231" s="25" t="s">
        <v>2112</v>
      </c>
    </row>
    <row r="232" spans="1:18" ht="14.4" x14ac:dyDescent="0.3">
      <c r="A232" s="5">
        <v>225</v>
      </c>
      <c r="B232" s="17" t="s">
        <v>1071</v>
      </c>
      <c r="C232" s="6">
        <v>3181809</v>
      </c>
      <c r="D232" s="6">
        <v>3118770630</v>
      </c>
      <c r="E232" s="6" t="s">
        <v>2103</v>
      </c>
      <c r="F232" s="7">
        <v>46048</v>
      </c>
      <c r="G232" s="7">
        <v>46387</v>
      </c>
      <c r="H232" s="8" t="s">
        <v>1072</v>
      </c>
      <c r="I232" s="6" t="s">
        <v>500</v>
      </c>
      <c r="J232" s="6" t="s">
        <v>115</v>
      </c>
      <c r="K232" s="6" t="s">
        <v>1073</v>
      </c>
      <c r="L232" s="6" t="s">
        <v>1074</v>
      </c>
      <c r="M232" s="6" t="s">
        <v>17</v>
      </c>
      <c r="N232" s="6" t="s">
        <v>60</v>
      </c>
      <c r="O232" t="s">
        <v>125</v>
      </c>
      <c r="P232" s="25" t="s">
        <v>2112</v>
      </c>
    </row>
    <row r="233" spans="1:18" ht="14.4" x14ac:dyDescent="0.3">
      <c r="A233" s="5">
        <v>226</v>
      </c>
      <c r="B233" s="17" t="s">
        <v>1075</v>
      </c>
      <c r="C233" s="6">
        <v>1010184160</v>
      </c>
      <c r="D233" s="6">
        <v>3145159290</v>
      </c>
      <c r="E233" s="6" t="s">
        <v>1076</v>
      </c>
      <c r="F233" s="7">
        <v>46041</v>
      </c>
      <c r="G233" s="7">
        <v>46387</v>
      </c>
      <c r="H233" s="8" t="s">
        <v>1077</v>
      </c>
      <c r="I233" s="6" t="s">
        <v>500</v>
      </c>
      <c r="J233" s="6" t="s">
        <v>115</v>
      </c>
      <c r="K233" s="6" t="s">
        <v>164</v>
      </c>
      <c r="L233" s="6" t="s">
        <v>1078</v>
      </c>
      <c r="M233" s="6" t="s">
        <v>17</v>
      </c>
      <c r="N233" s="6" t="s">
        <v>60</v>
      </c>
      <c r="O233" t="s">
        <v>125</v>
      </c>
      <c r="P233" s="25" t="s">
        <v>2112</v>
      </c>
    </row>
    <row r="234" spans="1:18" ht="14.4" x14ac:dyDescent="0.3">
      <c r="A234" s="5">
        <v>227</v>
      </c>
      <c r="B234" s="17" t="s">
        <v>1079</v>
      </c>
      <c r="C234" s="6">
        <v>80268446</v>
      </c>
      <c r="D234" s="6">
        <v>3157902737</v>
      </c>
      <c r="E234" s="6" t="s">
        <v>1080</v>
      </c>
      <c r="F234" s="7">
        <v>46049</v>
      </c>
      <c r="G234" s="7">
        <v>46387</v>
      </c>
      <c r="H234" s="8" t="s">
        <v>1081</v>
      </c>
      <c r="I234" s="6" t="s">
        <v>2110</v>
      </c>
      <c r="J234" s="6" t="s">
        <v>143</v>
      </c>
      <c r="K234" s="6" t="s">
        <v>214</v>
      </c>
      <c r="L234" s="6" t="s">
        <v>1082</v>
      </c>
      <c r="M234" s="6" t="s">
        <v>17</v>
      </c>
      <c r="N234" s="6" t="s">
        <v>1083</v>
      </c>
      <c r="O234" t="s">
        <v>125</v>
      </c>
      <c r="P234" s="25" t="s">
        <v>2112</v>
      </c>
    </row>
    <row r="235" spans="1:18" ht="14.4" x14ac:dyDescent="0.3">
      <c r="A235" s="16">
        <v>228</v>
      </c>
      <c r="B235" s="17" t="s">
        <v>1084</v>
      </c>
      <c r="C235" s="17">
        <v>1140821506</v>
      </c>
      <c r="D235" s="17">
        <v>3017541019</v>
      </c>
      <c r="E235" s="23" t="s">
        <v>1085</v>
      </c>
      <c r="F235" s="18">
        <v>46030</v>
      </c>
      <c r="G235" s="18">
        <v>46210</v>
      </c>
      <c r="H235" s="8" t="s">
        <v>1086</v>
      </c>
      <c r="I235" s="6" t="s">
        <v>256</v>
      </c>
      <c r="J235" s="6" t="s">
        <v>115</v>
      </c>
      <c r="K235" s="17" t="s">
        <v>1087</v>
      </c>
      <c r="L235" s="17" t="s">
        <v>1088</v>
      </c>
      <c r="M235" s="17" t="s">
        <v>17</v>
      </c>
      <c r="N235" s="17" t="s">
        <v>66</v>
      </c>
      <c r="O235" s="19" t="s">
        <v>125</v>
      </c>
      <c r="P235" s="21" t="s">
        <v>2098</v>
      </c>
      <c r="Q235" s="20"/>
      <c r="R235" s="20"/>
    </row>
    <row r="236" spans="1:18" ht="14.4" x14ac:dyDescent="0.3">
      <c r="A236" s="5">
        <v>229</v>
      </c>
      <c r="B236" s="17" t="s">
        <v>1089</v>
      </c>
      <c r="C236" s="6">
        <v>52146673</v>
      </c>
      <c r="D236" s="6">
        <v>3002138043</v>
      </c>
      <c r="E236" s="12" t="s">
        <v>1090</v>
      </c>
      <c r="F236" s="7">
        <v>46037</v>
      </c>
      <c r="G236" s="7">
        <v>46280</v>
      </c>
      <c r="H236" s="8" t="s">
        <v>1091</v>
      </c>
      <c r="I236" s="17" t="s">
        <v>207</v>
      </c>
      <c r="J236" s="6" t="s">
        <v>143</v>
      </c>
      <c r="K236" s="6" t="s">
        <v>1036</v>
      </c>
      <c r="L236" s="6" t="s">
        <v>1092</v>
      </c>
      <c r="M236" s="6" t="s">
        <v>17</v>
      </c>
      <c r="N236" s="6" t="s">
        <v>1093</v>
      </c>
      <c r="O236" t="s">
        <v>125</v>
      </c>
      <c r="P236" s="25" t="s">
        <v>2112</v>
      </c>
    </row>
    <row r="237" spans="1:18" ht="14.4" x14ac:dyDescent="0.3">
      <c r="A237" s="5">
        <v>230</v>
      </c>
      <c r="B237" s="17" t="s">
        <v>1094</v>
      </c>
      <c r="C237" s="6">
        <v>52353521</v>
      </c>
      <c r="D237" s="6">
        <v>3008310602</v>
      </c>
      <c r="E237" s="12" t="s">
        <v>1095</v>
      </c>
      <c r="F237" s="7">
        <v>46049</v>
      </c>
      <c r="G237" s="7">
        <v>46387</v>
      </c>
      <c r="H237" s="8" t="s">
        <v>1096</v>
      </c>
      <c r="I237" s="6" t="s">
        <v>500</v>
      </c>
      <c r="J237" s="6" t="s">
        <v>115</v>
      </c>
      <c r="K237" s="6" t="s">
        <v>398</v>
      </c>
      <c r="L237" s="6" t="s">
        <v>1097</v>
      </c>
      <c r="M237" s="6" t="s">
        <v>17</v>
      </c>
      <c r="N237" s="6" t="s">
        <v>248</v>
      </c>
      <c r="O237" t="s">
        <v>125</v>
      </c>
      <c r="P237" s="25" t="s">
        <v>2112</v>
      </c>
    </row>
    <row r="238" spans="1:18" ht="14.4" x14ac:dyDescent="0.3">
      <c r="A238" s="5">
        <v>231</v>
      </c>
      <c r="B238" s="17" t="s">
        <v>1098</v>
      </c>
      <c r="C238" s="17">
        <v>53178070</v>
      </c>
      <c r="D238" s="17">
        <v>3015419453</v>
      </c>
      <c r="E238" s="17" t="s">
        <v>1099</v>
      </c>
      <c r="F238" s="18">
        <v>46035</v>
      </c>
      <c r="G238" s="18">
        <v>46203</v>
      </c>
      <c r="H238" s="8" t="s">
        <v>1100</v>
      </c>
      <c r="I238" s="17" t="s">
        <v>299</v>
      </c>
      <c r="J238" s="6" t="s">
        <v>115</v>
      </c>
      <c r="K238" s="17" t="s">
        <v>1101</v>
      </c>
      <c r="L238" s="17" t="s">
        <v>1102</v>
      </c>
      <c r="M238" s="6" t="s">
        <v>253</v>
      </c>
      <c r="N238" s="17" t="s">
        <v>248</v>
      </c>
      <c r="O238" s="19" t="s">
        <v>125</v>
      </c>
      <c r="P238" s="21" t="s">
        <v>2098</v>
      </c>
      <c r="Q238" s="20"/>
      <c r="R238" s="20"/>
    </row>
    <row r="239" spans="1:18" ht="14.4" x14ac:dyDescent="0.3">
      <c r="A239" s="16">
        <v>232</v>
      </c>
      <c r="B239" s="17" t="s">
        <v>1103</v>
      </c>
      <c r="C239" s="6">
        <v>79867029</v>
      </c>
      <c r="D239" s="6">
        <v>3157310092</v>
      </c>
      <c r="E239" s="12" t="s">
        <v>1104</v>
      </c>
      <c r="F239" s="7">
        <v>46035</v>
      </c>
      <c r="G239" s="7">
        <v>46384</v>
      </c>
      <c r="H239" s="8" t="s">
        <v>1105</v>
      </c>
      <c r="I239" s="6" t="s">
        <v>1006</v>
      </c>
      <c r="J239" s="6" t="s">
        <v>143</v>
      </c>
      <c r="K239" s="6" t="s">
        <v>501</v>
      </c>
      <c r="L239" s="6" t="s">
        <v>1106</v>
      </c>
      <c r="M239" s="6" t="s">
        <v>17</v>
      </c>
      <c r="N239" s="6" t="s">
        <v>52</v>
      </c>
      <c r="O239" t="s">
        <v>125</v>
      </c>
      <c r="P239" s="25" t="s">
        <v>2112</v>
      </c>
    </row>
    <row r="240" spans="1:18" ht="14.4" x14ac:dyDescent="0.3">
      <c r="A240" s="5">
        <v>233</v>
      </c>
      <c r="B240" s="17" t="s">
        <v>1107</v>
      </c>
      <c r="C240" s="6">
        <v>79944990</v>
      </c>
      <c r="D240" s="6">
        <v>3108127012</v>
      </c>
      <c r="E240" s="12" t="s">
        <v>1108</v>
      </c>
      <c r="F240" s="7">
        <v>46031</v>
      </c>
      <c r="G240" s="7">
        <v>46364</v>
      </c>
      <c r="H240" s="8" t="s">
        <v>1109</v>
      </c>
      <c r="I240" s="17" t="s">
        <v>207</v>
      </c>
      <c r="J240" s="6" t="s">
        <v>115</v>
      </c>
      <c r="K240" s="6" t="s">
        <v>294</v>
      </c>
      <c r="L240" s="6" t="s">
        <v>1110</v>
      </c>
      <c r="M240" s="6" t="s">
        <v>17</v>
      </c>
      <c r="N240" s="6" t="s">
        <v>24</v>
      </c>
      <c r="O240" t="s">
        <v>125</v>
      </c>
      <c r="P240" s="25" t="s">
        <v>2112</v>
      </c>
    </row>
    <row r="241" spans="1:18" ht="14.4" x14ac:dyDescent="0.3">
      <c r="A241" s="5">
        <v>234</v>
      </c>
      <c r="B241" s="17" t="s">
        <v>1111</v>
      </c>
      <c r="C241" s="17">
        <v>79328078</v>
      </c>
      <c r="D241" s="17">
        <v>3155428490</v>
      </c>
      <c r="E241" s="23" t="s">
        <v>1112</v>
      </c>
      <c r="F241" s="18">
        <v>46038</v>
      </c>
      <c r="G241" s="18">
        <v>46279</v>
      </c>
      <c r="H241" s="8" t="s">
        <v>1113</v>
      </c>
      <c r="I241" s="6" t="s">
        <v>256</v>
      </c>
      <c r="J241" s="6" t="s">
        <v>143</v>
      </c>
      <c r="K241" s="17" t="s">
        <v>408</v>
      </c>
      <c r="L241" s="17" t="s">
        <v>1114</v>
      </c>
      <c r="M241" s="17" t="s">
        <v>17</v>
      </c>
      <c r="N241" s="17" t="s">
        <v>44</v>
      </c>
      <c r="O241" s="19" t="s">
        <v>125</v>
      </c>
      <c r="P241" s="22" t="s">
        <v>2098</v>
      </c>
      <c r="Q241" s="20"/>
      <c r="R241" s="20"/>
    </row>
    <row r="242" spans="1:18" ht="14.4" x14ac:dyDescent="0.3">
      <c r="A242" s="5">
        <v>235</v>
      </c>
      <c r="B242" s="17" t="s">
        <v>1115</v>
      </c>
      <c r="C242" s="17">
        <v>1014279715</v>
      </c>
      <c r="D242" s="17">
        <v>3105855871</v>
      </c>
      <c r="E242" s="23" t="s">
        <v>1116</v>
      </c>
      <c r="F242" s="18">
        <v>46030</v>
      </c>
      <c r="G242" s="18">
        <v>46208</v>
      </c>
      <c r="H242" s="8" t="s">
        <v>1117</v>
      </c>
      <c r="I242" s="17" t="s">
        <v>207</v>
      </c>
      <c r="J242" s="6" t="s">
        <v>106</v>
      </c>
      <c r="K242" s="17" t="s">
        <v>276</v>
      </c>
      <c r="L242" s="17" t="s">
        <v>1118</v>
      </c>
      <c r="M242" s="17" t="s">
        <v>17</v>
      </c>
      <c r="N242" s="17" t="s">
        <v>24</v>
      </c>
      <c r="O242" s="19" t="s">
        <v>125</v>
      </c>
      <c r="P242" s="21" t="s">
        <v>2098</v>
      </c>
      <c r="Q242" s="20"/>
      <c r="R242" s="20"/>
    </row>
    <row r="243" spans="1:18" ht="14.4" x14ac:dyDescent="0.3">
      <c r="A243" s="16">
        <v>236</v>
      </c>
      <c r="B243" s="17" t="s">
        <v>1119</v>
      </c>
      <c r="C243" s="6">
        <v>1026302501</v>
      </c>
      <c r="D243" s="6">
        <v>3164900097</v>
      </c>
      <c r="E243" s="6" t="s">
        <v>1120</v>
      </c>
      <c r="F243" s="7">
        <v>46042</v>
      </c>
      <c r="G243" s="7">
        <v>46223</v>
      </c>
      <c r="H243" s="8" t="s">
        <v>1121</v>
      </c>
      <c r="I243" s="6" t="s">
        <v>270</v>
      </c>
      <c r="J243" s="6" t="s">
        <v>115</v>
      </c>
      <c r="K243" s="6" t="s">
        <v>1122</v>
      </c>
      <c r="L243" s="6" t="s">
        <v>1123</v>
      </c>
      <c r="M243" s="6" t="s">
        <v>17</v>
      </c>
      <c r="N243" s="6" t="s">
        <v>60</v>
      </c>
      <c r="O243" t="s">
        <v>125</v>
      </c>
      <c r="P243" s="25" t="s">
        <v>2112</v>
      </c>
    </row>
    <row r="244" spans="1:18" ht="14.4" x14ac:dyDescent="0.3">
      <c r="A244" s="5">
        <v>237</v>
      </c>
      <c r="B244" s="17" t="s">
        <v>1124</v>
      </c>
      <c r="C244" s="6">
        <v>1110473907</v>
      </c>
      <c r="D244" s="6">
        <v>3014300439</v>
      </c>
      <c r="E244" s="12" t="s">
        <v>1125</v>
      </c>
      <c r="F244" s="7">
        <v>46043</v>
      </c>
      <c r="G244" s="7">
        <v>46387</v>
      </c>
      <c r="H244" s="8" t="s">
        <v>1126</v>
      </c>
      <c r="I244" s="6" t="s">
        <v>500</v>
      </c>
      <c r="J244" s="6" t="s">
        <v>143</v>
      </c>
      <c r="K244" s="6" t="s">
        <v>1127</v>
      </c>
      <c r="L244" s="6" t="s">
        <v>1128</v>
      </c>
      <c r="M244" s="6" t="s">
        <v>17</v>
      </c>
      <c r="N244" s="6" t="s">
        <v>18</v>
      </c>
      <c r="O244" t="s">
        <v>125</v>
      </c>
      <c r="P244" s="25" t="s">
        <v>2112</v>
      </c>
    </row>
    <row r="245" spans="1:18" ht="14.4" x14ac:dyDescent="0.3">
      <c r="A245" s="5">
        <v>238</v>
      </c>
      <c r="B245" s="17" t="s">
        <v>1129</v>
      </c>
      <c r="C245" s="6">
        <v>79867042</v>
      </c>
      <c r="D245" s="6">
        <v>3163575233</v>
      </c>
      <c r="E245" s="6" t="s">
        <v>20</v>
      </c>
      <c r="F245" s="7" t="s">
        <v>20</v>
      </c>
      <c r="G245" s="7" t="s">
        <v>20</v>
      </c>
      <c r="H245" s="8" t="s">
        <v>1130</v>
      </c>
      <c r="I245" s="6" t="s">
        <v>434</v>
      </c>
      <c r="J245" s="6" t="s">
        <v>115</v>
      </c>
      <c r="K245" s="6" t="s">
        <v>1131</v>
      </c>
      <c r="L245" s="6" t="s">
        <v>1132</v>
      </c>
      <c r="M245" s="6" t="s">
        <v>17</v>
      </c>
      <c r="N245" s="6" t="s">
        <v>1133</v>
      </c>
      <c r="O245" t="s">
        <v>119</v>
      </c>
      <c r="P245" s="25" t="s">
        <v>2112</v>
      </c>
    </row>
    <row r="246" spans="1:18" ht="14.4" x14ac:dyDescent="0.3">
      <c r="A246" s="5">
        <v>239</v>
      </c>
      <c r="B246" s="17" t="s">
        <v>1134</v>
      </c>
      <c r="C246" s="6">
        <v>1049632235</v>
      </c>
      <c r="D246" s="6">
        <v>3023671569</v>
      </c>
      <c r="E246" s="12" t="s">
        <v>1135</v>
      </c>
      <c r="F246" s="7">
        <v>46044</v>
      </c>
      <c r="G246" s="7">
        <v>46387</v>
      </c>
      <c r="H246" s="8" t="s">
        <v>1136</v>
      </c>
      <c r="I246" s="6" t="s">
        <v>500</v>
      </c>
      <c r="J246" s="6" t="s">
        <v>106</v>
      </c>
      <c r="K246" s="6" t="s">
        <v>56</v>
      </c>
      <c r="L246" s="6" t="s">
        <v>1137</v>
      </c>
      <c r="M246" s="6" t="s">
        <v>17</v>
      </c>
      <c r="N246" s="6" t="s">
        <v>24</v>
      </c>
      <c r="O246" t="s">
        <v>125</v>
      </c>
      <c r="P246" s="25" t="s">
        <v>2112</v>
      </c>
    </row>
    <row r="247" spans="1:18" ht="14.4" x14ac:dyDescent="0.3">
      <c r="A247" s="16">
        <v>240</v>
      </c>
      <c r="B247" s="17" t="s">
        <v>1138</v>
      </c>
      <c r="C247" s="6">
        <v>1018492612</v>
      </c>
      <c r="D247" s="6">
        <v>3213001212</v>
      </c>
      <c r="E247" s="12" t="s">
        <v>1139</v>
      </c>
      <c r="F247" s="7">
        <v>46044</v>
      </c>
      <c r="G247" s="7">
        <v>46224</v>
      </c>
      <c r="H247" s="8" t="s">
        <v>1140</v>
      </c>
      <c r="I247" s="6" t="s">
        <v>1843</v>
      </c>
      <c r="J247" s="6" t="s">
        <v>106</v>
      </c>
      <c r="K247" s="6" t="s">
        <v>1141</v>
      </c>
      <c r="L247" s="6" t="s">
        <v>1142</v>
      </c>
      <c r="M247" s="6" t="s">
        <v>17</v>
      </c>
      <c r="N247" s="6" t="s">
        <v>24</v>
      </c>
      <c r="O247" t="s">
        <v>125</v>
      </c>
      <c r="P247" s="25" t="s">
        <v>2112</v>
      </c>
    </row>
    <row r="248" spans="1:18" ht="14.4" x14ac:dyDescent="0.3">
      <c r="A248" s="5">
        <v>241</v>
      </c>
      <c r="B248" s="17" t="s">
        <v>1143</v>
      </c>
      <c r="C248" s="6">
        <v>52226898</v>
      </c>
      <c r="D248" s="6">
        <v>3112818293</v>
      </c>
      <c r="E248" s="12" t="s">
        <v>1144</v>
      </c>
      <c r="F248" s="7">
        <v>46035</v>
      </c>
      <c r="G248" s="7">
        <v>46387</v>
      </c>
      <c r="H248" s="8" t="s">
        <v>1145</v>
      </c>
      <c r="I248" s="6" t="s">
        <v>587</v>
      </c>
      <c r="J248" s="6" t="s">
        <v>115</v>
      </c>
      <c r="K248" s="6" t="s">
        <v>1146</v>
      </c>
      <c r="L248" s="6" t="s">
        <v>1147</v>
      </c>
      <c r="M248" s="6" t="s">
        <v>17</v>
      </c>
      <c r="N248" s="6" t="s">
        <v>221</v>
      </c>
      <c r="O248" t="s">
        <v>125</v>
      </c>
      <c r="P248" s="25" t="s">
        <v>2112</v>
      </c>
    </row>
    <row r="249" spans="1:18" ht="14.4" x14ac:dyDescent="0.3">
      <c r="A249" s="5">
        <v>242</v>
      </c>
      <c r="B249" s="17" t="s">
        <v>1148</v>
      </c>
      <c r="C249" s="6">
        <v>79609619</v>
      </c>
      <c r="D249" s="6">
        <v>3222674965</v>
      </c>
      <c r="E249" s="12" t="s">
        <v>1149</v>
      </c>
      <c r="F249" s="7">
        <v>46048</v>
      </c>
      <c r="G249" s="7">
        <v>46387</v>
      </c>
      <c r="H249" s="8" t="s">
        <v>1150</v>
      </c>
      <c r="I249" s="6" t="s">
        <v>500</v>
      </c>
      <c r="J249" s="6" t="s">
        <v>80</v>
      </c>
      <c r="K249" s="6" t="s">
        <v>1151</v>
      </c>
      <c r="L249" s="6" t="s">
        <v>20</v>
      </c>
      <c r="M249" s="6" t="s">
        <v>129</v>
      </c>
      <c r="N249" s="6" t="s">
        <v>1152</v>
      </c>
      <c r="O249" t="s">
        <v>125</v>
      </c>
      <c r="P249" s="25" t="s">
        <v>2112</v>
      </c>
    </row>
    <row r="250" spans="1:18" ht="14.4" x14ac:dyDescent="0.3">
      <c r="A250" s="5">
        <v>243</v>
      </c>
      <c r="B250" s="17" t="s">
        <v>1153</v>
      </c>
      <c r="C250" s="6">
        <v>1002524810</v>
      </c>
      <c r="D250" s="6">
        <v>1002524810</v>
      </c>
      <c r="E250" s="12" t="s">
        <v>1154</v>
      </c>
      <c r="F250" s="7">
        <v>46038</v>
      </c>
      <c r="G250" s="7">
        <v>46249</v>
      </c>
      <c r="H250" s="8" t="s">
        <v>1155</v>
      </c>
      <c r="I250" s="6" t="s">
        <v>1338</v>
      </c>
      <c r="J250" s="6" t="s">
        <v>115</v>
      </c>
      <c r="K250" s="6" t="s">
        <v>1156</v>
      </c>
      <c r="L250" s="6" t="s">
        <v>1157</v>
      </c>
      <c r="M250" s="6" t="s">
        <v>17</v>
      </c>
      <c r="N250" s="6" t="s">
        <v>66</v>
      </c>
      <c r="O250" t="s">
        <v>125</v>
      </c>
      <c r="P250" s="25" t="s">
        <v>2112</v>
      </c>
    </row>
    <row r="251" spans="1:18" ht="14.4" x14ac:dyDescent="0.3">
      <c r="A251" s="16">
        <v>244</v>
      </c>
      <c r="B251" s="17" t="s">
        <v>1158</v>
      </c>
      <c r="C251" s="6">
        <v>1020828035</v>
      </c>
      <c r="D251" s="6">
        <v>3223455521</v>
      </c>
      <c r="E251" s="12" t="s">
        <v>1159</v>
      </c>
      <c r="F251" s="7">
        <v>46041</v>
      </c>
      <c r="G251" s="7">
        <v>46387</v>
      </c>
      <c r="H251" s="8" t="s">
        <v>1160</v>
      </c>
      <c r="I251" s="6" t="s">
        <v>500</v>
      </c>
      <c r="J251" s="6" t="s">
        <v>106</v>
      </c>
      <c r="K251" s="6" t="s">
        <v>1161</v>
      </c>
      <c r="L251" s="6" t="s">
        <v>1162</v>
      </c>
      <c r="M251" s="6" t="s">
        <v>17</v>
      </c>
      <c r="N251" s="6" t="s">
        <v>24</v>
      </c>
      <c r="O251" t="s">
        <v>125</v>
      </c>
      <c r="P251" s="25" t="s">
        <v>2112</v>
      </c>
    </row>
    <row r="252" spans="1:18" ht="14.4" x14ac:dyDescent="0.3">
      <c r="A252" s="5">
        <v>245</v>
      </c>
      <c r="B252" s="17" t="s">
        <v>1163</v>
      </c>
      <c r="C252" s="17">
        <v>1136888167</v>
      </c>
      <c r="D252" s="17">
        <v>3143582790</v>
      </c>
      <c r="E252" s="23" t="s">
        <v>1164</v>
      </c>
      <c r="F252" s="18">
        <v>46031</v>
      </c>
      <c r="G252" s="18">
        <v>46211</v>
      </c>
      <c r="H252" s="8" t="s">
        <v>1165</v>
      </c>
      <c r="I252" s="6" t="s">
        <v>1353</v>
      </c>
      <c r="J252" s="6" t="s">
        <v>143</v>
      </c>
      <c r="K252" s="17" t="s">
        <v>1166</v>
      </c>
      <c r="L252" s="17" t="s">
        <v>1167</v>
      </c>
      <c r="M252" s="6" t="s">
        <v>253</v>
      </c>
      <c r="N252" s="17" t="s">
        <v>773</v>
      </c>
      <c r="O252" s="19" t="s">
        <v>125</v>
      </c>
      <c r="P252" s="22" t="s">
        <v>2098</v>
      </c>
      <c r="Q252" s="20"/>
      <c r="R252" s="20"/>
    </row>
    <row r="253" spans="1:18" ht="14.4" x14ac:dyDescent="0.3">
      <c r="A253" s="5">
        <v>246</v>
      </c>
      <c r="B253" s="17" t="s">
        <v>1168</v>
      </c>
      <c r="C253" s="6">
        <v>52084821</v>
      </c>
      <c r="D253" s="6">
        <v>3108023562</v>
      </c>
      <c r="E253" s="6" t="s">
        <v>20</v>
      </c>
      <c r="F253" s="7" t="s">
        <v>20</v>
      </c>
      <c r="G253" s="7" t="s">
        <v>20</v>
      </c>
      <c r="H253" s="8" t="s">
        <v>1169</v>
      </c>
      <c r="I253" s="6" t="s">
        <v>434</v>
      </c>
      <c r="J253" s="6" t="s">
        <v>115</v>
      </c>
      <c r="K253" s="6" t="s">
        <v>1087</v>
      </c>
      <c r="L253" s="6" t="s">
        <v>1170</v>
      </c>
      <c r="M253" s="6" t="s">
        <v>17</v>
      </c>
      <c r="N253" s="6" t="s">
        <v>1171</v>
      </c>
      <c r="O253" t="s">
        <v>119</v>
      </c>
      <c r="P253" s="25" t="s">
        <v>2112</v>
      </c>
    </row>
    <row r="254" spans="1:18" ht="14.4" x14ac:dyDescent="0.3">
      <c r="A254" s="5">
        <v>247</v>
      </c>
      <c r="B254" s="17" t="s">
        <v>1172</v>
      </c>
      <c r="C254" s="6">
        <v>37863889</v>
      </c>
      <c r="D254" s="6">
        <v>3123512363</v>
      </c>
      <c r="E254" s="12" t="s">
        <v>1173</v>
      </c>
      <c r="F254" s="7">
        <v>46036</v>
      </c>
      <c r="G254" s="7">
        <v>46387</v>
      </c>
      <c r="H254" s="8" t="s">
        <v>1174</v>
      </c>
      <c r="I254" s="17" t="s">
        <v>2011</v>
      </c>
      <c r="J254" s="6" t="s">
        <v>155</v>
      </c>
      <c r="K254" s="6" t="s">
        <v>1175</v>
      </c>
      <c r="L254" s="6" t="s">
        <v>20</v>
      </c>
      <c r="M254" s="6" t="s">
        <v>129</v>
      </c>
      <c r="N254" s="6" t="s">
        <v>24</v>
      </c>
      <c r="O254" t="s">
        <v>125</v>
      </c>
      <c r="P254" s="25" t="s">
        <v>2112</v>
      </c>
    </row>
    <row r="255" spans="1:18" ht="14.4" x14ac:dyDescent="0.3">
      <c r="A255" s="16">
        <v>248</v>
      </c>
      <c r="B255" s="17" t="s">
        <v>1176</v>
      </c>
      <c r="C255" s="17">
        <v>80897139</v>
      </c>
      <c r="D255" s="17">
        <v>3213046961</v>
      </c>
      <c r="E255" s="17" t="s">
        <v>1177</v>
      </c>
      <c r="F255" s="18">
        <v>46036</v>
      </c>
      <c r="G255" s="18">
        <v>46282</v>
      </c>
      <c r="H255" s="8" t="s">
        <v>1178</v>
      </c>
      <c r="I255" s="6" t="s">
        <v>1338</v>
      </c>
      <c r="J255" s="6" t="s">
        <v>106</v>
      </c>
      <c r="K255" s="17" t="s">
        <v>701</v>
      </c>
      <c r="L255" s="17" t="s">
        <v>1179</v>
      </c>
      <c r="M255" s="17" t="s">
        <v>17</v>
      </c>
      <c r="N255" s="17" t="s">
        <v>66</v>
      </c>
      <c r="O255" s="19" t="s">
        <v>125</v>
      </c>
      <c r="P255" s="21" t="s">
        <v>2098</v>
      </c>
      <c r="Q255" s="20"/>
      <c r="R255" s="20"/>
    </row>
    <row r="256" spans="1:18" ht="14.4" x14ac:dyDescent="0.3">
      <c r="A256" s="5">
        <v>249</v>
      </c>
      <c r="B256" s="17" t="s">
        <v>1180</v>
      </c>
      <c r="C256" s="6">
        <v>51736627</v>
      </c>
      <c r="D256" s="6">
        <v>3132613176</v>
      </c>
      <c r="E256" s="6" t="s">
        <v>20</v>
      </c>
      <c r="F256" s="7" t="s">
        <v>20</v>
      </c>
      <c r="G256" s="7" t="s">
        <v>20</v>
      </c>
      <c r="H256" s="8" t="s">
        <v>1181</v>
      </c>
      <c r="I256" s="6" t="s">
        <v>270</v>
      </c>
      <c r="J256" s="6" t="s">
        <v>143</v>
      </c>
      <c r="K256" s="6" t="s">
        <v>202</v>
      </c>
      <c r="L256" s="6" t="s">
        <v>1182</v>
      </c>
      <c r="M256" s="6" t="s">
        <v>17</v>
      </c>
      <c r="N256" s="6" t="s">
        <v>96</v>
      </c>
      <c r="O256" t="s">
        <v>119</v>
      </c>
      <c r="P256" s="25" t="s">
        <v>2112</v>
      </c>
    </row>
    <row r="257" spans="1:18" ht="14.4" x14ac:dyDescent="0.3">
      <c r="A257" s="5">
        <v>250</v>
      </c>
      <c r="B257" s="17" t="s">
        <v>1183</v>
      </c>
      <c r="C257" s="6">
        <v>51655384</v>
      </c>
      <c r="D257" s="6">
        <v>3132946422</v>
      </c>
      <c r="E257" s="12" t="s">
        <v>1184</v>
      </c>
      <c r="F257" s="7">
        <v>46049</v>
      </c>
      <c r="G257" s="7">
        <v>46352</v>
      </c>
      <c r="H257" s="8" t="s">
        <v>1185</v>
      </c>
      <c r="I257" s="6" t="s">
        <v>270</v>
      </c>
      <c r="J257" s="6" t="s">
        <v>115</v>
      </c>
      <c r="K257" s="6" t="s">
        <v>781</v>
      </c>
      <c r="L257" s="6" t="s">
        <v>1186</v>
      </c>
      <c r="M257" s="6" t="s">
        <v>17</v>
      </c>
      <c r="N257" s="6" t="s">
        <v>166</v>
      </c>
      <c r="O257" t="s">
        <v>125</v>
      </c>
      <c r="P257" s="25" t="s">
        <v>2112</v>
      </c>
    </row>
    <row r="258" spans="1:18" ht="14.4" x14ac:dyDescent="0.3">
      <c r="A258" s="5">
        <v>251</v>
      </c>
      <c r="B258" s="17" t="s">
        <v>1187</v>
      </c>
      <c r="C258" s="6">
        <v>19366198</v>
      </c>
      <c r="D258" s="6">
        <v>3112277645</v>
      </c>
      <c r="E258" s="12" t="s">
        <v>1188</v>
      </c>
      <c r="F258" s="7">
        <v>46044</v>
      </c>
      <c r="G258" s="7">
        <v>46347</v>
      </c>
      <c r="H258" s="8" t="s">
        <v>1189</v>
      </c>
      <c r="I258" s="6" t="s">
        <v>587</v>
      </c>
      <c r="J258" s="6" t="s">
        <v>115</v>
      </c>
      <c r="K258" s="6" t="s">
        <v>1190</v>
      </c>
      <c r="L258" s="6" t="s">
        <v>1191</v>
      </c>
      <c r="M258" s="6" t="s">
        <v>17</v>
      </c>
      <c r="N258" s="6" t="s">
        <v>1192</v>
      </c>
      <c r="O258" t="s">
        <v>125</v>
      </c>
      <c r="P258" s="25" t="s">
        <v>2112</v>
      </c>
    </row>
    <row r="259" spans="1:18" ht="14.4" x14ac:dyDescent="0.3">
      <c r="A259" s="16">
        <v>252</v>
      </c>
      <c r="B259" s="17" t="s">
        <v>1193</v>
      </c>
      <c r="C259" s="17">
        <v>1010185027</v>
      </c>
      <c r="D259" s="17">
        <v>3125774718</v>
      </c>
      <c r="E259" s="23" t="s">
        <v>1194</v>
      </c>
      <c r="F259" s="18">
        <v>46044</v>
      </c>
      <c r="G259" s="18">
        <v>46219</v>
      </c>
      <c r="H259" s="8" t="s">
        <v>1195</v>
      </c>
      <c r="I259" s="6" t="s">
        <v>1353</v>
      </c>
      <c r="J259" s="6" t="s">
        <v>143</v>
      </c>
      <c r="K259" s="17" t="s">
        <v>75</v>
      </c>
      <c r="L259" s="17" t="s">
        <v>1196</v>
      </c>
      <c r="M259" s="17" t="s">
        <v>17</v>
      </c>
      <c r="N259" s="17" t="s">
        <v>66</v>
      </c>
      <c r="O259" s="19" t="s">
        <v>125</v>
      </c>
      <c r="P259" s="21" t="s">
        <v>2098</v>
      </c>
      <c r="Q259" s="20"/>
      <c r="R259" s="20"/>
    </row>
    <row r="260" spans="1:18" ht="14.4" x14ac:dyDescent="0.3">
      <c r="A260" s="5">
        <v>253</v>
      </c>
      <c r="B260" s="17" t="s">
        <v>1197</v>
      </c>
      <c r="C260" s="17">
        <v>1019025949</v>
      </c>
      <c r="D260" s="17">
        <v>3134801116</v>
      </c>
      <c r="E260" s="23" t="s">
        <v>1198</v>
      </c>
      <c r="F260" s="18">
        <v>46044</v>
      </c>
      <c r="G260" s="18">
        <v>46225</v>
      </c>
      <c r="H260" s="8" t="s">
        <v>1199</v>
      </c>
      <c r="I260" s="17" t="s">
        <v>299</v>
      </c>
      <c r="J260" s="6" t="s">
        <v>143</v>
      </c>
      <c r="K260" s="17" t="s">
        <v>1200</v>
      </c>
      <c r="L260" s="17" t="s">
        <v>1201</v>
      </c>
      <c r="M260" s="17" t="s">
        <v>17</v>
      </c>
      <c r="N260" s="17" t="s">
        <v>66</v>
      </c>
      <c r="O260" s="19" t="s">
        <v>125</v>
      </c>
      <c r="P260" s="21" t="s">
        <v>2098</v>
      </c>
      <c r="Q260" s="20"/>
      <c r="R260" s="20"/>
    </row>
    <row r="261" spans="1:18" ht="14.4" x14ac:dyDescent="0.3">
      <c r="A261" s="5">
        <v>254</v>
      </c>
      <c r="B261" s="17" t="s">
        <v>1202</v>
      </c>
      <c r="C261" s="17">
        <v>79967484</v>
      </c>
      <c r="D261" s="17">
        <v>3114465810</v>
      </c>
      <c r="E261" s="23" t="s">
        <v>1203</v>
      </c>
      <c r="F261" s="18">
        <v>46046</v>
      </c>
      <c r="G261" s="18">
        <v>46226</v>
      </c>
      <c r="H261" s="8" t="s">
        <v>1204</v>
      </c>
      <c r="I261" s="6" t="s">
        <v>256</v>
      </c>
      <c r="J261" s="6" t="s">
        <v>115</v>
      </c>
      <c r="K261" s="17" t="s">
        <v>196</v>
      </c>
      <c r="L261" s="17" t="s">
        <v>1205</v>
      </c>
      <c r="M261" s="17" t="s">
        <v>17</v>
      </c>
      <c r="N261" s="17" t="s">
        <v>1206</v>
      </c>
      <c r="O261" s="19" t="s">
        <v>125</v>
      </c>
      <c r="P261" s="21" t="s">
        <v>2098</v>
      </c>
      <c r="Q261" s="20"/>
      <c r="R261" s="20"/>
    </row>
    <row r="262" spans="1:18" ht="14.4" x14ac:dyDescent="0.3">
      <c r="A262" s="5">
        <v>255</v>
      </c>
      <c r="B262" s="17" t="s">
        <v>1207</v>
      </c>
      <c r="C262" s="17">
        <v>74370778</v>
      </c>
      <c r="D262" s="17">
        <v>3208290927</v>
      </c>
      <c r="E262" s="17" t="s">
        <v>1208</v>
      </c>
      <c r="F262" s="18">
        <v>46050</v>
      </c>
      <c r="G262" s="18">
        <v>46224</v>
      </c>
      <c r="H262" s="8" t="s">
        <v>1209</v>
      </c>
      <c r="I262" s="6" t="s">
        <v>256</v>
      </c>
      <c r="J262" s="6" t="s">
        <v>115</v>
      </c>
      <c r="K262" s="17" t="s">
        <v>304</v>
      </c>
      <c r="L262" s="17" t="s">
        <v>1210</v>
      </c>
      <c r="M262" s="17" t="s">
        <v>17</v>
      </c>
      <c r="N262" s="17" t="s">
        <v>24</v>
      </c>
      <c r="O262" s="19" t="s">
        <v>125</v>
      </c>
      <c r="P262" s="22" t="s">
        <v>2098</v>
      </c>
      <c r="Q262" s="20"/>
      <c r="R262" s="20"/>
    </row>
    <row r="263" spans="1:18" ht="14.4" x14ac:dyDescent="0.3">
      <c r="A263" s="16">
        <v>256</v>
      </c>
      <c r="B263" s="17" t="s">
        <v>1211</v>
      </c>
      <c r="C263" s="6">
        <v>1015399199</v>
      </c>
      <c r="D263" s="6">
        <v>3112896785</v>
      </c>
      <c r="E263" s="12" t="s">
        <v>1212</v>
      </c>
      <c r="F263" s="7">
        <v>46028</v>
      </c>
      <c r="G263" s="7">
        <v>46239</v>
      </c>
      <c r="H263" s="8" t="s">
        <v>1213</v>
      </c>
      <c r="I263" s="6" t="s">
        <v>1843</v>
      </c>
      <c r="J263" s="6" t="s">
        <v>115</v>
      </c>
      <c r="K263" s="6" t="s">
        <v>1214</v>
      </c>
      <c r="L263" s="6" t="s">
        <v>1215</v>
      </c>
      <c r="M263" s="6" t="s">
        <v>253</v>
      </c>
      <c r="N263" s="6" t="s">
        <v>1216</v>
      </c>
      <c r="O263" t="s">
        <v>125</v>
      </c>
      <c r="P263" s="25" t="s">
        <v>2112</v>
      </c>
    </row>
    <row r="264" spans="1:18" ht="14.4" x14ac:dyDescent="0.3">
      <c r="A264" s="5">
        <v>257</v>
      </c>
      <c r="B264" s="17" t="s">
        <v>1217</v>
      </c>
      <c r="C264" s="6">
        <v>79331288</v>
      </c>
      <c r="D264" s="6">
        <v>3006097970</v>
      </c>
      <c r="E264" s="12" t="s">
        <v>1218</v>
      </c>
      <c r="F264" s="7">
        <v>46051</v>
      </c>
      <c r="G264" s="7">
        <v>46231</v>
      </c>
      <c r="H264" s="8" t="s">
        <v>1219</v>
      </c>
      <c r="I264" s="6" t="s">
        <v>201</v>
      </c>
      <c r="J264" s="6" t="s">
        <v>115</v>
      </c>
      <c r="K264" s="6" t="s">
        <v>1220</v>
      </c>
      <c r="L264" s="6" t="s">
        <v>1221</v>
      </c>
      <c r="M264" s="6" t="s">
        <v>253</v>
      </c>
      <c r="N264" s="6" t="s">
        <v>60</v>
      </c>
      <c r="O264" t="s">
        <v>125</v>
      </c>
      <c r="P264" s="25" t="s">
        <v>2112</v>
      </c>
    </row>
    <row r="265" spans="1:18" ht="14.4" x14ac:dyDescent="0.3">
      <c r="A265" s="5">
        <v>258</v>
      </c>
      <c r="B265" s="17" t="s">
        <v>1222</v>
      </c>
      <c r="C265" s="17">
        <v>1012383494</v>
      </c>
      <c r="D265" s="17">
        <v>3124369221</v>
      </c>
      <c r="E265" s="23" t="s">
        <v>1223</v>
      </c>
      <c r="F265" s="18">
        <v>46029</v>
      </c>
      <c r="G265" s="18">
        <v>46387</v>
      </c>
      <c r="H265" s="8" t="s">
        <v>1224</v>
      </c>
      <c r="I265" s="6" t="s">
        <v>201</v>
      </c>
      <c r="J265" s="6" t="s">
        <v>115</v>
      </c>
      <c r="K265" s="17" t="s">
        <v>58</v>
      </c>
      <c r="L265" s="17" t="s">
        <v>1225</v>
      </c>
      <c r="M265" s="17" t="s">
        <v>17</v>
      </c>
      <c r="N265" s="17" t="s">
        <v>18</v>
      </c>
      <c r="O265" s="19" t="s">
        <v>125</v>
      </c>
      <c r="P265" s="21" t="s">
        <v>2098</v>
      </c>
      <c r="Q265" s="20"/>
      <c r="R265" s="20"/>
    </row>
    <row r="266" spans="1:18" ht="14.4" x14ac:dyDescent="0.3">
      <c r="A266" s="5">
        <v>259</v>
      </c>
      <c r="B266" s="17" t="s">
        <v>1226</v>
      </c>
      <c r="C266" s="17">
        <v>1026578164</v>
      </c>
      <c r="D266" s="17">
        <v>3192601606</v>
      </c>
      <c r="E266" s="23" t="s">
        <v>1227</v>
      </c>
      <c r="F266" s="18">
        <v>46042</v>
      </c>
      <c r="G266" s="18">
        <v>46314</v>
      </c>
      <c r="H266" s="8" t="s">
        <v>1228</v>
      </c>
      <c r="I266" s="6" t="s">
        <v>1229</v>
      </c>
      <c r="J266" s="6" t="s">
        <v>106</v>
      </c>
      <c r="K266" s="17" t="s">
        <v>1230</v>
      </c>
      <c r="L266" s="17" t="s">
        <v>1231</v>
      </c>
      <c r="M266" s="17" t="s">
        <v>17</v>
      </c>
      <c r="N266" s="17" t="s">
        <v>1232</v>
      </c>
      <c r="O266" s="19" t="s">
        <v>125</v>
      </c>
      <c r="P266" s="21" t="s">
        <v>2098</v>
      </c>
      <c r="Q266" s="20"/>
      <c r="R266" s="20"/>
    </row>
    <row r="267" spans="1:18" ht="14.4" x14ac:dyDescent="0.3">
      <c r="A267" s="16">
        <v>260</v>
      </c>
      <c r="B267" s="17" t="s">
        <v>1233</v>
      </c>
      <c r="C267" s="6">
        <v>79794570</v>
      </c>
      <c r="D267" s="6">
        <v>3002715302</v>
      </c>
      <c r="E267" s="12" t="s">
        <v>1234</v>
      </c>
      <c r="F267" s="7">
        <v>46048</v>
      </c>
      <c r="G267" s="7">
        <v>46381</v>
      </c>
      <c r="H267" s="8" t="s">
        <v>333</v>
      </c>
      <c r="I267" s="17" t="s">
        <v>207</v>
      </c>
      <c r="J267" s="6" t="s">
        <v>115</v>
      </c>
      <c r="K267" s="6" t="s">
        <v>276</v>
      </c>
      <c r="L267" s="6" t="s">
        <v>1235</v>
      </c>
      <c r="M267" s="6" t="s">
        <v>253</v>
      </c>
      <c r="N267" s="6" t="s">
        <v>18</v>
      </c>
      <c r="O267" t="s">
        <v>125</v>
      </c>
      <c r="P267" s="25" t="s">
        <v>2112</v>
      </c>
    </row>
    <row r="268" spans="1:18" ht="14.4" x14ac:dyDescent="0.3">
      <c r="A268" s="5">
        <v>261</v>
      </c>
      <c r="B268" s="17" t="s">
        <v>1236</v>
      </c>
      <c r="C268" s="6">
        <v>80755333</v>
      </c>
      <c r="D268" s="6">
        <v>3115901496</v>
      </c>
      <c r="E268" s="12" t="s">
        <v>1237</v>
      </c>
      <c r="F268" s="7">
        <v>46049</v>
      </c>
      <c r="G268" s="7">
        <v>46230</v>
      </c>
      <c r="H268" s="8" t="s">
        <v>1238</v>
      </c>
      <c r="I268" s="6" t="s">
        <v>256</v>
      </c>
      <c r="J268" s="6" t="s">
        <v>115</v>
      </c>
      <c r="K268" s="6" t="s">
        <v>452</v>
      </c>
      <c r="L268" s="6" t="s">
        <v>1239</v>
      </c>
      <c r="M268" s="6" t="s">
        <v>17</v>
      </c>
      <c r="N268" s="6" t="s">
        <v>1240</v>
      </c>
      <c r="O268" t="s">
        <v>125</v>
      </c>
      <c r="P268" s="25" t="s">
        <v>2112</v>
      </c>
    </row>
    <row r="269" spans="1:18" ht="14.4" x14ac:dyDescent="0.3">
      <c r="A269" s="5">
        <v>262</v>
      </c>
      <c r="B269" s="17" t="s">
        <v>1241</v>
      </c>
      <c r="C269" s="6">
        <v>79547192</v>
      </c>
      <c r="D269" s="6">
        <v>3024403891</v>
      </c>
      <c r="E269" s="6" t="s">
        <v>20</v>
      </c>
      <c r="F269" s="7" t="s">
        <v>20</v>
      </c>
      <c r="G269" s="7" t="s">
        <v>20</v>
      </c>
      <c r="H269" s="8" t="s">
        <v>1242</v>
      </c>
      <c r="I269" s="6" t="s">
        <v>434</v>
      </c>
      <c r="J269" s="6" t="s">
        <v>143</v>
      </c>
      <c r="K269" s="6" t="s">
        <v>1243</v>
      </c>
      <c r="L269" s="6" t="s">
        <v>1244</v>
      </c>
      <c r="M269" s="6" t="s">
        <v>17</v>
      </c>
      <c r="N269" s="6" t="s">
        <v>1245</v>
      </c>
      <c r="O269" t="s">
        <v>119</v>
      </c>
      <c r="P269" s="25" t="s">
        <v>2112</v>
      </c>
    </row>
    <row r="270" spans="1:18" ht="14.4" x14ac:dyDescent="0.3">
      <c r="A270" s="5">
        <v>263</v>
      </c>
      <c r="B270" s="17" t="s">
        <v>1246</v>
      </c>
      <c r="C270" s="6">
        <v>63548541</v>
      </c>
      <c r="D270" s="6">
        <v>3014315127</v>
      </c>
      <c r="E270" s="12" t="s">
        <v>1247</v>
      </c>
      <c r="F270" s="7">
        <v>46029</v>
      </c>
      <c r="G270" s="7">
        <v>46308</v>
      </c>
      <c r="H270" s="8" t="s">
        <v>1248</v>
      </c>
      <c r="I270" s="6" t="s">
        <v>1229</v>
      </c>
      <c r="J270" s="6" t="s">
        <v>143</v>
      </c>
      <c r="K270" s="6" t="s">
        <v>64</v>
      </c>
      <c r="L270" s="6" t="s">
        <v>1249</v>
      </c>
      <c r="M270" s="6" t="s">
        <v>253</v>
      </c>
      <c r="N270" s="6" t="s">
        <v>134</v>
      </c>
      <c r="O270" t="s">
        <v>125</v>
      </c>
      <c r="P270" s="25" t="s">
        <v>2112</v>
      </c>
    </row>
    <row r="271" spans="1:18" ht="14.4" x14ac:dyDescent="0.3">
      <c r="A271" s="16">
        <v>264</v>
      </c>
      <c r="B271" s="17" t="s">
        <v>1250</v>
      </c>
      <c r="C271" s="6">
        <v>52265674</v>
      </c>
      <c r="D271" s="6">
        <v>3168291168</v>
      </c>
      <c r="E271" s="6" t="s">
        <v>20</v>
      </c>
      <c r="F271" s="7" t="s">
        <v>20</v>
      </c>
      <c r="G271" s="7" t="s">
        <v>20</v>
      </c>
      <c r="H271" s="8" t="s">
        <v>1251</v>
      </c>
      <c r="I271" s="17" t="s">
        <v>299</v>
      </c>
      <c r="J271" s="6" t="s">
        <v>115</v>
      </c>
      <c r="K271" s="6" t="s">
        <v>1252</v>
      </c>
      <c r="L271" s="6" t="s">
        <v>1253</v>
      </c>
      <c r="M271" s="6" t="s">
        <v>17</v>
      </c>
      <c r="N271" s="6" t="s">
        <v>60</v>
      </c>
      <c r="O271" t="s">
        <v>119</v>
      </c>
      <c r="P271" s="25" t="s">
        <v>2112</v>
      </c>
    </row>
    <row r="272" spans="1:18" ht="14.4" x14ac:dyDescent="0.3">
      <c r="A272" s="5">
        <v>265</v>
      </c>
      <c r="B272" s="17" t="s">
        <v>1254</v>
      </c>
      <c r="C272" s="6">
        <v>43877882</v>
      </c>
      <c r="D272" s="6">
        <v>3146620821</v>
      </c>
      <c r="E272" s="12" t="s">
        <v>1255</v>
      </c>
      <c r="F272" s="7">
        <v>46029</v>
      </c>
      <c r="G272" s="7">
        <v>46387</v>
      </c>
      <c r="H272" s="8" t="s">
        <v>1256</v>
      </c>
      <c r="I272" s="6" t="s">
        <v>201</v>
      </c>
      <c r="J272" s="6" t="s">
        <v>143</v>
      </c>
      <c r="K272" s="6" t="s">
        <v>354</v>
      </c>
      <c r="L272" s="6" t="s">
        <v>1257</v>
      </c>
      <c r="M272" s="6" t="s">
        <v>17</v>
      </c>
      <c r="N272" s="6" t="s">
        <v>1258</v>
      </c>
      <c r="O272" t="s">
        <v>125</v>
      </c>
      <c r="P272" s="25" t="s">
        <v>2112</v>
      </c>
    </row>
    <row r="273" spans="1:18" ht="14.4" x14ac:dyDescent="0.3">
      <c r="A273" s="5">
        <v>266</v>
      </c>
      <c r="B273" s="17" t="s">
        <v>1259</v>
      </c>
      <c r="C273" s="6">
        <v>1010243381</v>
      </c>
      <c r="D273" s="6">
        <v>3334004194</v>
      </c>
      <c r="E273" s="12" t="s">
        <v>1260</v>
      </c>
      <c r="F273" s="7">
        <v>46055</v>
      </c>
      <c r="G273" s="7">
        <v>46291</v>
      </c>
      <c r="H273" s="8" t="s">
        <v>1261</v>
      </c>
      <c r="I273" s="6" t="s">
        <v>325</v>
      </c>
      <c r="J273" s="6" t="s">
        <v>106</v>
      </c>
      <c r="K273" s="6" t="s">
        <v>363</v>
      </c>
      <c r="L273" s="6" t="s">
        <v>1262</v>
      </c>
      <c r="M273" s="6" t="s">
        <v>17</v>
      </c>
      <c r="N273" s="6" t="s">
        <v>1263</v>
      </c>
      <c r="O273" t="s">
        <v>125</v>
      </c>
      <c r="P273" s="25" t="s">
        <v>2112</v>
      </c>
    </row>
    <row r="274" spans="1:18" ht="14.4" x14ac:dyDescent="0.3">
      <c r="A274" s="5">
        <v>267</v>
      </c>
      <c r="B274" s="17" t="s">
        <v>1264</v>
      </c>
      <c r="C274" s="6">
        <v>1018493253</v>
      </c>
      <c r="D274" s="6">
        <v>3245841183</v>
      </c>
      <c r="E274" s="12" t="s">
        <v>263</v>
      </c>
      <c r="F274" s="7">
        <v>46041</v>
      </c>
      <c r="G274" s="7">
        <v>46387</v>
      </c>
      <c r="H274" s="8" t="s">
        <v>1265</v>
      </c>
      <c r="I274" s="6" t="s">
        <v>500</v>
      </c>
      <c r="J274" s="6" t="s">
        <v>115</v>
      </c>
      <c r="K274" s="6" t="s">
        <v>123</v>
      </c>
      <c r="L274" s="6" t="s">
        <v>1266</v>
      </c>
      <c r="M274" s="6" t="s">
        <v>17</v>
      </c>
      <c r="N274" s="6" t="s">
        <v>60</v>
      </c>
      <c r="O274" t="s">
        <v>125</v>
      </c>
      <c r="P274" s="25" t="s">
        <v>2112</v>
      </c>
    </row>
    <row r="275" spans="1:18" ht="14.4" x14ac:dyDescent="0.3">
      <c r="A275" s="16">
        <v>268</v>
      </c>
      <c r="B275" s="17" t="s">
        <v>1267</v>
      </c>
      <c r="C275" s="6">
        <v>1018428215</v>
      </c>
      <c r="D275" s="6">
        <v>3024705162</v>
      </c>
      <c r="E275" s="6" t="s">
        <v>20</v>
      </c>
      <c r="F275" s="7" t="s">
        <v>20</v>
      </c>
      <c r="G275" s="7" t="s">
        <v>20</v>
      </c>
      <c r="H275" s="8" t="s">
        <v>1268</v>
      </c>
      <c r="I275" s="6" t="s">
        <v>742</v>
      </c>
      <c r="J275" s="6" t="s">
        <v>106</v>
      </c>
      <c r="K275" s="6" t="s">
        <v>1269</v>
      </c>
      <c r="L275" s="6" t="s">
        <v>1270</v>
      </c>
      <c r="M275" s="6" t="s">
        <v>17</v>
      </c>
      <c r="N275" s="6" t="s">
        <v>18</v>
      </c>
      <c r="O275" s="19" t="s">
        <v>1280</v>
      </c>
      <c r="P275" s="25" t="s">
        <v>2112</v>
      </c>
    </row>
    <row r="276" spans="1:18" ht="14.4" x14ac:dyDescent="0.3">
      <c r="A276" s="5">
        <v>269</v>
      </c>
      <c r="B276" s="17" t="s">
        <v>1271</v>
      </c>
      <c r="C276" s="6">
        <v>1012397431</v>
      </c>
      <c r="D276" s="6">
        <v>3024240848</v>
      </c>
      <c r="E276" s="6" t="s">
        <v>20</v>
      </c>
      <c r="F276" s="7" t="s">
        <v>20</v>
      </c>
      <c r="G276" s="7" t="s">
        <v>20</v>
      </c>
      <c r="H276" s="8" t="s">
        <v>1268</v>
      </c>
      <c r="I276" s="6" t="s">
        <v>742</v>
      </c>
      <c r="J276" s="6" t="s">
        <v>106</v>
      </c>
      <c r="K276" s="6" t="s">
        <v>1272</v>
      </c>
      <c r="L276" s="6" t="s">
        <v>1273</v>
      </c>
      <c r="M276" s="6" t="s">
        <v>17</v>
      </c>
      <c r="N276" s="6" t="s">
        <v>1274</v>
      </c>
      <c r="O276" s="19" t="s">
        <v>1280</v>
      </c>
      <c r="P276" s="25" t="s">
        <v>2112</v>
      </c>
    </row>
    <row r="277" spans="1:18" ht="14.4" x14ac:dyDescent="0.3">
      <c r="A277" s="5">
        <v>270</v>
      </c>
      <c r="B277" s="17" t="s">
        <v>1275</v>
      </c>
      <c r="C277" s="6">
        <v>1012337063</v>
      </c>
      <c r="D277" s="6">
        <v>3116240199</v>
      </c>
      <c r="E277" s="6" t="s">
        <v>20</v>
      </c>
      <c r="F277" s="7" t="s">
        <v>20</v>
      </c>
      <c r="G277" s="7" t="s">
        <v>20</v>
      </c>
      <c r="H277" s="8" t="s">
        <v>1268</v>
      </c>
      <c r="I277" s="6" t="s">
        <v>742</v>
      </c>
      <c r="J277" s="6" t="s">
        <v>106</v>
      </c>
      <c r="K277" s="6" t="s">
        <v>1276</v>
      </c>
      <c r="L277" s="6" t="s">
        <v>1277</v>
      </c>
      <c r="M277" s="6" t="s">
        <v>17</v>
      </c>
      <c r="N277" s="6" t="s">
        <v>24</v>
      </c>
      <c r="O277" s="19" t="s">
        <v>1280</v>
      </c>
      <c r="P277" s="25" t="s">
        <v>2112</v>
      </c>
    </row>
    <row r="278" spans="1:18" ht="14.4" x14ac:dyDescent="0.3">
      <c r="A278" s="5">
        <v>271</v>
      </c>
      <c r="B278" s="17" t="s">
        <v>1278</v>
      </c>
      <c r="C278" s="17">
        <v>1019007970</v>
      </c>
      <c r="D278" s="17">
        <v>3017193730</v>
      </c>
      <c r="E278" s="6" t="s">
        <v>20</v>
      </c>
      <c r="F278" s="7" t="s">
        <v>20</v>
      </c>
      <c r="G278" s="7" t="s">
        <v>20</v>
      </c>
      <c r="H278" s="8" t="s">
        <v>1268</v>
      </c>
      <c r="I278" s="6" t="s">
        <v>742</v>
      </c>
      <c r="J278" s="6" t="s">
        <v>80</v>
      </c>
      <c r="K278" s="17" t="s">
        <v>1279</v>
      </c>
      <c r="L278" s="17" t="s">
        <v>20</v>
      </c>
      <c r="M278" s="17" t="s">
        <v>80</v>
      </c>
      <c r="N278" s="17" t="s">
        <v>1274</v>
      </c>
      <c r="O278" s="19" t="s">
        <v>1280</v>
      </c>
      <c r="P278" s="21" t="s">
        <v>2098</v>
      </c>
      <c r="Q278" s="20"/>
      <c r="R278" s="20"/>
    </row>
    <row r="279" spans="1:18" ht="14.4" x14ac:dyDescent="0.3">
      <c r="A279" s="16">
        <v>272</v>
      </c>
      <c r="B279" s="17" t="s">
        <v>1281</v>
      </c>
      <c r="C279" s="6">
        <v>275407</v>
      </c>
      <c r="D279" s="6">
        <v>3123879339</v>
      </c>
      <c r="E279" s="12" t="s">
        <v>1282</v>
      </c>
      <c r="F279" s="7">
        <v>46041</v>
      </c>
      <c r="G279" s="7">
        <v>46375</v>
      </c>
      <c r="H279" s="8" t="s">
        <v>1283</v>
      </c>
      <c r="I279" s="6" t="s">
        <v>587</v>
      </c>
      <c r="J279" s="6" t="s">
        <v>143</v>
      </c>
      <c r="K279" s="6" t="s">
        <v>1036</v>
      </c>
      <c r="L279" s="6" t="s">
        <v>1284</v>
      </c>
      <c r="M279" s="6" t="s">
        <v>253</v>
      </c>
      <c r="N279" s="6" t="s">
        <v>66</v>
      </c>
      <c r="O279" t="s">
        <v>125</v>
      </c>
      <c r="P279" s="25" t="s">
        <v>2112</v>
      </c>
    </row>
    <row r="280" spans="1:18" ht="14.4" x14ac:dyDescent="0.3">
      <c r="A280" s="5">
        <v>273</v>
      </c>
      <c r="B280" s="17" t="s">
        <v>1285</v>
      </c>
      <c r="C280" s="6">
        <v>1000180027</v>
      </c>
      <c r="D280" s="6">
        <v>3118228379</v>
      </c>
      <c r="E280" s="6" t="s">
        <v>20</v>
      </c>
      <c r="F280" s="7" t="s">
        <v>20</v>
      </c>
      <c r="G280" s="7" t="s">
        <v>20</v>
      </c>
      <c r="H280" s="8" t="s">
        <v>1268</v>
      </c>
      <c r="I280" s="6" t="s">
        <v>742</v>
      </c>
      <c r="J280" s="6" t="s">
        <v>106</v>
      </c>
      <c r="K280" s="6" t="s">
        <v>1286</v>
      </c>
      <c r="L280" s="6" t="s">
        <v>1287</v>
      </c>
      <c r="M280" s="6" t="s">
        <v>17</v>
      </c>
      <c r="N280" s="6" t="s">
        <v>66</v>
      </c>
      <c r="O280" s="19" t="s">
        <v>1280</v>
      </c>
      <c r="P280" s="25" t="s">
        <v>2112</v>
      </c>
    </row>
    <row r="281" spans="1:18" ht="14.4" x14ac:dyDescent="0.3">
      <c r="A281" s="5">
        <v>274</v>
      </c>
      <c r="B281" s="17" t="s">
        <v>1288</v>
      </c>
      <c r="C281" s="6">
        <v>52712916</v>
      </c>
      <c r="D281" s="6">
        <v>3214379017</v>
      </c>
      <c r="E281" s="6" t="s">
        <v>2099</v>
      </c>
      <c r="F281" s="7">
        <v>46031</v>
      </c>
      <c r="G281" s="7">
        <v>46387</v>
      </c>
      <c r="H281" s="8" t="s">
        <v>1289</v>
      </c>
      <c r="I281" s="6" t="s">
        <v>201</v>
      </c>
      <c r="J281" s="6" t="s">
        <v>143</v>
      </c>
      <c r="K281" s="6" t="s">
        <v>1290</v>
      </c>
      <c r="L281" s="6" t="s">
        <v>1291</v>
      </c>
      <c r="M281" s="6" t="s">
        <v>17</v>
      </c>
      <c r="N281" s="6" t="s">
        <v>18</v>
      </c>
      <c r="O281" t="s">
        <v>125</v>
      </c>
      <c r="P281" s="25" t="s">
        <v>2112</v>
      </c>
    </row>
    <row r="282" spans="1:18" ht="14.4" x14ac:dyDescent="0.3">
      <c r="A282" s="5">
        <v>275</v>
      </c>
      <c r="B282" s="17" t="s">
        <v>1292</v>
      </c>
      <c r="C282" s="6">
        <v>79605849</v>
      </c>
      <c r="D282" s="6">
        <v>3114527947</v>
      </c>
      <c r="E282" s="6" t="s">
        <v>20</v>
      </c>
      <c r="F282" s="7" t="s">
        <v>20</v>
      </c>
      <c r="G282" s="7" t="s">
        <v>20</v>
      </c>
      <c r="H282" s="8" t="s">
        <v>1293</v>
      </c>
      <c r="I282" s="17" t="s">
        <v>207</v>
      </c>
      <c r="J282" s="6" t="s">
        <v>115</v>
      </c>
      <c r="K282" s="6" t="s">
        <v>164</v>
      </c>
      <c r="L282" s="6" t="s">
        <v>1294</v>
      </c>
      <c r="M282" s="6" t="s">
        <v>17</v>
      </c>
      <c r="N282" s="6" t="s">
        <v>60</v>
      </c>
      <c r="O282" t="s">
        <v>119</v>
      </c>
      <c r="P282" s="25" t="s">
        <v>2112</v>
      </c>
    </row>
    <row r="283" spans="1:18" ht="14.4" x14ac:dyDescent="0.3">
      <c r="A283" s="16">
        <v>276</v>
      </c>
      <c r="B283" s="17" t="s">
        <v>1295</v>
      </c>
      <c r="C283" s="6">
        <v>79920331</v>
      </c>
      <c r="D283" s="6">
        <v>3134028913</v>
      </c>
      <c r="E283" s="12" t="s">
        <v>1296</v>
      </c>
      <c r="F283" s="7">
        <v>46048</v>
      </c>
      <c r="G283" s="7">
        <v>46291</v>
      </c>
      <c r="H283" s="8" t="s">
        <v>1297</v>
      </c>
      <c r="I283" s="6" t="s">
        <v>256</v>
      </c>
      <c r="J283" s="6" t="s">
        <v>155</v>
      </c>
      <c r="K283" s="6" t="s">
        <v>1298</v>
      </c>
      <c r="L283" s="6" t="s">
        <v>20</v>
      </c>
      <c r="M283" s="6" t="s">
        <v>129</v>
      </c>
      <c r="N283" s="6" t="s">
        <v>1299</v>
      </c>
      <c r="O283" t="s">
        <v>125</v>
      </c>
      <c r="P283" s="25" t="s">
        <v>2112</v>
      </c>
    </row>
    <row r="284" spans="1:18" ht="14.4" x14ac:dyDescent="0.3">
      <c r="A284" s="5">
        <v>277</v>
      </c>
      <c r="B284" s="17" t="s">
        <v>1300</v>
      </c>
      <c r="C284" s="6">
        <v>79688967</v>
      </c>
      <c r="D284" s="6">
        <v>3013370145</v>
      </c>
      <c r="E284" s="12" t="s">
        <v>1301</v>
      </c>
      <c r="F284" s="7">
        <v>46041</v>
      </c>
      <c r="G284" s="7">
        <v>46387</v>
      </c>
      <c r="H284" s="8" t="s">
        <v>1302</v>
      </c>
      <c r="I284" s="6" t="s">
        <v>2110</v>
      </c>
      <c r="J284" s="6" t="s">
        <v>143</v>
      </c>
      <c r="K284" s="6" t="s">
        <v>1036</v>
      </c>
      <c r="L284" s="6" t="s">
        <v>1303</v>
      </c>
      <c r="M284" s="6" t="s">
        <v>17</v>
      </c>
      <c r="N284" s="6" t="s">
        <v>18</v>
      </c>
      <c r="O284" t="s">
        <v>125</v>
      </c>
      <c r="P284" s="25" t="s">
        <v>2112</v>
      </c>
    </row>
    <row r="285" spans="1:18" ht="14.4" x14ac:dyDescent="0.3">
      <c r="A285" s="5">
        <v>278</v>
      </c>
      <c r="B285" s="17" t="s">
        <v>1304</v>
      </c>
      <c r="C285" s="6">
        <v>1001299742</v>
      </c>
      <c r="D285" s="6">
        <v>3167568586</v>
      </c>
      <c r="E285" s="12" t="s">
        <v>1305</v>
      </c>
      <c r="F285" s="7">
        <v>46038</v>
      </c>
      <c r="G285" s="7">
        <v>46387</v>
      </c>
      <c r="H285" s="8" t="s">
        <v>1306</v>
      </c>
      <c r="I285" s="6" t="s">
        <v>500</v>
      </c>
      <c r="J285" s="6" t="s">
        <v>115</v>
      </c>
      <c r="K285" s="6" t="s">
        <v>202</v>
      </c>
      <c r="L285" s="6" t="s">
        <v>1307</v>
      </c>
      <c r="M285" s="6" t="s">
        <v>17</v>
      </c>
      <c r="N285" s="6" t="s">
        <v>18</v>
      </c>
      <c r="O285" t="s">
        <v>125</v>
      </c>
      <c r="P285" s="25" t="s">
        <v>2112</v>
      </c>
    </row>
    <row r="286" spans="1:18" ht="14.4" x14ac:dyDescent="0.3">
      <c r="A286" s="5">
        <v>279</v>
      </c>
      <c r="B286" s="17" t="s">
        <v>1308</v>
      </c>
      <c r="C286" s="6">
        <v>52086502</v>
      </c>
      <c r="D286" s="6">
        <v>3006008179</v>
      </c>
      <c r="E286" s="12" t="s">
        <v>1309</v>
      </c>
      <c r="F286" s="7">
        <v>46049</v>
      </c>
      <c r="G286" s="7">
        <v>46382</v>
      </c>
      <c r="H286" s="8" t="s">
        <v>1310</v>
      </c>
      <c r="I286" s="6" t="s">
        <v>1843</v>
      </c>
      <c r="J286" s="6" t="s">
        <v>115</v>
      </c>
      <c r="K286" s="6" t="s">
        <v>1311</v>
      </c>
      <c r="L286" s="6" t="s">
        <v>1312</v>
      </c>
      <c r="M286" s="6" t="s">
        <v>17</v>
      </c>
      <c r="N286" s="6" t="s">
        <v>24</v>
      </c>
      <c r="O286" t="s">
        <v>125</v>
      </c>
      <c r="P286" s="25" t="s">
        <v>2112</v>
      </c>
    </row>
    <row r="287" spans="1:18" ht="14.4" x14ac:dyDescent="0.3">
      <c r="A287" s="16">
        <v>280</v>
      </c>
      <c r="B287" s="17" t="s">
        <v>1313</v>
      </c>
      <c r="C287" s="6">
        <v>1022399279</v>
      </c>
      <c r="D287" s="6">
        <v>3012115899</v>
      </c>
      <c r="E287" s="12" t="s">
        <v>1314</v>
      </c>
      <c r="F287" s="7">
        <v>46048</v>
      </c>
      <c r="G287" s="7">
        <v>46290</v>
      </c>
      <c r="H287" s="8" t="s">
        <v>1315</v>
      </c>
      <c r="I287" s="6" t="s">
        <v>325</v>
      </c>
      <c r="J287" s="6" t="s">
        <v>143</v>
      </c>
      <c r="K287" s="6" t="s">
        <v>1316</v>
      </c>
      <c r="L287" s="6" t="s">
        <v>1317</v>
      </c>
      <c r="M287" s="6" t="s">
        <v>253</v>
      </c>
      <c r="N287" s="6" t="s">
        <v>60</v>
      </c>
      <c r="O287" t="s">
        <v>125</v>
      </c>
      <c r="P287" s="25" t="s">
        <v>2112</v>
      </c>
    </row>
    <row r="288" spans="1:18" ht="14.4" x14ac:dyDescent="0.3">
      <c r="A288" s="5">
        <v>281</v>
      </c>
      <c r="B288" s="17" t="s">
        <v>1318</v>
      </c>
      <c r="C288" s="6">
        <v>1085297902</v>
      </c>
      <c r="D288" s="6">
        <v>3163729000</v>
      </c>
      <c r="E288" s="12" t="s">
        <v>1319</v>
      </c>
      <c r="F288" s="7">
        <v>46048</v>
      </c>
      <c r="G288" s="7">
        <v>46387</v>
      </c>
      <c r="H288" s="8" t="s">
        <v>1320</v>
      </c>
      <c r="I288" s="6" t="s">
        <v>500</v>
      </c>
      <c r="J288" s="6" t="s">
        <v>80</v>
      </c>
      <c r="K288" s="6" t="s">
        <v>1321</v>
      </c>
      <c r="L288" s="6" t="s">
        <v>20</v>
      </c>
      <c r="M288" s="6" t="s">
        <v>129</v>
      </c>
      <c r="N288" s="6" t="s">
        <v>18</v>
      </c>
      <c r="O288" t="s">
        <v>125</v>
      </c>
      <c r="P288" s="25" t="s">
        <v>2112</v>
      </c>
    </row>
    <row r="289" spans="1:18" ht="14.4" x14ac:dyDescent="0.3">
      <c r="A289" s="5">
        <v>282</v>
      </c>
      <c r="B289" s="17" t="s">
        <v>1322</v>
      </c>
      <c r="C289" s="6">
        <v>1083000460</v>
      </c>
      <c r="D289" s="6">
        <v>3008030796</v>
      </c>
      <c r="E289" s="12" t="s">
        <v>1323</v>
      </c>
      <c r="F289" s="7">
        <v>46034</v>
      </c>
      <c r="G289" s="7">
        <v>46210</v>
      </c>
      <c r="H289" s="8" t="s">
        <v>1324</v>
      </c>
      <c r="I289" s="6" t="s">
        <v>1843</v>
      </c>
      <c r="J289" s="6" t="s">
        <v>115</v>
      </c>
      <c r="K289" s="6" t="s">
        <v>132</v>
      </c>
      <c r="L289" s="6" t="s">
        <v>1325</v>
      </c>
      <c r="M289" s="6" t="s">
        <v>17</v>
      </c>
      <c r="N289" s="6" t="s">
        <v>177</v>
      </c>
      <c r="O289" t="s">
        <v>125</v>
      </c>
      <c r="P289" s="25" t="s">
        <v>2112</v>
      </c>
    </row>
    <row r="290" spans="1:18" ht="14.4" x14ac:dyDescent="0.3">
      <c r="A290" s="5">
        <v>283</v>
      </c>
      <c r="B290" s="17" t="s">
        <v>1326</v>
      </c>
      <c r="C290" s="6">
        <v>1010169744</v>
      </c>
      <c r="D290" s="6">
        <v>3105543461</v>
      </c>
      <c r="E290" s="12" t="s">
        <v>1327</v>
      </c>
      <c r="F290" s="7">
        <v>46028</v>
      </c>
      <c r="G290" s="7">
        <v>46387</v>
      </c>
      <c r="H290" s="8" t="s">
        <v>1328</v>
      </c>
      <c r="I290" s="6" t="s">
        <v>1006</v>
      </c>
      <c r="J290" s="6" t="s">
        <v>143</v>
      </c>
      <c r="K290" s="6" t="s">
        <v>22</v>
      </c>
      <c r="L290" s="6" t="s">
        <v>1329</v>
      </c>
      <c r="M290" s="6" t="s">
        <v>129</v>
      </c>
      <c r="N290" s="6" t="s">
        <v>60</v>
      </c>
      <c r="O290" t="s">
        <v>125</v>
      </c>
      <c r="P290" s="25" t="s">
        <v>2112</v>
      </c>
    </row>
    <row r="291" spans="1:18" ht="14.4" x14ac:dyDescent="0.3">
      <c r="A291" s="16">
        <v>284</v>
      </c>
      <c r="B291" s="17" t="s">
        <v>1330</v>
      </c>
      <c r="C291" s="6">
        <v>52243622</v>
      </c>
      <c r="D291" s="6">
        <v>3108833639</v>
      </c>
      <c r="E291" s="12" t="s">
        <v>1331</v>
      </c>
      <c r="F291" s="7">
        <v>46038</v>
      </c>
      <c r="G291" s="7">
        <v>46387</v>
      </c>
      <c r="H291" s="8" t="s">
        <v>1332</v>
      </c>
      <c r="I291" s="6" t="s">
        <v>500</v>
      </c>
      <c r="J291" s="6" t="s">
        <v>143</v>
      </c>
      <c r="K291" s="6" t="s">
        <v>1333</v>
      </c>
      <c r="L291" s="6" t="s">
        <v>1334</v>
      </c>
      <c r="M291" s="6" t="s">
        <v>17</v>
      </c>
      <c r="N291" s="6" t="s">
        <v>60</v>
      </c>
      <c r="O291" t="s">
        <v>125</v>
      </c>
      <c r="P291" s="25" t="s">
        <v>2112</v>
      </c>
    </row>
    <row r="292" spans="1:18" ht="14.4" x14ac:dyDescent="0.3">
      <c r="A292" s="5">
        <v>285</v>
      </c>
      <c r="B292" s="17" t="s">
        <v>1335</v>
      </c>
      <c r="C292" s="6">
        <v>1018491200</v>
      </c>
      <c r="D292" s="6">
        <v>3125891253</v>
      </c>
      <c r="E292" s="12" t="s">
        <v>1336</v>
      </c>
      <c r="F292" s="7">
        <v>46035</v>
      </c>
      <c r="G292" s="7">
        <v>46246</v>
      </c>
      <c r="H292" s="8" t="s">
        <v>1337</v>
      </c>
      <c r="I292" s="6" t="s">
        <v>1338</v>
      </c>
      <c r="J292" s="6" t="s">
        <v>115</v>
      </c>
      <c r="K292" s="6" t="s">
        <v>1339</v>
      </c>
      <c r="L292" s="6" t="s">
        <v>1340</v>
      </c>
      <c r="M292" s="6" t="s">
        <v>17</v>
      </c>
      <c r="N292" s="6" t="s">
        <v>44</v>
      </c>
      <c r="O292" t="s">
        <v>125</v>
      </c>
      <c r="P292" s="25" t="s">
        <v>2112</v>
      </c>
    </row>
    <row r="293" spans="1:18" ht="14.4" x14ac:dyDescent="0.3">
      <c r="A293" s="5">
        <v>286</v>
      </c>
      <c r="B293" s="17" t="s">
        <v>1341</v>
      </c>
      <c r="C293" s="6">
        <v>1024568532</v>
      </c>
      <c r="D293" s="6">
        <v>3124438269</v>
      </c>
      <c r="E293" s="12" t="s">
        <v>1342</v>
      </c>
      <c r="F293" s="7">
        <v>46038</v>
      </c>
      <c r="G293" s="7">
        <v>46369</v>
      </c>
      <c r="H293" s="8" t="s">
        <v>1343</v>
      </c>
      <c r="I293" s="6" t="s">
        <v>2109</v>
      </c>
      <c r="J293" s="6" t="s">
        <v>115</v>
      </c>
      <c r="K293" s="6" t="s">
        <v>501</v>
      </c>
      <c r="L293" s="6" t="s">
        <v>1344</v>
      </c>
      <c r="M293" s="6" t="s">
        <v>17</v>
      </c>
      <c r="N293" s="6" t="s">
        <v>24</v>
      </c>
      <c r="O293" t="s">
        <v>125</v>
      </c>
      <c r="P293" s="25" t="s">
        <v>2112</v>
      </c>
    </row>
    <row r="294" spans="1:18" ht="14.4" x14ac:dyDescent="0.3">
      <c r="A294" s="5">
        <v>287</v>
      </c>
      <c r="B294" s="17" t="s">
        <v>1345</v>
      </c>
      <c r="C294" s="6">
        <v>1013579971</v>
      </c>
      <c r="D294" s="6">
        <v>3017566072</v>
      </c>
      <c r="E294" s="12" t="s">
        <v>1346</v>
      </c>
      <c r="F294" s="7">
        <v>46049</v>
      </c>
      <c r="G294" s="7">
        <v>46229</v>
      </c>
      <c r="H294" s="8" t="s">
        <v>1347</v>
      </c>
      <c r="I294" s="17" t="s">
        <v>1041</v>
      </c>
      <c r="J294" s="6" t="s">
        <v>143</v>
      </c>
      <c r="K294" s="6" t="s">
        <v>1348</v>
      </c>
      <c r="L294" s="6" t="s">
        <v>1349</v>
      </c>
      <c r="M294" s="6" t="s">
        <v>17</v>
      </c>
      <c r="N294" s="6" t="s">
        <v>134</v>
      </c>
      <c r="O294" t="s">
        <v>125</v>
      </c>
      <c r="P294" s="25" t="s">
        <v>2112</v>
      </c>
    </row>
    <row r="295" spans="1:18" ht="14.4" x14ac:dyDescent="0.3">
      <c r="A295" s="16">
        <v>288</v>
      </c>
      <c r="B295" s="17" t="s">
        <v>1350</v>
      </c>
      <c r="C295" s="6">
        <v>1015402271</v>
      </c>
      <c r="D295" s="6">
        <v>3138846265</v>
      </c>
      <c r="E295" s="12" t="s">
        <v>1351</v>
      </c>
      <c r="F295" s="7">
        <v>46050</v>
      </c>
      <c r="G295" s="7">
        <v>46230</v>
      </c>
      <c r="H295" s="8" t="s">
        <v>1352</v>
      </c>
      <c r="I295" s="6" t="s">
        <v>1353</v>
      </c>
      <c r="J295" s="6" t="s">
        <v>115</v>
      </c>
      <c r="K295" s="6" t="s">
        <v>304</v>
      </c>
      <c r="L295" s="6" t="s">
        <v>1354</v>
      </c>
      <c r="M295" s="6" t="s">
        <v>17</v>
      </c>
      <c r="N295" s="6" t="s">
        <v>60</v>
      </c>
      <c r="O295" t="s">
        <v>125</v>
      </c>
      <c r="P295" s="25" t="s">
        <v>2112</v>
      </c>
    </row>
    <row r="296" spans="1:18" ht="14.4" x14ac:dyDescent="0.3">
      <c r="A296" s="5">
        <v>289</v>
      </c>
      <c r="B296" s="17" t="s">
        <v>1355</v>
      </c>
      <c r="C296" s="6">
        <v>1014261209</v>
      </c>
      <c r="D296" s="6">
        <v>3023851942</v>
      </c>
      <c r="E296" s="12" t="s">
        <v>1356</v>
      </c>
      <c r="F296" s="7">
        <v>46036</v>
      </c>
      <c r="G296" s="7">
        <v>46369</v>
      </c>
      <c r="H296" s="8" t="s">
        <v>1357</v>
      </c>
      <c r="I296" s="6" t="s">
        <v>2111</v>
      </c>
      <c r="J296" s="6" t="s">
        <v>143</v>
      </c>
      <c r="K296" s="6" t="s">
        <v>524</v>
      </c>
      <c r="L296" s="6" t="s">
        <v>1358</v>
      </c>
      <c r="M296" s="6" t="s">
        <v>17</v>
      </c>
      <c r="N296" s="6" t="s">
        <v>1359</v>
      </c>
      <c r="O296" t="s">
        <v>125</v>
      </c>
      <c r="P296" s="25" t="s">
        <v>2112</v>
      </c>
    </row>
    <row r="297" spans="1:18" ht="14.4" x14ac:dyDescent="0.3">
      <c r="A297" s="5">
        <v>290</v>
      </c>
      <c r="B297" s="17" t="s">
        <v>1360</v>
      </c>
      <c r="C297" s="6">
        <v>1016019711</v>
      </c>
      <c r="D297" s="6">
        <v>3163210299</v>
      </c>
      <c r="E297" s="12" t="s">
        <v>1361</v>
      </c>
      <c r="F297" s="7">
        <v>46048</v>
      </c>
      <c r="G297" s="7">
        <v>46259</v>
      </c>
      <c r="H297" s="8" t="s">
        <v>1362</v>
      </c>
      <c r="I297" s="6" t="s">
        <v>256</v>
      </c>
      <c r="J297" s="6" t="s">
        <v>106</v>
      </c>
      <c r="K297" s="6" t="s">
        <v>56</v>
      </c>
      <c r="L297" s="6" t="s">
        <v>1363</v>
      </c>
      <c r="M297" s="6" t="s">
        <v>17</v>
      </c>
      <c r="N297" s="6" t="s">
        <v>570</v>
      </c>
      <c r="O297" t="s">
        <v>125</v>
      </c>
      <c r="P297" s="25" t="s">
        <v>2112</v>
      </c>
    </row>
    <row r="298" spans="1:18" ht="14.4" x14ac:dyDescent="0.3">
      <c r="A298" s="5">
        <v>291</v>
      </c>
      <c r="B298" s="17" t="s">
        <v>1364</v>
      </c>
      <c r="C298" s="6">
        <v>1030623723</v>
      </c>
      <c r="D298" s="6">
        <v>3118427497</v>
      </c>
      <c r="E298" s="12" t="s">
        <v>1365</v>
      </c>
      <c r="F298" s="7">
        <v>46049</v>
      </c>
      <c r="G298" s="7">
        <v>46387</v>
      </c>
      <c r="H298" s="8" t="s">
        <v>1366</v>
      </c>
      <c r="I298" s="6" t="s">
        <v>325</v>
      </c>
      <c r="J298" s="6" t="s">
        <v>106</v>
      </c>
      <c r="K298" s="6" t="s">
        <v>1367</v>
      </c>
      <c r="L298" s="6" t="s">
        <v>20</v>
      </c>
      <c r="M298" s="6" t="s">
        <v>129</v>
      </c>
      <c r="N298" s="6" t="s">
        <v>238</v>
      </c>
      <c r="O298" t="s">
        <v>125</v>
      </c>
      <c r="P298" s="25" t="s">
        <v>2112</v>
      </c>
    </row>
    <row r="299" spans="1:18" ht="14.4" x14ac:dyDescent="0.3">
      <c r="A299" s="16">
        <v>292</v>
      </c>
      <c r="B299" s="17" t="s">
        <v>1368</v>
      </c>
      <c r="C299" s="6">
        <v>19494499</v>
      </c>
      <c r="D299" s="6">
        <v>3124932667</v>
      </c>
      <c r="E299" s="6" t="s">
        <v>20</v>
      </c>
      <c r="F299" s="7" t="s">
        <v>20</v>
      </c>
      <c r="G299" s="7" t="s">
        <v>20</v>
      </c>
      <c r="H299" s="8" t="s">
        <v>1369</v>
      </c>
      <c r="I299" s="17" t="s">
        <v>1041</v>
      </c>
      <c r="J299" s="6" t="s">
        <v>115</v>
      </c>
      <c r="K299" s="6" t="s">
        <v>294</v>
      </c>
      <c r="L299" s="6" t="s">
        <v>1370</v>
      </c>
      <c r="M299" s="6" t="s">
        <v>17</v>
      </c>
      <c r="N299" s="6" t="s">
        <v>134</v>
      </c>
      <c r="O299" t="s">
        <v>119</v>
      </c>
      <c r="P299" s="25" t="s">
        <v>2112</v>
      </c>
    </row>
    <row r="300" spans="1:18" ht="14.4" x14ac:dyDescent="0.3">
      <c r="A300" s="5">
        <v>293</v>
      </c>
      <c r="B300" s="17" t="s">
        <v>1371</v>
      </c>
      <c r="C300" s="6">
        <v>1030579761</v>
      </c>
      <c r="D300" s="6">
        <v>3168764102</v>
      </c>
      <c r="E300" s="12" t="s">
        <v>1372</v>
      </c>
      <c r="F300" s="7">
        <v>46052</v>
      </c>
      <c r="G300" s="7">
        <v>46387</v>
      </c>
      <c r="H300" s="8" t="s">
        <v>1373</v>
      </c>
      <c r="I300" s="17" t="s">
        <v>1667</v>
      </c>
      <c r="J300" s="6" t="s">
        <v>115</v>
      </c>
      <c r="K300" s="6" t="s">
        <v>1374</v>
      </c>
      <c r="L300" s="6" t="s">
        <v>1375</v>
      </c>
      <c r="M300" s="6" t="s">
        <v>129</v>
      </c>
      <c r="N300" s="6" t="s">
        <v>66</v>
      </c>
      <c r="O300" t="s">
        <v>125</v>
      </c>
      <c r="P300" s="25" t="s">
        <v>2112</v>
      </c>
    </row>
    <row r="301" spans="1:18" ht="14.4" x14ac:dyDescent="0.3">
      <c r="A301" s="5">
        <v>294</v>
      </c>
      <c r="B301" s="17" t="s">
        <v>1376</v>
      </c>
      <c r="C301" s="6">
        <v>53167119</v>
      </c>
      <c r="D301" s="6">
        <v>3005054691</v>
      </c>
      <c r="E301" s="12" t="s">
        <v>1377</v>
      </c>
      <c r="F301" s="7">
        <v>46051</v>
      </c>
      <c r="G301" s="7">
        <v>46384</v>
      </c>
      <c r="H301" s="8" t="s">
        <v>1378</v>
      </c>
      <c r="I301" s="6" t="s">
        <v>1006</v>
      </c>
      <c r="J301" s="6" t="s">
        <v>115</v>
      </c>
      <c r="K301" s="6" t="s">
        <v>58</v>
      </c>
      <c r="L301" s="6" t="s">
        <v>1379</v>
      </c>
      <c r="M301" s="6" t="s">
        <v>17</v>
      </c>
      <c r="N301" s="6" t="s">
        <v>248</v>
      </c>
      <c r="O301" t="s">
        <v>125</v>
      </c>
      <c r="P301" s="25" t="s">
        <v>2112</v>
      </c>
    </row>
    <row r="302" spans="1:18" ht="14.4" x14ac:dyDescent="0.3">
      <c r="A302" s="5">
        <v>295</v>
      </c>
      <c r="B302" s="17" t="s">
        <v>1380</v>
      </c>
      <c r="C302" s="17">
        <v>79290465</v>
      </c>
      <c r="D302" s="17">
        <v>3003117175</v>
      </c>
      <c r="E302" s="17" t="s">
        <v>20</v>
      </c>
      <c r="F302" s="18" t="s">
        <v>20</v>
      </c>
      <c r="G302" s="18" t="s">
        <v>20</v>
      </c>
      <c r="H302" s="8" t="s">
        <v>1381</v>
      </c>
      <c r="I302" s="6" t="s">
        <v>256</v>
      </c>
      <c r="J302" s="6" t="s">
        <v>115</v>
      </c>
      <c r="K302" s="17" t="s">
        <v>294</v>
      </c>
      <c r="L302" s="17" t="s">
        <v>1382</v>
      </c>
      <c r="M302" s="17" t="s">
        <v>17</v>
      </c>
      <c r="N302" s="17" t="s">
        <v>24</v>
      </c>
      <c r="O302" s="19" t="s">
        <v>119</v>
      </c>
      <c r="P302" s="21" t="s">
        <v>2098</v>
      </c>
      <c r="Q302" s="20"/>
      <c r="R302" s="20"/>
    </row>
    <row r="303" spans="1:18" ht="14.4" x14ac:dyDescent="0.3">
      <c r="A303" s="16">
        <v>296</v>
      </c>
      <c r="B303" s="17" t="s">
        <v>1383</v>
      </c>
      <c r="C303" s="6">
        <v>1019093180</v>
      </c>
      <c r="D303" s="6">
        <v>3022498107</v>
      </c>
      <c r="E303" s="6" t="s">
        <v>1384</v>
      </c>
      <c r="F303" s="7">
        <v>46057</v>
      </c>
      <c r="G303" s="7">
        <v>46237</v>
      </c>
      <c r="H303" s="8" t="s">
        <v>1385</v>
      </c>
      <c r="I303" s="6" t="s">
        <v>325</v>
      </c>
      <c r="J303" s="6" t="s">
        <v>80</v>
      </c>
      <c r="K303" s="6" t="s">
        <v>1386</v>
      </c>
      <c r="L303" s="6" t="s">
        <v>20</v>
      </c>
      <c r="M303" s="6" t="s">
        <v>129</v>
      </c>
      <c r="N303" s="6" t="s">
        <v>1387</v>
      </c>
      <c r="O303" t="s">
        <v>125</v>
      </c>
      <c r="P303" s="25" t="s">
        <v>2112</v>
      </c>
    </row>
    <row r="304" spans="1:18" ht="14.4" x14ac:dyDescent="0.3">
      <c r="A304" s="5">
        <v>297</v>
      </c>
      <c r="B304" s="17" t="s">
        <v>1388</v>
      </c>
      <c r="C304" s="6">
        <v>80147258</v>
      </c>
      <c r="D304" s="6">
        <v>3205611748</v>
      </c>
      <c r="E304" s="12" t="s">
        <v>1389</v>
      </c>
      <c r="F304" s="7">
        <v>46038</v>
      </c>
      <c r="G304" s="7">
        <v>46219</v>
      </c>
      <c r="H304" s="8" t="s">
        <v>1390</v>
      </c>
      <c r="I304" s="6" t="s">
        <v>1338</v>
      </c>
      <c r="J304" s="6" t="s">
        <v>106</v>
      </c>
      <c r="K304" s="6" t="s">
        <v>516</v>
      </c>
      <c r="L304" s="6" t="s">
        <v>1391</v>
      </c>
      <c r="M304" s="6" t="s">
        <v>17</v>
      </c>
      <c r="N304" s="6" t="s">
        <v>66</v>
      </c>
      <c r="O304" t="s">
        <v>125</v>
      </c>
      <c r="P304" s="25" t="s">
        <v>2112</v>
      </c>
    </row>
    <row r="305" spans="1:18" ht="14.4" x14ac:dyDescent="0.3">
      <c r="A305" s="5">
        <v>298</v>
      </c>
      <c r="B305" s="17" t="s">
        <v>1392</v>
      </c>
      <c r="C305" s="6">
        <v>1022421202</v>
      </c>
      <c r="D305" s="6">
        <v>3124309082</v>
      </c>
      <c r="E305" s="12" t="s">
        <v>1393</v>
      </c>
      <c r="F305" s="7">
        <v>46048</v>
      </c>
      <c r="G305" s="7">
        <v>46228</v>
      </c>
      <c r="H305" s="8" t="s">
        <v>1394</v>
      </c>
      <c r="I305" s="17" t="s">
        <v>1395</v>
      </c>
      <c r="J305" s="6" t="s">
        <v>115</v>
      </c>
      <c r="K305" s="6" t="s">
        <v>1339</v>
      </c>
      <c r="L305" s="6" t="s">
        <v>1396</v>
      </c>
      <c r="M305" s="6" t="s">
        <v>17</v>
      </c>
      <c r="N305" s="6" t="s">
        <v>725</v>
      </c>
      <c r="O305" t="s">
        <v>125</v>
      </c>
      <c r="P305" s="25" t="s">
        <v>2112</v>
      </c>
    </row>
    <row r="306" spans="1:18" ht="14.4" x14ac:dyDescent="0.3">
      <c r="A306" s="5">
        <v>299</v>
      </c>
      <c r="B306" s="17" t="s">
        <v>1397</v>
      </c>
      <c r="C306" s="6">
        <v>79945548</v>
      </c>
      <c r="D306" s="6">
        <v>3005504707</v>
      </c>
      <c r="E306" s="12" t="s">
        <v>1398</v>
      </c>
      <c r="F306" s="7">
        <v>46051</v>
      </c>
      <c r="G306" s="7">
        <v>46387</v>
      </c>
      <c r="H306" s="8" t="s">
        <v>1399</v>
      </c>
      <c r="I306" s="17" t="s">
        <v>1395</v>
      </c>
      <c r="J306" s="6" t="s">
        <v>143</v>
      </c>
      <c r="K306" s="6" t="s">
        <v>1036</v>
      </c>
      <c r="L306" s="6" t="s">
        <v>1400</v>
      </c>
      <c r="M306" s="6" t="s">
        <v>253</v>
      </c>
      <c r="N306" s="6" t="s">
        <v>60</v>
      </c>
      <c r="O306" t="s">
        <v>125</v>
      </c>
      <c r="P306" s="25" t="s">
        <v>2112</v>
      </c>
    </row>
    <row r="307" spans="1:18" ht="14.4" x14ac:dyDescent="0.3">
      <c r="A307" s="16">
        <v>300</v>
      </c>
      <c r="B307" s="17" t="s">
        <v>1401</v>
      </c>
      <c r="C307" s="6">
        <v>1069078793</v>
      </c>
      <c r="D307" s="6">
        <v>3145019361</v>
      </c>
      <c r="E307" s="12" t="s">
        <v>1402</v>
      </c>
      <c r="F307" s="7">
        <v>46049</v>
      </c>
      <c r="G307" s="7">
        <v>46291</v>
      </c>
      <c r="H307" s="8" t="s">
        <v>1403</v>
      </c>
      <c r="I307" s="6" t="s">
        <v>325</v>
      </c>
      <c r="J307" s="6" t="s">
        <v>143</v>
      </c>
      <c r="K307" s="6" t="s">
        <v>501</v>
      </c>
      <c r="L307" s="6" t="s">
        <v>1404</v>
      </c>
      <c r="M307" s="6" t="s">
        <v>17</v>
      </c>
      <c r="N307" s="6" t="s">
        <v>134</v>
      </c>
      <c r="O307" t="s">
        <v>125</v>
      </c>
      <c r="P307" s="25" t="s">
        <v>2112</v>
      </c>
    </row>
    <row r="308" spans="1:18" ht="14.4" x14ac:dyDescent="0.3">
      <c r="A308" s="5">
        <v>301</v>
      </c>
      <c r="B308" s="17" t="s">
        <v>1405</v>
      </c>
      <c r="C308" s="6">
        <v>1053838523</v>
      </c>
      <c r="D308" s="6">
        <v>3165329202</v>
      </c>
      <c r="E308" s="12" t="s">
        <v>1406</v>
      </c>
      <c r="F308" s="7">
        <v>46048</v>
      </c>
      <c r="G308" s="7">
        <v>46228</v>
      </c>
      <c r="H308" s="8" t="s">
        <v>1407</v>
      </c>
      <c r="I308" s="6" t="s">
        <v>256</v>
      </c>
      <c r="J308" s="6" t="s">
        <v>115</v>
      </c>
      <c r="K308" s="6" t="s">
        <v>1408</v>
      </c>
      <c r="L308" s="6" t="s">
        <v>1409</v>
      </c>
      <c r="M308" s="6" t="s">
        <v>17</v>
      </c>
      <c r="N308" s="6" t="s">
        <v>1410</v>
      </c>
      <c r="O308" t="s">
        <v>125</v>
      </c>
      <c r="P308" s="25" t="s">
        <v>2112</v>
      </c>
    </row>
    <row r="309" spans="1:18" ht="14.4" x14ac:dyDescent="0.3">
      <c r="A309" s="5">
        <v>302</v>
      </c>
      <c r="B309" s="17" t="s">
        <v>1411</v>
      </c>
      <c r="C309" s="6">
        <v>1032475428</v>
      </c>
      <c r="D309" s="6">
        <v>3003593799</v>
      </c>
      <c r="E309" s="12" t="s">
        <v>1412</v>
      </c>
      <c r="F309" s="7">
        <v>46050</v>
      </c>
      <c r="G309" s="7">
        <v>46261</v>
      </c>
      <c r="H309" s="8" t="s">
        <v>1413</v>
      </c>
      <c r="I309" s="6" t="s">
        <v>1338</v>
      </c>
      <c r="J309" s="6" t="s">
        <v>115</v>
      </c>
      <c r="K309" s="6" t="s">
        <v>398</v>
      </c>
      <c r="L309" s="6" t="s">
        <v>1414</v>
      </c>
      <c r="M309" s="6" t="s">
        <v>17</v>
      </c>
      <c r="N309" s="6" t="s">
        <v>725</v>
      </c>
      <c r="O309" t="s">
        <v>125</v>
      </c>
      <c r="P309" s="25" t="s">
        <v>2112</v>
      </c>
    </row>
    <row r="310" spans="1:18" ht="14.4" x14ac:dyDescent="0.3">
      <c r="A310" s="5">
        <v>303</v>
      </c>
      <c r="B310" s="17" t="s">
        <v>1415</v>
      </c>
      <c r="C310" s="6">
        <v>80197126</v>
      </c>
      <c r="D310" s="6">
        <v>3202098175</v>
      </c>
      <c r="E310" s="12" t="s">
        <v>1416</v>
      </c>
      <c r="F310" s="7">
        <v>46048</v>
      </c>
      <c r="G310" s="7">
        <v>46259</v>
      </c>
      <c r="H310" s="8" t="s">
        <v>1417</v>
      </c>
      <c r="I310" s="6" t="s">
        <v>1338</v>
      </c>
      <c r="J310" s="6" t="s">
        <v>143</v>
      </c>
      <c r="K310" s="6" t="s">
        <v>294</v>
      </c>
      <c r="L310" s="6" t="s">
        <v>1418</v>
      </c>
      <c r="M310" s="6" t="s">
        <v>17</v>
      </c>
      <c r="N310" s="6" t="s">
        <v>44</v>
      </c>
      <c r="O310" t="s">
        <v>125</v>
      </c>
      <c r="P310" s="25" t="s">
        <v>2112</v>
      </c>
    </row>
    <row r="311" spans="1:18" ht="14.4" x14ac:dyDescent="0.3">
      <c r="A311" s="16">
        <v>304</v>
      </c>
      <c r="B311" s="17" t="s">
        <v>1419</v>
      </c>
      <c r="C311" s="6">
        <v>1019111258</v>
      </c>
      <c r="D311" s="6">
        <v>3167697896</v>
      </c>
      <c r="E311" s="12" t="s">
        <v>1420</v>
      </c>
      <c r="F311" s="7">
        <v>46050</v>
      </c>
      <c r="G311" s="7">
        <v>46261</v>
      </c>
      <c r="H311" s="8" t="s">
        <v>1421</v>
      </c>
      <c r="I311" s="6" t="s">
        <v>1338</v>
      </c>
      <c r="J311" s="6" t="s">
        <v>106</v>
      </c>
      <c r="K311" s="6" t="s">
        <v>1422</v>
      </c>
      <c r="L311" s="6" t="s">
        <v>1423</v>
      </c>
      <c r="M311" s="6" t="s">
        <v>17</v>
      </c>
      <c r="N311" s="6" t="s">
        <v>1424</v>
      </c>
      <c r="O311" t="s">
        <v>125</v>
      </c>
      <c r="P311" s="25" t="s">
        <v>2112</v>
      </c>
    </row>
    <row r="312" spans="1:18" ht="14.4" x14ac:dyDescent="0.3">
      <c r="A312" s="5">
        <v>305</v>
      </c>
      <c r="B312" s="17" t="s">
        <v>1425</v>
      </c>
      <c r="C312" s="6">
        <v>1026275767</v>
      </c>
      <c r="D312" s="6">
        <v>3168683061</v>
      </c>
      <c r="E312" s="12" t="s">
        <v>1426</v>
      </c>
      <c r="F312" s="7">
        <v>46035</v>
      </c>
      <c r="G312" s="7">
        <v>46387</v>
      </c>
      <c r="H312" s="8" t="s">
        <v>1427</v>
      </c>
      <c r="I312" s="17" t="s">
        <v>299</v>
      </c>
      <c r="J312" s="6" t="s">
        <v>115</v>
      </c>
      <c r="K312" s="6" t="s">
        <v>202</v>
      </c>
      <c r="L312" s="6" t="s">
        <v>1428</v>
      </c>
      <c r="M312" s="6" t="s">
        <v>17</v>
      </c>
      <c r="N312" s="6" t="s">
        <v>60</v>
      </c>
      <c r="O312" t="s">
        <v>125</v>
      </c>
      <c r="P312" s="25" t="s">
        <v>2112</v>
      </c>
    </row>
    <row r="313" spans="1:18" ht="14.4" x14ac:dyDescent="0.3">
      <c r="A313" s="5">
        <v>306</v>
      </c>
      <c r="B313" s="17" t="s">
        <v>1429</v>
      </c>
      <c r="C313" s="17">
        <v>37863986</v>
      </c>
      <c r="D313" s="17">
        <v>3142962242</v>
      </c>
      <c r="E313" s="23" t="s">
        <v>1430</v>
      </c>
      <c r="F313" s="18">
        <v>46049</v>
      </c>
      <c r="G313" s="18">
        <v>46387</v>
      </c>
      <c r="H313" s="8" t="s">
        <v>1431</v>
      </c>
      <c r="I313" s="6" t="s">
        <v>285</v>
      </c>
      <c r="J313" s="6" t="s">
        <v>143</v>
      </c>
      <c r="K313" s="17" t="s">
        <v>501</v>
      </c>
      <c r="L313" s="17" t="s">
        <v>1432</v>
      </c>
      <c r="M313" s="17" t="s">
        <v>17</v>
      </c>
      <c r="N313" s="17" t="s">
        <v>259</v>
      </c>
      <c r="O313" s="19" t="s">
        <v>125</v>
      </c>
      <c r="P313" s="21" t="s">
        <v>2098</v>
      </c>
      <c r="Q313" s="20"/>
      <c r="R313" s="20"/>
    </row>
    <row r="314" spans="1:18" ht="14.4" x14ac:dyDescent="0.3">
      <c r="A314" s="5">
        <v>307</v>
      </c>
      <c r="B314" s="17" t="s">
        <v>1433</v>
      </c>
      <c r="C314" s="6">
        <v>79595346</v>
      </c>
      <c r="D314" s="6">
        <v>3174775788</v>
      </c>
      <c r="E314" s="6" t="s">
        <v>1434</v>
      </c>
      <c r="F314" s="7">
        <v>46055</v>
      </c>
      <c r="G314" s="7">
        <v>46387</v>
      </c>
      <c r="H314" s="8" t="s">
        <v>1435</v>
      </c>
      <c r="I314" s="6" t="s">
        <v>500</v>
      </c>
      <c r="J314" s="6" t="s">
        <v>115</v>
      </c>
      <c r="K314" s="6" t="s">
        <v>1436</v>
      </c>
      <c r="L314" s="6" t="s">
        <v>1437</v>
      </c>
      <c r="M314" s="6" t="s">
        <v>17</v>
      </c>
      <c r="N314" s="6" t="s">
        <v>60</v>
      </c>
      <c r="O314" t="s">
        <v>125</v>
      </c>
      <c r="P314" s="25" t="s">
        <v>2112</v>
      </c>
    </row>
    <row r="315" spans="1:18" ht="14.4" x14ac:dyDescent="0.3">
      <c r="A315" s="16">
        <v>308</v>
      </c>
      <c r="B315" s="17" t="s">
        <v>1438</v>
      </c>
      <c r="C315" s="6">
        <v>46672265</v>
      </c>
      <c r="D315" s="6">
        <v>3138894458</v>
      </c>
      <c r="E315" s="12" t="s">
        <v>1439</v>
      </c>
      <c r="F315" s="7">
        <v>46055</v>
      </c>
      <c r="G315" s="7">
        <v>46387</v>
      </c>
      <c r="H315" s="8" t="s">
        <v>1440</v>
      </c>
      <c r="I315" s="6" t="s">
        <v>500</v>
      </c>
      <c r="J315" s="6" t="s">
        <v>115</v>
      </c>
      <c r="K315" s="6" t="s">
        <v>1441</v>
      </c>
      <c r="L315" s="6" t="s">
        <v>1442</v>
      </c>
      <c r="M315" s="6" t="s">
        <v>17</v>
      </c>
      <c r="N315" s="6" t="s">
        <v>259</v>
      </c>
      <c r="O315" t="s">
        <v>125</v>
      </c>
      <c r="P315" s="25" t="s">
        <v>2112</v>
      </c>
    </row>
    <row r="316" spans="1:18" ht="14.4" x14ac:dyDescent="0.3">
      <c r="A316" s="5">
        <v>309</v>
      </c>
      <c r="B316" s="17" t="s">
        <v>1443</v>
      </c>
      <c r="C316" s="6">
        <v>2996355</v>
      </c>
      <c r="D316" s="6">
        <v>2996355</v>
      </c>
      <c r="E316" s="6" t="s">
        <v>20</v>
      </c>
      <c r="F316" s="7" t="s">
        <v>20</v>
      </c>
      <c r="G316" s="7" t="s">
        <v>20</v>
      </c>
      <c r="H316" s="8" t="s">
        <v>1444</v>
      </c>
      <c r="I316" s="6" t="s">
        <v>434</v>
      </c>
      <c r="J316" s="6" t="s">
        <v>115</v>
      </c>
      <c r="K316" s="6" t="s">
        <v>1445</v>
      </c>
      <c r="L316" s="6" t="s">
        <v>1446</v>
      </c>
      <c r="M316" s="6" t="s">
        <v>17</v>
      </c>
      <c r="N316" s="6" t="s">
        <v>1447</v>
      </c>
      <c r="O316" t="s">
        <v>119</v>
      </c>
      <c r="P316" s="25" t="s">
        <v>2112</v>
      </c>
    </row>
    <row r="317" spans="1:18" ht="14.4" x14ac:dyDescent="0.3">
      <c r="A317" s="5">
        <v>310</v>
      </c>
      <c r="B317" s="17" t="s">
        <v>1448</v>
      </c>
      <c r="C317" s="6">
        <v>79385393</v>
      </c>
      <c r="D317" s="6">
        <v>3013564276</v>
      </c>
      <c r="E317" s="6" t="s">
        <v>20</v>
      </c>
      <c r="F317" s="7" t="s">
        <v>20</v>
      </c>
      <c r="G317" s="7" t="s">
        <v>20</v>
      </c>
      <c r="H317" s="8" t="s">
        <v>1449</v>
      </c>
      <c r="I317" s="6" t="s">
        <v>434</v>
      </c>
      <c r="J317" s="6" t="s">
        <v>115</v>
      </c>
      <c r="K317" s="6" t="s">
        <v>164</v>
      </c>
      <c r="L317" s="6" t="s">
        <v>1450</v>
      </c>
      <c r="M317" s="6" t="s">
        <v>17</v>
      </c>
      <c r="N317" s="6" t="s">
        <v>60</v>
      </c>
      <c r="O317" t="s">
        <v>119</v>
      </c>
      <c r="P317" s="25" t="s">
        <v>2112</v>
      </c>
    </row>
    <row r="318" spans="1:18" ht="14.4" x14ac:dyDescent="0.3">
      <c r="A318" s="5">
        <v>311</v>
      </c>
      <c r="B318" s="17" t="s">
        <v>1451</v>
      </c>
      <c r="C318" s="6">
        <v>1010162896</v>
      </c>
      <c r="D318" s="6">
        <v>3195918577</v>
      </c>
      <c r="E318" s="6" t="s">
        <v>20</v>
      </c>
      <c r="F318" s="7" t="s">
        <v>20</v>
      </c>
      <c r="G318" s="7" t="s">
        <v>20</v>
      </c>
      <c r="H318" s="8" t="s">
        <v>1452</v>
      </c>
      <c r="I318" s="6" t="s">
        <v>500</v>
      </c>
      <c r="J318" s="6" t="s">
        <v>106</v>
      </c>
      <c r="K318" s="6" t="s">
        <v>1453</v>
      </c>
      <c r="L318" s="6" t="s">
        <v>1454</v>
      </c>
      <c r="M318" s="6" t="s">
        <v>17</v>
      </c>
      <c r="N318" s="6" t="s">
        <v>1455</v>
      </c>
      <c r="O318" t="s">
        <v>119</v>
      </c>
      <c r="P318" s="25" t="s">
        <v>2112</v>
      </c>
    </row>
    <row r="319" spans="1:18" ht="14.4" x14ac:dyDescent="0.3">
      <c r="A319" s="16">
        <v>312</v>
      </c>
      <c r="B319" s="17" t="s">
        <v>1456</v>
      </c>
      <c r="C319" s="6">
        <v>1010162896</v>
      </c>
      <c r="D319" s="6">
        <v>3195918577</v>
      </c>
      <c r="E319" s="6" t="s">
        <v>20</v>
      </c>
      <c r="F319" s="7" t="s">
        <v>20</v>
      </c>
      <c r="G319" s="7" t="s">
        <v>20</v>
      </c>
      <c r="H319" s="8" t="s">
        <v>1452</v>
      </c>
      <c r="I319" s="6" t="s">
        <v>500</v>
      </c>
      <c r="J319" s="6" t="s">
        <v>115</v>
      </c>
      <c r="K319" s="6" t="s">
        <v>501</v>
      </c>
      <c r="L319" s="6" t="s">
        <v>1457</v>
      </c>
      <c r="M319" s="6" t="s">
        <v>17</v>
      </c>
      <c r="N319" s="6" t="s">
        <v>60</v>
      </c>
      <c r="O319" t="s">
        <v>119</v>
      </c>
      <c r="P319" s="25" t="s">
        <v>2112</v>
      </c>
    </row>
    <row r="320" spans="1:18" ht="14.4" x14ac:dyDescent="0.3">
      <c r="A320" s="5">
        <v>313</v>
      </c>
      <c r="B320" s="17" t="s">
        <v>1458</v>
      </c>
      <c r="C320" s="6">
        <v>79941715</v>
      </c>
      <c r="D320" s="6">
        <v>3002063453</v>
      </c>
      <c r="E320" s="12" t="s">
        <v>1459</v>
      </c>
      <c r="F320" s="7">
        <v>46038</v>
      </c>
      <c r="G320" s="7">
        <v>46387</v>
      </c>
      <c r="H320" s="8" t="s">
        <v>1460</v>
      </c>
      <c r="I320" s="6" t="s">
        <v>201</v>
      </c>
      <c r="J320" s="6" t="s">
        <v>155</v>
      </c>
      <c r="K320" s="6" t="s">
        <v>1461</v>
      </c>
      <c r="L320" s="6" t="s">
        <v>20</v>
      </c>
      <c r="M320" s="6" t="s">
        <v>129</v>
      </c>
      <c r="N320" s="6" t="s">
        <v>24</v>
      </c>
      <c r="O320" t="s">
        <v>125</v>
      </c>
      <c r="P320" s="25" t="s">
        <v>2112</v>
      </c>
    </row>
    <row r="321" spans="1:18" ht="14.4" x14ac:dyDescent="0.3">
      <c r="A321" s="5">
        <v>314</v>
      </c>
      <c r="B321" s="17" t="s">
        <v>1462</v>
      </c>
      <c r="C321" s="6">
        <v>1022984445</v>
      </c>
      <c r="D321" s="6">
        <v>3053862189</v>
      </c>
      <c r="E321" s="6" t="s">
        <v>1463</v>
      </c>
      <c r="F321" s="7">
        <v>46048</v>
      </c>
      <c r="G321" s="7">
        <v>46173</v>
      </c>
      <c r="H321" s="8" t="s">
        <v>1464</v>
      </c>
      <c r="I321" s="6" t="s">
        <v>201</v>
      </c>
      <c r="J321" s="6" t="s">
        <v>115</v>
      </c>
      <c r="K321" s="6" t="s">
        <v>1465</v>
      </c>
      <c r="L321" s="6" t="s">
        <v>1466</v>
      </c>
      <c r="M321" s="6" t="s">
        <v>17</v>
      </c>
      <c r="N321" s="6" t="s">
        <v>339</v>
      </c>
      <c r="O321" t="s">
        <v>125</v>
      </c>
      <c r="P321" s="25" t="s">
        <v>2112</v>
      </c>
    </row>
    <row r="322" spans="1:18" ht="14.4" x14ac:dyDescent="0.3">
      <c r="A322" s="5">
        <v>315</v>
      </c>
      <c r="B322" s="17" t="s">
        <v>1467</v>
      </c>
      <c r="C322" s="6">
        <v>1015442158</v>
      </c>
      <c r="D322" s="6">
        <v>3118086859</v>
      </c>
      <c r="E322" s="12" t="s">
        <v>1468</v>
      </c>
      <c r="F322" s="7">
        <v>46038</v>
      </c>
      <c r="G322" s="7">
        <v>46387</v>
      </c>
      <c r="H322" s="8" t="s">
        <v>1469</v>
      </c>
      <c r="I322" s="6" t="s">
        <v>201</v>
      </c>
      <c r="J322" s="6" t="s">
        <v>143</v>
      </c>
      <c r="K322" s="6" t="s">
        <v>22</v>
      </c>
      <c r="L322" s="6" t="s">
        <v>1470</v>
      </c>
      <c r="M322" s="6" t="s">
        <v>129</v>
      </c>
      <c r="N322" s="6" t="s">
        <v>1471</v>
      </c>
      <c r="O322" t="s">
        <v>125</v>
      </c>
      <c r="P322" s="25" t="s">
        <v>2112</v>
      </c>
    </row>
    <row r="323" spans="1:18" ht="14.4" x14ac:dyDescent="0.3">
      <c r="A323" s="16">
        <v>316</v>
      </c>
      <c r="B323" s="17" t="s">
        <v>1467</v>
      </c>
      <c r="C323" s="6">
        <v>1015442158</v>
      </c>
      <c r="D323" s="6">
        <v>3118086859</v>
      </c>
      <c r="E323" s="12" t="s">
        <v>1468</v>
      </c>
      <c r="F323" s="7">
        <v>46038</v>
      </c>
      <c r="G323" s="7">
        <v>46387</v>
      </c>
      <c r="H323" s="8" t="s">
        <v>1469</v>
      </c>
      <c r="I323" s="6" t="s">
        <v>201</v>
      </c>
      <c r="J323" s="6" t="s">
        <v>80</v>
      </c>
      <c r="K323" s="6" t="s">
        <v>1472</v>
      </c>
      <c r="L323" s="6" t="s">
        <v>20</v>
      </c>
      <c r="M323" s="6" t="s">
        <v>129</v>
      </c>
      <c r="N323" s="6" t="s">
        <v>1473</v>
      </c>
      <c r="O323" t="s">
        <v>125</v>
      </c>
      <c r="P323" s="25" t="s">
        <v>2112</v>
      </c>
    </row>
    <row r="324" spans="1:18" ht="14.4" x14ac:dyDescent="0.3">
      <c r="A324" s="5">
        <v>317</v>
      </c>
      <c r="B324" s="17" t="s">
        <v>1474</v>
      </c>
      <c r="C324" s="6">
        <v>1030623154</v>
      </c>
      <c r="D324" s="6">
        <v>3125667339</v>
      </c>
      <c r="E324" s="6" t="s">
        <v>20</v>
      </c>
      <c r="F324" s="7" t="s">
        <v>20</v>
      </c>
      <c r="G324" s="7" t="s">
        <v>20</v>
      </c>
      <c r="H324" s="8" t="s">
        <v>1475</v>
      </c>
      <c r="I324" s="6" t="s">
        <v>285</v>
      </c>
      <c r="J324" s="6" t="s">
        <v>115</v>
      </c>
      <c r="K324" s="6" t="s">
        <v>1476</v>
      </c>
      <c r="L324" s="6" t="s">
        <v>1477</v>
      </c>
      <c r="M324" s="6" t="s">
        <v>17</v>
      </c>
      <c r="N324" s="6" t="s">
        <v>66</v>
      </c>
      <c r="O324" t="s">
        <v>119</v>
      </c>
      <c r="P324" s="25" t="s">
        <v>2112</v>
      </c>
    </row>
    <row r="325" spans="1:18" ht="14.4" x14ac:dyDescent="0.3">
      <c r="A325" s="5">
        <v>318</v>
      </c>
      <c r="B325" s="17" t="s">
        <v>1478</v>
      </c>
      <c r="C325" s="6">
        <v>32711441</v>
      </c>
      <c r="D325" s="6">
        <v>3008790148</v>
      </c>
      <c r="E325" s="6" t="s">
        <v>20</v>
      </c>
      <c r="F325" s="7" t="s">
        <v>20</v>
      </c>
      <c r="G325" s="7" t="s">
        <v>20</v>
      </c>
      <c r="H325" s="8" t="s">
        <v>1479</v>
      </c>
      <c r="I325" s="6" t="s">
        <v>1562</v>
      </c>
      <c r="J325" s="6" t="s">
        <v>106</v>
      </c>
      <c r="K325" s="6" t="s">
        <v>175</v>
      </c>
      <c r="L325" s="6" t="s">
        <v>1480</v>
      </c>
      <c r="M325" s="6" t="s">
        <v>17</v>
      </c>
      <c r="N325" s="6" t="s">
        <v>66</v>
      </c>
      <c r="O325" s="19" t="s">
        <v>1280</v>
      </c>
      <c r="P325" s="25" t="s">
        <v>2112</v>
      </c>
    </row>
    <row r="326" spans="1:18" ht="14.4" x14ac:dyDescent="0.3">
      <c r="A326" s="5">
        <v>319</v>
      </c>
      <c r="B326" s="17" t="s">
        <v>1474</v>
      </c>
      <c r="C326" s="6">
        <v>1030623154</v>
      </c>
      <c r="D326" s="6">
        <v>3125667339</v>
      </c>
      <c r="E326" s="6" t="s">
        <v>20</v>
      </c>
      <c r="F326" s="7" t="s">
        <v>20</v>
      </c>
      <c r="G326" s="7" t="s">
        <v>20</v>
      </c>
      <c r="H326" s="8" t="s">
        <v>1475</v>
      </c>
      <c r="I326" s="6" t="s">
        <v>285</v>
      </c>
      <c r="J326" s="6" t="s">
        <v>155</v>
      </c>
      <c r="K326" s="6" t="s">
        <v>1481</v>
      </c>
      <c r="L326" s="6" t="s">
        <v>20</v>
      </c>
      <c r="M326" s="6" t="s">
        <v>129</v>
      </c>
      <c r="N326" s="6" t="s">
        <v>166</v>
      </c>
      <c r="O326" t="s">
        <v>119</v>
      </c>
      <c r="P326" s="25" t="s">
        <v>2112</v>
      </c>
    </row>
    <row r="327" spans="1:18" ht="14.4" x14ac:dyDescent="0.3">
      <c r="A327" s="16">
        <v>320</v>
      </c>
      <c r="B327" s="17" t="s">
        <v>1482</v>
      </c>
      <c r="C327" s="17">
        <v>52883834</v>
      </c>
      <c r="D327" s="17">
        <v>3204174797</v>
      </c>
      <c r="E327" s="23" t="s">
        <v>1483</v>
      </c>
      <c r="F327" s="18">
        <v>46036</v>
      </c>
      <c r="G327" s="18">
        <v>46247</v>
      </c>
      <c r="H327" s="8" t="s">
        <v>1484</v>
      </c>
      <c r="I327" s="6" t="s">
        <v>1338</v>
      </c>
      <c r="J327" s="6" t="s">
        <v>115</v>
      </c>
      <c r="K327" s="17" t="s">
        <v>1465</v>
      </c>
      <c r="L327" s="17" t="s">
        <v>1485</v>
      </c>
      <c r="M327" s="17" t="s">
        <v>17</v>
      </c>
      <c r="N327" s="17" t="s">
        <v>60</v>
      </c>
      <c r="O327" s="19" t="s">
        <v>125</v>
      </c>
      <c r="P327" s="21" t="s">
        <v>2098</v>
      </c>
      <c r="Q327" s="20"/>
      <c r="R327" s="20"/>
    </row>
    <row r="328" spans="1:18" ht="14.4" x14ac:dyDescent="0.3">
      <c r="A328" s="5">
        <v>321</v>
      </c>
      <c r="B328" s="17" t="s">
        <v>1486</v>
      </c>
      <c r="C328" s="6">
        <v>80206130</v>
      </c>
      <c r="D328" s="6">
        <v>3208732659</v>
      </c>
      <c r="E328" s="12" t="s">
        <v>1487</v>
      </c>
      <c r="F328" s="7">
        <v>46027</v>
      </c>
      <c r="G328" s="7">
        <v>46238</v>
      </c>
      <c r="H328" s="8" t="s">
        <v>1488</v>
      </c>
      <c r="I328" s="6" t="s">
        <v>1562</v>
      </c>
      <c r="J328" s="6" t="s">
        <v>115</v>
      </c>
      <c r="K328" s="6" t="s">
        <v>75</v>
      </c>
      <c r="L328" s="6" t="s">
        <v>1489</v>
      </c>
      <c r="M328" s="6" t="s">
        <v>253</v>
      </c>
      <c r="N328" s="6" t="s">
        <v>66</v>
      </c>
      <c r="O328" t="s">
        <v>125</v>
      </c>
      <c r="P328" s="25" t="s">
        <v>2112</v>
      </c>
    </row>
    <row r="329" spans="1:18" ht="14.4" x14ac:dyDescent="0.3">
      <c r="A329" s="5">
        <v>322</v>
      </c>
      <c r="B329" s="17" t="s">
        <v>1490</v>
      </c>
      <c r="C329" s="6">
        <v>1016021569</v>
      </c>
      <c r="D329" s="6">
        <v>3006870651</v>
      </c>
      <c r="E329" s="12" t="s">
        <v>1491</v>
      </c>
      <c r="F329" s="7">
        <v>46045</v>
      </c>
      <c r="G329" s="7">
        <v>46348</v>
      </c>
      <c r="H329" s="8" t="s">
        <v>1492</v>
      </c>
      <c r="I329" s="6" t="s">
        <v>587</v>
      </c>
      <c r="J329" s="6" t="s">
        <v>143</v>
      </c>
      <c r="K329" s="6" t="s">
        <v>294</v>
      </c>
      <c r="L329" s="6" t="s">
        <v>1493</v>
      </c>
      <c r="M329" s="6" t="s">
        <v>253</v>
      </c>
      <c r="N329" s="6" t="s">
        <v>66</v>
      </c>
      <c r="O329" t="s">
        <v>125</v>
      </c>
      <c r="P329" s="25" t="s">
        <v>2112</v>
      </c>
    </row>
    <row r="330" spans="1:18" ht="14.4" x14ac:dyDescent="0.3">
      <c r="A330" s="5">
        <v>323</v>
      </c>
      <c r="B330" s="17" t="s">
        <v>1490</v>
      </c>
      <c r="C330" s="6">
        <v>1016021569</v>
      </c>
      <c r="D330" s="6">
        <v>3006870651</v>
      </c>
      <c r="E330" s="12" t="s">
        <v>1491</v>
      </c>
      <c r="F330" s="7">
        <v>46045</v>
      </c>
      <c r="G330" s="7">
        <v>46348</v>
      </c>
      <c r="H330" s="8" t="s">
        <v>1492</v>
      </c>
      <c r="I330" s="6" t="s">
        <v>587</v>
      </c>
      <c r="J330" s="6" t="s">
        <v>106</v>
      </c>
      <c r="K330" s="6" t="s">
        <v>701</v>
      </c>
      <c r="L330" s="6" t="s">
        <v>1494</v>
      </c>
      <c r="M330" s="6" t="s">
        <v>17</v>
      </c>
      <c r="N330" s="6" t="s">
        <v>24</v>
      </c>
      <c r="O330" t="s">
        <v>125</v>
      </c>
      <c r="P330" s="25" t="s">
        <v>2112</v>
      </c>
    </row>
    <row r="331" spans="1:18" ht="14.4" x14ac:dyDescent="0.3">
      <c r="A331" s="16">
        <v>324</v>
      </c>
      <c r="B331" s="17" t="s">
        <v>1486</v>
      </c>
      <c r="C331" s="6">
        <v>80206130</v>
      </c>
      <c r="D331" s="6">
        <v>3208732659</v>
      </c>
      <c r="E331" s="12" t="s">
        <v>1487</v>
      </c>
      <c r="F331" s="7">
        <v>46027</v>
      </c>
      <c r="G331" s="7">
        <v>46238</v>
      </c>
      <c r="H331" s="8" t="s">
        <v>1495</v>
      </c>
      <c r="I331" s="6" t="s">
        <v>1562</v>
      </c>
      <c r="J331" s="6" t="s">
        <v>155</v>
      </c>
      <c r="K331" s="6" t="s">
        <v>1496</v>
      </c>
      <c r="L331" s="6" t="s">
        <v>20</v>
      </c>
      <c r="M331" s="6" t="s">
        <v>129</v>
      </c>
      <c r="N331" s="6" t="s">
        <v>157</v>
      </c>
      <c r="O331" t="s">
        <v>125</v>
      </c>
      <c r="P331" s="25" t="s">
        <v>2112</v>
      </c>
    </row>
    <row r="332" spans="1:18" ht="14.4" x14ac:dyDescent="0.3">
      <c r="A332" s="5">
        <v>325</v>
      </c>
      <c r="B332" s="17" t="s">
        <v>1497</v>
      </c>
      <c r="C332" s="17">
        <v>80019944</v>
      </c>
      <c r="D332" s="17">
        <v>3015363830</v>
      </c>
      <c r="E332" s="23" t="s">
        <v>1498</v>
      </c>
      <c r="F332" s="18">
        <v>46038</v>
      </c>
      <c r="G332" s="18">
        <v>46387</v>
      </c>
      <c r="H332" s="8" t="s">
        <v>1499</v>
      </c>
      <c r="I332" s="6" t="s">
        <v>434</v>
      </c>
      <c r="J332" s="6" t="s">
        <v>115</v>
      </c>
      <c r="K332" s="17" t="s">
        <v>202</v>
      </c>
      <c r="L332" s="17" t="s">
        <v>1500</v>
      </c>
      <c r="M332" s="17" t="s">
        <v>17</v>
      </c>
      <c r="N332" s="17" t="s">
        <v>24</v>
      </c>
      <c r="O332" s="19" t="s">
        <v>125</v>
      </c>
      <c r="P332" s="21" t="s">
        <v>2098</v>
      </c>
      <c r="Q332" s="20"/>
      <c r="R332" s="20"/>
    </row>
    <row r="333" spans="1:18" ht="14.4" x14ac:dyDescent="0.3">
      <c r="A333" s="5">
        <v>326</v>
      </c>
      <c r="B333" s="17" t="s">
        <v>1497</v>
      </c>
      <c r="C333" s="6">
        <v>80019944</v>
      </c>
      <c r="D333" s="6">
        <v>3015363830</v>
      </c>
      <c r="E333" s="12" t="s">
        <v>1498</v>
      </c>
      <c r="F333" s="7">
        <v>46038</v>
      </c>
      <c r="G333" s="7">
        <v>46387</v>
      </c>
      <c r="H333" s="8" t="s">
        <v>1499</v>
      </c>
      <c r="I333" s="6" t="s">
        <v>434</v>
      </c>
      <c r="J333" s="6" t="s">
        <v>106</v>
      </c>
      <c r="K333" s="6" t="s">
        <v>701</v>
      </c>
      <c r="L333" s="6" t="s">
        <v>1501</v>
      </c>
      <c r="M333" s="6" t="s">
        <v>17</v>
      </c>
      <c r="N333" s="6" t="s">
        <v>60</v>
      </c>
      <c r="O333" t="s">
        <v>125</v>
      </c>
      <c r="P333" s="25" t="s">
        <v>2112</v>
      </c>
    </row>
    <row r="334" spans="1:18" ht="14.4" x14ac:dyDescent="0.3">
      <c r="A334" s="5">
        <v>327</v>
      </c>
      <c r="B334" s="17" t="s">
        <v>1502</v>
      </c>
      <c r="C334" s="17">
        <v>1016036999</v>
      </c>
      <c r="D334" s="17">
        <v>3143216258</v>
      </c>
      <c r="E334" s="23" t="s">
        <v>1503</v>
      </c>
      <c r="F334" s="18">
        <v>46045</v>
      </c>
      <c r="G334" s="18">
        <v>46226</v>
      </c>
      <c r="H334" s="8" t="s">
        <v>1504</v>
      </c>
      <c r="I334" s="17" t="s">
        <v>1041</v>
      </c>
      <c r="J334" s="6" t="s">
        <v>143</v>
      </c>
      <c r="K334" s="17" t="s">
        <v>164</v>
      </c>
      <c r="L334" s="17" t="s">
        <v>30</v>
      </c>
      <c r="M334" s="6" t="s">
        <v>253</v>
      </c>
      <c r="N334" s="17" t="s">
        <v>66</v>
      </c>
      <c r="O334" s="19" t="s">
        <v>125</v>
      </c>
      <c r="P334" s="22" t="s">
        <v>2098</v>
      </c>
      <c r="Q334" s="20"/>
      <c r="R334" s="20"/>
    </row>
    <row r="335" spans="1:18" ht="14.4" x14ac:dyDescent="0.3">
      <c r="A335" s="16">
        <v>328</v>
      </c>
      <c r="B335" s="17" t="s">
        <v>1502</v>
      </c>
      <c r="C335" s="17">
        <v>1016036999</v>
      </c>
      <c r="D335" s="17">
        <v>3143216258</v>
      </c>
      <c r="E335" s="23" t="s">
        <v>1503</v>
      </c>
      <c r="F335" s="18">
        <v>46045</v>
      </c>
      <c r="G335" s="18">
        <v>46226</v>
      </c>
      <c r="H335" s="8" t="s">
        <v>1504</v>
      </c>
      <c r="I335" s="17" t="s">
        <v>1041</v>
      </c>
      <c r="J335" s="17" t="s">
        <v>155</v>
      </c>
      <c r="K335" s="17" t="s">
        <v>1505</v>
      </c>
      <c r="L335" s="17" t="s">
        <v>20</v>
      </c>
      <c r="M335" s="6" t="s">
        <v>129</v>
      </c>
      <c r="N335" s="17" t="s">
        <v>38</v>
      </c>
      <c r="O335" s="19" t="s">
        <v>125</v>
      </c>
      <c r="P335" s="22" t="s">
        <v>2098</v>
      </c>
      <c r="Q335" s="20"/>
      <c r="R335" s="20"/>
    </row>
    <row r="336" spans="1:18" ht="14.4" x14ac:dyDescent="0.3">
      <c r="A336" s="5">
        <v>329</v>
      </c>
      <c r="B336" s="17" t="s">
        <v>1506</v>
      </c>
      <c r="C336" s="6">
        <v>91492909</v>
      </c>
      <c r="D336" s="6">
        <v>3057363503</v>
      </c>
      <c r="E336" s="12" t="s">
        <v>1507</v>
      </c>
      <c r="F336" s="7">
        <v>46045</v>
      </c>
      <c r="G336" s="7">
        <v>46284</v>
      </c>
      <c r="H336" s="8" t="s">
        <v>1508</v>
      </c>
      <c r="I336" s="6" t="s">
        <v>500</v>
      </c>
      <c r="J336" s="6" t="s">
        <v>115</v>
      </c>
      <c r="K336" s="6" t="s">
        <v>1509</v>
      </c>
      <c r="L336" s="6" t="s">
        <v>1510</v>
      </c>
      <c r="M336" s="6" t="s">
        <v>17</v>
      </c>
      <c r="N336" s="6" t="s">
        <v>24</v>
      </c>
      <c r="O336" t="s">
        <v>125</v>
      </c>
      <c r="P336" s="25" t="s">
        <v>2112</v>
      </c>
    </row>
    <row r="337" spans="1:18" ht="14.4" x14ac:dyDescent="0.3">
      <c r="A337" s="5">
        <v>330</v>
      </c>
      <c r="B337" s="17" t="s">
        <v>1506</v>
      </c>
      <c r="C337" s="6">
        <v>91492909</v>
      </c>
      <c r="D337" s="6">
        <v>3057363503</v>
      </c>
      <c r="E337" s="12" t="s">
        <v>1507</v>
      </c>
      <c r="F337" s="7">
        <v>46045</v>
      </c>
      <c r="G337" s="7">
        <v>46284</v>
      </c>
      <c r="H337" s="8" t="s">
        <v>1508</v>
      </c>
      <c r="I337" s="6" t="s">
        <v>500</v>
      </c>
      <c r="J337" s="6" t="s">
        <v>155</v>
      </c>
      <c r="K337" s="6" t="s">
        <v>1511</v>
      </c>
      <c r="L337" s="6" t="s">
        <v>1512</v>
      </c>
      <c r="M337" s="6" t="s">
        <v>129</v>
      </c>
      <c r="N337" s="6" t="s">
        <v>24</v>
      </c>
      <c r="O337" t="s">
        <v>125</v>
      </c>
      <c r="P337" s="25" t="s">
        <v>2112</v>
      </c>
    </row>
    <row r="338" spans="1:18" ht="14.4" x14ac:dyDescent="0.3">
      <c r="A338" s="5">
        <v>331</v>
      </c>
      <c r="B338" s="17" t="s">
        <v>1513</v>
      </c>
      <c r="C338" s="6">
        <v>79244560</v>
      </c>
      <c r="D338" s="6">
        <v>3205349671</v>
      </c>
      <c r="E338" s="12" t="s">
        <v>1514</v>
      </c>
      <c r="F338" s="7">
        <v>46041</v>
      </c>
      <c r="G338" s="7">
        <v>46343</v>
      </c>
      <c r="H338" s="8" t="s">
        <v>1515</v>
      </c>
      <c r="I338" s="6" t="s">
        <v>270</v>
      </c>
      <c r="J338" s="6" t="s">
        <v>143</v>
      </c>
      <c r="K338" s="6" t="s">
        <v>22</v>
      </c>
      <c r="L338" s="6" t="s">
        <v>1516</v>
      </c>
      <c r="M338" s="6" t="s">
        <v>129</v>
      </c>
      <c r="N338" s="6" t="s">
        <v>18</v>
      </c>
      <c r="O338" t="s">
        <v>125</v>
      </c>
      <c r="P338" s="25" t="s">
        <v>2112</v>
      </c>
    </row>
    <row r="339" spans="1:18" ht="14.4" x14ac:dyDescent="0.3">
      <c r="A339" s="16">
        <v>332</v>
      </c>
      <c r="B339" s="17" t="s">
        <v>1517</v>
      </c>
      <c r="C339" s="17">
        <v>80061648</v>
      </c>
      <c r="D339" s="17">
        <v>3103076693</v>
      </c>
      <c r="E339" s="17" t="s">
        <v>1518</v>
      </c>
      <c r="F339" s="18">
        <v>46043</v>
      </c>
      <c r="G339" s="18">
        <v>46224</v>
      </c>
      <c r="H339" s="8" t="s">
        <v>1519</v>
      </c>
      <c r="I339" s="6" t="s">
        <v>270</v>
      </c>
      <c r="J339" s="6" t="s">
        <v>143</v>
      </c>
      <c r="K339" s="17" t="s">
        <v>294</v>
      </c>
      <c r="L339" s="17" t="s">
        <v>1520</v>
      </c>
      <c r="M339" s="17" t="s">
        <v>17</v>
      </c>
      <c r="N339" s="17" t="s">
        <v>60</v>
      </c>
      <c r="O339" s="19" t="s">
        <v>125</v>
      </c>
      <c r="P339" s="21" t="s">
        <v>2098</v>
      </c>
      <c r="Q339" s="20"/>
      <c r="R339" s="20"/>
    </row>
    <row r="340" spans="1:18" ht="14.4" x14ac:dyDescent="0.3">
      <c r="A340" s="5">
        <v>333</v>
      </c>
      <c r="B340" s="17" t="s">
        <v>1517</v>
      </c>
      <c r="C340" s="17">
        <v>80061648</v>
      </c>
      <c r="D340" s="17">
        <v>3103076693</v>
      </c>
      <c r="E340" s="17" t="s">
        <v>1518</v>
      </c>
      <c r="F340" s="18">
        <v>46043</v>
      </c>
      <c r="G340" s="18">
        <v>46224</v>
      </c>
      <c r="H340" s="8" t="s">
        <v>1519</v>
      </c>
      <c r="I340" s="6" t="s">
        <v>270</v>
      </c>
      <c r="J340" s="17" t="s">
        <v>155</v>
      </c>
      <c r="K340" s="17" t="s">
        <v>1461</v>
      </c>
      <c r="L340" s="17" t="s">
        <v>20</v>
      </c>
      <c r="M340" s="6" t="s">
        <v>129</v>
      </c>
      <c r="N340" s="17" t="s">
        <v>24</v>
      </c>
      <c r="O340" s="19" t="s">
        <v>125</v>
      </c>
      <c r="P340" s="21" t="s">
        <v>2098</v>
      </c>
      <c r="Q340" s="20"/>
      <c r="R340" s="20"/>
    </row>
    <row r="341" spans="1:18" ht="14.4" x14ac:dyDescent="0.3">
      <c r="A341" s="5">
        <v>334</v>
      </c>
      <c r="B341" s="17" t="s">
        <v>1521</v>
      </c>
      <c r="C341" s="6">
        <v>32798171</v>
      </c>
      <c r="D341" s="6">
        <v>3212596174</v>
      </c>
      <c r="E341" s="6" t="s">
        <v>20</v>
      </c>
      <c r="F341" s="7" t="s">
        <v>20</v>
      </c>
      <c r="G341" s="7" t="s">
        <v>20</v>
      </c>
      <c r="H341" s="8" t="s">
        <v>1522</v>
      </c>
      <c r="I341" s="6" t="s">
        <v>270</v>
      </c>
      <c r="J341" s="6" t="s">
        <v>115</v>
      </c>
      <c r="K341" s="6" t="s">
        <v>1523</v>
      </c>
      <c r="L341" s="6" t="s">
        <v>1524</v>
      </c>
      <c r="M341" s="6" t="s">
        <v>17</v>
      </c>
      <c r="N341" s="6" t="s">
        <v>1525</v>
      </c>
      <c r="O341" t="s">
        <v>119</v>
      </c>
      <c r="P341" s="25" t="s">
        <v>2112</v>
      </c>
    </row>
    <row r="342" spans="1:18" ht="14.4" x14ac:dyDescent="0.3">
      <c r="A342" s="5">
        <v>335</v>
      </c>
      <c r="B342" s="17" t="s">
        <v>1526</v>
      </c>
      <c r="C342" s="17">
        <v>4228842</v>
      </c>
      <c r="D342" s="17">
        <v>3045528065</v>
      </c>
      <c r="E342" s="17" t="s">
        <v>20</v>
      </c>
      <c r="F342" s="18" t="s">
        <v>20</v>
      </c>
      <c r="G342" s="18" t="s">
        <v>20</v>
      </c>
      <c r="H342" s="8" t="s">
        <v>1527</v>
      </c>
      <c r="I342" s="6" t="s">
        <v>1562</v>
      </c>
      <c r="J342" s="6" t="s">
        <v>143</v>
      </c>
      <c r="K342" s="17" t="s">
        <v>348</v>
      </c>
      <c r="L342" s="17" t="s">
        <v>1528</v>
      </c>
      <c r="M342" s="17" t="s">
        <v>17</v>
      </c>
      <c r="N342" s="17" t="s">
        <v>24</v>
      </c>
      <c r="O342" s="19" t="s">
        <v>119</v>
      </c>
      <c r="P342" s="21" t="s">
        <v>2098</v>
      </c>
      <c r="Q342" s="20"/>
      <c r="R342" s="20"/>
    </row>
    <row r="343" spans="1:18" ht="14.4" x14ac:dyDescent="0.3">
      <c r="A343" s="16">
        <v>336</v>
      </c>
      <c r="B343" s="17" t="s">
        <v>1529</v>
      </c>
      <c r="C343" s="6">
        <v>52707802</v>
      </c>
      <c r="D343" s="6">
        <v>3008281052</v>
      </c>
      <c r="E343" s="6" t="s">
        <v>20</v>
      </c>
      <c r="F343" s="7" t="s">
        <v>20</v>
      </c>
      <c r="G343" s="7" t="s">
        <v>20</v>
      </c>
      <c r="H343" s="8" t="s">
        <v>1530</v>
      </c>
      <c r="I343" s="17" t="s">
        <v>1395</v>
      </c>
      <c r="J343" s="6" t="s">
        <v>106</v>
      </c>
      <c r="K343" s="6" t="s">
        <v>56</v>
      </c>
      <c r="L343" s="6" t="s">
        <v>1531</v>
      </c>
      <c r="M343" s="6" t="s">
        <v>17</v>
      </c>
      <c r="N343" s="6" t="s">
        <v>38</v>
      </c>
      <c r="O343" t="s">
        <v>119</v>
      </c>
      <c r="P343" s="25" t="s">
        <v>2112</v>
      </c>
    </row>
    <row r="344" spans="1:18" ht="14.4" x14ac:dyDescent="0.3">
      <c r="A344" s="5">
        <v>337</v>
      </c>
      <c r="B344" s="17" t="s">
        <v>1529</v>
      </c>
      <c r="C344" s="6">
        <v>52707802</v>
      </c>
      <c r="D344" s="6">
        <v>3008281052</v>
      </c>
      <c r="E344" s="6" t="s">
        <v>20</v>
      </c>
      <c r="F344" s="7" t="s">
        <v>20</v>
      </c>
      <c r="G344" s="7" t="s">
        <v>20</v>
      </c>
      <c r="H344" s="8" t="s">
        <v>1530</v>
      </c>
      <c r="I344" s="17" t="s">
        <v>1395</v>
      </c>
      <c r="J344" s="6" t="s">
        <v>115</v>
      </c>
      <c r="K344" s="6" t="s">
        <v>363</v>
      </c>
      <c r="L344" s="6" t="s">
        <v>1532</v>
      </c>
      <c r="M344" s="6" t="s">
        <v>17</v>
      </c>
      <c r="N344" s="6" t="s">
        <v>60</v>
      </c>
      <c r="O344" t="s">
        <v>119</v>
      </c>
      <c r="P344" s="25" t="s">
        <v>2112</v>
      </c>
    </row>
    <row r="345" spans="1:18" ht="14.4" x14ac:dyDescent="0.3">
      <c r="A345" s="5">
        <v>338</v>
      </c>
      <c r="B345" s="17" t="s">
        <v>1533</v>
      </c>
      <c r="C345" s="6">
        <v>15958519</v>
      </c>
      <c r="D345" s="6">
        <v>3102286082</v>
      </c>
      <c r="E345" s="6" t="s">
        <v>20</v>
      </c>
      <c r="F345" s="7" t="s">
        <v>20</v>
      </c>
      <c r="G345" s="7" t="s">
        <v>20</v>
      </c>
      <c r="H345" s="8" t="s">
        <v>1534</v>
      </c>
      <c r="I345" s="6" t="s">
        <v>270</v>
      </c>
      <c r="J345" s="6" t="s">
        <v>115</v>
      </c>
      <c r="K345" s="6" t="s">
        <v>116</v>
      </c>
      <c r="L345" s="6" t="s">
        <v>1535</v>
      </c>
      <c r="M345" s="6" t="s">
        <v>17</v>
      </c>
      <c r="N345" s="6" t="s">
        <v>1536</v>
      </c>
      <c r="O345" t="s">
        <v>119</v>
      </c>
      <c r="P345" s="25" t="s">
        <v>2112</v>
      </c>
    </row>
    <row r="346" spans="1:18" ht="14.4" x14ac:dyDescent="0.3">
      <c r="A346" s="5">
        <v>339</v>
      </c>
      <c r="B346" s="17" t="s">
        <v>1533</v>
      </c>
      <c r="C346" s="6">
        <v>15958519</v>
      </c>
      <c r="D346" s="6">
        <v>3102286082</v>
      </c>
      <c r="E346" s="6" t="s">
        <v>20</v>
      </c>
      <c r="F346" s="7" t="s">
        <v>20</v>
      </c>
      <c r="G346" s="7" t="s">
        <v>20</v>
      </c>
      <c r="H346" s="8" t="s">
        <v>1534</v>
      </c>
      <c r="I346" s="6" t="s">
        <v>270</v>
      </c>
      <c r="J346" s="6" t="s">
        <v>106</v>
      </c>
      <c r="K346" s="6" t="s">
        <v>805</v>
      </c>
      <c r="L346" s="6" t="s">
        <v>1537</v>
      </c>
      <c r="M346" s="6" t="s">
        <v>17</v>
      </c>
      <c r="N346" s="6" t="s">
        <v>44</v>
      </c>
      <c r="O346" t="s">
        <v>119</v>
      </c>
      <c r="P346" s="25" t="s">
        <v>2112</v>
      </c>
    </row>
    <row r="347" spans="1:18" ht="14.4" x14ac:dyDescent="0.3">
      <c r="A347" s="16">
        <v>340</v>
      </c>
      <c r="B347" s="17" t="s">
        <v>1538</v>
      </c>
      <c r="C347" s="6">
        <v>1072656830</v>
      </c>
      <c r="D347" s="6">
        <v>3150464421</v>
      </c>
      <c r="E347" s="12" t="s">
        <v>1539</v>
      </c>
      <c r="F347" s="7">
        <v>46048</v>
      </c>
      <c r="G347" s="7">
        <v>46252</v>
      </c>
      <c r="H347" s="8" t="s">
        <v>1540</v>
      </c>
      <c r="I347" s="6" t="s">
        <v>1338</v>
      </c>
      <c r="J347" s="6" t="s">
        <v>106</v>
      </c>
      <c r="K347" s="6" t="s">
        <v>132</v>
      </c>
      <c r="L347" s="6" t="s">
        <v>1541</v>
      </c>
      <c r="M347" s="6" t="s">
        <v>17</v>
      </c>
      <c r="N347" s="6" t="s">
        <v>1542</v>
      </c>
      <c r="O347" t="s">
        <v>125</v>
      </c>
      <c r="P347" s="25" t="s">
        <v>2112</v>
      </c>
    </row>
    <row r="348" spans="1:18" ht="14.4" x14ac:dyDescent="0.3">
      <c r="A348" s="5">
        <v>341</v>
      </c>
      <c r="B348" s="17" t="s">
        <v>1538</v>
      </c>
      <c r="C348" s="6">
        <v>1072656830</v>
      </c>
      <c r="D348" s="6">
        <v>3150464421</v>
      </c>
      <c r="E348" s="12" t="s">
        <v>1539</v>
      </c>
      <c r="F348" s="7">
        <v>46048</v>
      </c>
      <c r="G348" s="7">
        <v>46252</v>
      </c>
      <c r="H348" s="8" t="s">
        <v>1540</v>
      </c>
      <c r="I348" s="6" t="s">
        <v>1338</v>
      </c>
      <c r="J348" s="6" t="s">
        <v>115</v>
      </c>
      <c r="K348" s="6" t="s">
        <v>1543</v>
      </c>
      <c r="L348" s="6" t="s">
        <v>1544</v>
      </c>
      <c r="M348" s="6" t="s">
        <v>17</v>
      </c>
      <c r="N348" s="6" t="s">
        <v>44</v>
      </c>
      <c r="O348" t="s">
        <v>125</v>
      </c>
      <c r="P348" s="25" t="s">
        <v>2112</v>
      </c>
    </row>
    <row r="349" spans="1:18" ht="14.4" x14ac:dyDescent="0.3">
      <c r="A349" s="5">
        <v>342</v>
      </c>
      <c r="B349" s="17" t="s">
        <v>1545</v>
      </c>
      <c r="C349" s="6">
        <v>79926309</v>
      </c>
      <c r="D349" s="6">
        <v>3202725249</v>
      </c>
      <c r="E349" s="12" t="s">
        <v>1546</v>
      </c>
      <c r="F349" s="7">
        <v>46030</v>
      </c>
      <c r="G349" s="7">
        <v>46387</v>
      </c>
      <c r="H349" s="8" t="s">
        <v>1547</v>
      </c>
      <c r="I349" s="6" t="s">
        <v>500</v>
      </c>
      <c r="J349" s="6" t="s">
        <v>106</v>
      </c>
      <c r="K349" s="6" t="s">
        <v>276</v>
      </c>
      <c r="L349" s="6" t="s">
        <v>1548</v>
      </c>
      <c r="M349" s="6" t="s">
        <v>17</v>
      </c>
      <c r="N349" s="6" t="s">
        <v>157</v>
      </c>
      <c r="O349" t="s">
        <v>125</v>
      </c>
      <c r="P349" s="25" t="s">
        <v>2112</v>
      </c>
    </row>
    <row r="350" spans="1:18" ht="14.4" x14ac:dyDescent="0.3">
      <c r="A350" s="5">
        <v>343</v>
      </c>
      <c r="B350" s="17" t="s">
        <v>1549</v>
      </c>
      <c r="C350" s="6">
        <v>79652526</v>
      </c>
      <c r="D350" s="6">
        <v>3108160084</v>
      </c>
      <c r="E350" s="6" t="s">
        <v>1550</v>
      </c>
      <c r="F350" s="7">
        <v>46049</v>
      </c>
      <c r="G350" s="7">
        <v>46343</v>
      </c>
      <c r="H350" s="8" t="s">
        <v>1551</v>
      </c>
      <c r="I350" s="6" t="s">
        <v>270</v>
      </c>
      <c r="J350" s="6" t="s">
        <v>115</v>
      </c>
      <c r="K350" s="6" t="s">
        <v>123</v>
      </c>
      <c r="L350" s="6" t="s">
        <v>1552</v>
      </c>
      <c r="M350" s="6" t="s">
        <v>17</v>
      </c>
      <c r="N350" s="6" t="s">
        <v>1553</v>
      </c>
      <c r="O350" t="s">
        <v>125</v>
      </c>
      <c r="P350" s="25" t="s">
        <v>2112</v>
      </c>
    </row>
    <row r="351" spans="1:18" ht="14.4" x14ac:dyDescent="0.3">
      <c r="A351" s="16">
        <v>344</v>
      </c>
      <c r="B351" s="17" t="s">
        <v>1554</v>
      </c>
      <c r="C351" s="6">
        <v>63560810</v>
      </c>
      <c r="D351" s="6">
        <v>3166898811</v>
      </c>
      <c r="E351" s="12" t="s">
        <v>1555</v>
      </c>
      <c r="F351" s="7">
        <v>46030</v>
      </c>
      <c r="G351" s="7">
        <v>46387</v>
      </c>
      <c r="H351" s="8" t="s">
        <v>1556</v>
      </c>
      <c r="I351" s="6" t="s">
        <v>1229</v>
      </c>
      <c r="J351" s="6" t="s">
        <v>143</v>
      </c>
      <c r="K351" s="6" t="s">
        <v>1557</v>
      </c>
      <c r="L351" s="6" t="s">
        <v>1558</v>
      </c>
      <c r="M351" s="6" t="s">
        <v>17</v>
      </c>
      <c r="N351" s="6" t="s">
        <v>238</v>
      </c>
      <c r="O351" t="s">
        <v>125</v>
      </c>
      <c r="P351" s="25" t="s">
        <v>2112</v>
      </c>
    </row>
    <row r="352" spans="1:18" ht="14.4" x14ac:dyDescent="0.3">
      <c r="A352" s="5">
        <v>345</v>
      </c>
      <c r="B352" s="17" t="s">
        <v>1559</v>
      </c>
      <c r="C352" s="17">
        <v>1018466744</v>
      </c>
      <c r="D352" s="17">
        <v>3045210163</v>
      </c>
      <c r="E352" s="23" t="s">
        <v>1560</v>
      </c>
      <c r="F352" s="18">
        <v>46029</v>
      </c>
      <c r="G352" s="18">
        <v>46387</v>
      </c>
      <c r="H352" s="8" t="s">
        <v>1561</v>
      </c>
      <c r="I352" s="6" t="s">
        <v>1562</v>
      </c>
      <c r="J352" s="6" t="s">
        <v>115</v>
      </c>
      <c r="K352" s="17" t="s">
        <v>1563</v>
      </c>
      <c r="L352" s="17" t="s">
        <v>1564</v>
      </c>
      <c r="M352" s="17" t="s">
        <v>17</v>
      </c>
      <c r="N352" s="17" t="s">
        <v>1565</v>
      </c>
      <c r="O352" s="19" t="s">
        <v>125</v>
      </c>
      <c r="P352" s="22" t="s">
        <v>2098</v>
      </c>
      <c r="Q352" s="20"/>
      <c r="R352" s="20"/>
    </row>
    <row r="353" spans="1:18" ht="14.4" x14ac:dyDescent="0.3">
      <c r="A353" s="5">
        <v>346</v>
      </c>
      <c r="B353" s="17" t="s">
        <v>1566</v>
      </c>
      <c r="C353" s="17">
        <v>1018466744</v>
      </c>
      <c r="D353" s="17">
        <v>3045210163</v>
      </c>
      <c r="E353" s="23" t="s">
        <v>1560</v>
      </c>
      <c r="F353" s="18">
        <v>46029</v>
      </c>
      <c r="G353" s="18">
        <v>46387</v>
      </c>
      <c r="H353" s="8" t="s">
        <v>1561</v>
      </c>
      <c r="I353" s="6" t="s">
        <v>1562</v>
      </c>
      <c r="J353" s="6" t="s">
        <v>106</v>
      </c>
      <c r="K353" s="17" t="s">
        <v>1567</v>
      </c>
      <c r="L353" s="17" t="s">
        <v>1568</v>
      </c>
      <c r="M353" s="17" t="s">
        <v>17</v>
      </c>
      <c r="N353" s="17" t="s">
        <v>24</v>
      </c>
      <c r="O353" s="19" t="s">
        <v>125</v>
      </c>
      <c r="P353" s="22" t="s">
        <v>2098</v>
      </c>
      <c r="Q353" s="20"/>
      <c r="R353" s="20"/>
    </row>
    <row r="354" spans="1:18" ht="14.4" x14ac:dyDescent="0.3">
      <c r="A354" s="5">
        <v>347</v>
      </c>
      <c r="B354" s="17" t="s">
        <v>1569</v>
      </c>
      <c r="C354" s="6">
        <v>80075631</v>
      </c>
      <c r="D354" s="6">
        <v>3017960778</v>
      </c>
      <c r="E354" s="12" t="s">
        <v>1570</v>
      </c>
      <c r="F354" s="7">
        <v>46042</v>
      </c>
      <c r="G354" s="7">
        <v>46375</v>
      </c>
      <c r="H354" s="8" t="s">
        <v>1571</v>
      </c>
      <c r="I354" s="6" t="s">
        <v>587</v>
      </c>
      <c r="J354" s="6" t="s">
        <v>115</v>
      </c>
      <c r="K354" s="6" t="s">
        <v>294</v>
      </c>
      <c r="L354" s="6" t="s">
        <v>1572</v>
      </c>
      <c r="M354" s="6" t="s">
        <v>17</v>
      </c>
      <c r="N354" s="6" t="s">
        <v>1258</v>
      </c>
      <c r="O354" t="s">
        <v>125</v>
      </c>
      <c r="P354" s="25" t="s">
        <v>2112</v>
      </c>
    </row>
    <row r="355" spans="1:18" ht="14.4" x14ac:dyDescent="0.3">
      <c r="A355" s="16">
        <v>348</v>
      </c>
      <c r="B355" s="17" t="s">
        <v>1573</v>
      </c>
      <c r="C355" s="6">
        <v>74282260</v>
      </c>
      <c r="D355" s="6">
        <v>3103296374</v>
      </c>
      <c r="E355" s="6" t="s">
        <v>20</v>
      </c>
      <c r="F355" s="7" t="s">
        <v>20</v>
      </c>
      <c r="G355" s="7" t="s">
        <v>20</v>
      </c>
      <c r="H355" s="8" t="s">
        <v>1574</v>
      </c>
      <c r="I355" s="6" t="s">
        <v>270</v>
      </c>
      <c r="J355" s="6" t="s">
        <v>106</v>
      </c>
      <c r="K355" s="6" t="s">
        <v>1575</v>
      </c>
      <c r="L355" s="6" t="s">
        <v>1576</v>
      </c>
      <c r="M355" s="6" t="s">
        <v>17</v>
      </c>
      <c r="N355" s="6" t="s">
        <v>24</v>
      </c>
      <c r="O355" t="s">
        <v>119</v>
      </c>
      <c r="P355" s="25" t="s">
        <v>2112</v>
      </c>
    </row>
    <row r="356" spans="1:18" ht="14.4" x14ac:dyDescent="0.3">
      <c r="A356" s="5">
        <v>349</v>
      </c>
      <c r="B356" s="17" t="s">
        <v>1573</v>
      </c>
      <c r="C356" s="6">
        <v>74282260</v>
      </c>
      <c r="D356" s="6">
        <v>3103296374</v>
      </c>
      <c r="E356" s="6" t="s">
        <v>20</v>
      </c>
      <c r="F356" s="7" t="s">
        <v>20</v>
      </c>
      <c r="G356" s="7" t="s">
        <v>20</v>
      </c>
      <c r="H356" s="8" t="s">
        <v>1574</v>
      </c>
      <c r="I356" s="6" t="s">
        <v>270</v>
      </c>
      <c r="J356" s="6" t="s">
        <v>143</v>
      </c>
      <c r="K356" s="6" t="s">
        <v>1577</v>
      </c>
      <c r="L356" s="6" t="s">
        <v>1578</v>
      </c>
      <c r="M356" s="6" t="s">
        <v>17</v>
      </c>
      <c r="N356" s="6" t="s">
        <v>60</v>
      </c>
      <c r="O356" t="s">
        <v>119</v>
      </c>
      <c r="P356" s="25" t="s">
        <v>2112</v>
      </c>
    </row>
    <row r="357" spans="1:18" ht="14.4" x14ac:dyDescent="0.3">
      <c r="A357" s="5">
        <v>350</v>
      </c>
      <c r="B357" s="17" t="s">
        <v>1579</v>
      </c>
      <c r="C357" s="6">
        <v>80047722</v>
      </c>
      <c r="D357" s="6">
        <v>3902662039</v>
      </c>
      <c r="E357" s="12" t="s">
        <v>1580</v>
      </c>
      <c r="F357" s="7">
        <v>46035</v>
      </c>
      <c r="G357" s="7">
        <v>46387</v>
      </c>
      <c r="H357" s="8" t="s">
        <v>1581</v>
      </c>
      <c r="I357" s="17" t="s">
        <v>299</v>
      </c>
      <c r="J357" s="6" t="s">
        <v>106</v>
      </c>
      <c r="K357" s="6" t="s">
        <v>1422</v>
      </c>
      <c r="L357" s="6" t="s">
        <v>1582</v>
      </c>
      <c r="M357" s="6" t="s">
        <v>17</v>
      </c>
      <c r="N357" s="6" t="s">
        <v>38</v>
      </c>
      <c r="O357" t="s">
        <v>125</v>
      </c>
      <c r="P357" s="25" t="s">
        <v>2112</v>
      </c>
    </row>
    <row r="358" spans="1:18" ht="14.4" x14ac:dyDescent="0.3">
      <c r="A358" s="5">
        <v>351</v>
      </c>
      <c r="B358" s="17" t="s">
        <v>1579</v>
      </c>
      <c r="C358" s="6">
        <v>80047722</v>
      </c>
      <c r="D358" s="6">
        <v>3002662039</v>
      </c>
      <c r="E358" s="12" t="s">
        <v>1580</v>
      </c>
      <c r="F358" s="7">
        <v>46035</v>
      </c>
      <c r="G358" s="7">
        <v>46387</v>
      </c>
      <c r="H358" s="8" t="s">
        <v>1581</v>
      </c>
      <c r="I358" s="17" t="s">
        <v>299</v>
      </c>
      <c r="J358" s="6" t="s">
        <v>115</v>
      </c>
      <c r="K358" s="6" t="s">
        <v>56</v>
      </c>
      <c r="L358" s="6" t="s">
        <v>1583</v>
      </c>
      <c r="M358" s="6" t="s">
        <v>17</v>
      </c>
      <c r="N358" s="6" t="s">
        <v>44</v>
      </c>
      <c r="O358" t="s">
        <v>125</v>
      </c>
      <c r="P358" s="25" t="s">
        <v>2112</v>
      </c>
    </row>
    <row r="359" spans="1:18" ht="14.4" x14ac:dyDescent="0.3">
      <c r="A359" s="16">
        <v>352</v>
      </c>
      <c r="B359" s="17" t="s">
        <v>1569</v>
      </c>
      <c r="C359" s="6">
        <v>80075631</v>
      </c>
      <c r="D359" s="6">
        <v>3017960778</v>
      </c>
      <c r="E359" s="12" t="s">
        <v>1570</v>
      </c>
      <c r="F359" s="7">
        <v>46042</v>
      </c>
      <c r="G359" s="7">
        <v>46375</v>
      </c>
      <c r="H359" s="8" t="s">
        <v>1571</v>
      </c>
      <c r="I359" s="6" t="s">
        <v>587</v>
      </c>
      <c r="J359" s="6" t="s">
        <v>106</v>
      </c>
      <c r="K359" s="6" t="s">
        <v>701</v>
      </c>
      <c r="L359" s="6" t="s">
        <v>1584</v>
      </c>
      <c r="M359" s="6" t="s">
        <v>17</v>
      </c>
      <c r="N359" s="6" t="s">
        <v>24</v>
      </c>
      <c r="O359" t="s">
        <v>125</v>
      </c>
      <c r="P359" s="25" t="s">
        <v>2112</v>
      </c>
    </row>
    <row r="360" spans="1:18" ht="14.4" x14ac:dyDescent="0.3">
      <c r="A360" s="5">
        <v>353</v>
      </c>
      <c r="B360" s="17" t="s">
        <v>1585</v>
      </c>
      <c r="C360" s="6">
        <v>1018431754</v>
      </c>
      <c r="D360" s="6">
        <v>3192887080</v>
      </c>
      <c r="E360" s="6" t="s">
        <v>20</v>
      </c>
      <c r="F360" s="7" t="s">
        <v>20</v>
      </c>
      <c r="G360" s="7" t="s">
        <v>20</v>
      </c>
      <c r="H360" s="8" t="s">
        <v>1586</v>
      </c>
      <c r="I360" s="6" t="s">
        <v>1905</v>
      </c>
      <c r="J360" s="6" t="s">
        <v>106</v>
      </c>
      <c r="K360" s="6" t="s">
        <v>670</v>
      </c>
      <c r="L360" s="6" t="s">
        <v>1587</v>
      </c>
      <c r="M360" s="6" t="s">
        <v>17</v>
      </c>
      <c r="N360" s="6" t="s">
        <v>1588</v>
      </c>
      <c r="O360" t="s">
        <v>119</v>
      </c>
      <c r="P360" s="25" t="s">
        <v>2112</v>
      </c>
    </row>
    <row r="361" spans="1:18" ht="14.4" x14ac:dyDescent="0.3">
      <c r="A361" s="5">
        <v>354</v>
      </c>
      <c r="B361" s="17" t="s">
        <v>1585</v>
      </c>
      <c r="C361" s="6">
        <v>1018431754</v>
      </c>
      <c r="D361" s="6">
        <v>3192887080</v>
      </c>
      <c r="E361" s="6" t="s">
        <v>20</v>
      </c>
      <c r="F361" s="7" t="s">
        <v>20</v>
      </c>
      <c r="G361" s="7" t="s">
        <v>20</v>
      </c>
      <c r="H361" s="8" t="s">
        <v>1586</v>
      </c>
      <c r="I361" s="6" t="s">
        <v>1905</v>
      </c>
      <c r="J361" s="6" t="s">
        <v>115</v>
      </c>
      <c r="K361" s="6" t="s">
        <v>22</v>
      </c>
      <c r="L361" s="6" t="s">
        <v>1589</v>
      </c>
      <c r="M361" s="6" t="s">
        <v>129</v>
      </c>
      <c r="N361" s="6" t="s">
        <v>44</v>
      </c>
      <c r="O361" t="s">
        <v>119</v>
      </c>
      <c r="P361" s="25" t="s">
        <v>2112</v>
      </c>
    </row>
    <row r="362" spans="1:18" ht="14.4" x14ac:dyDescent="0.3">
      <c r="A362" s="5">
        <v>355</v>
      </c>
      <c r="B362" s="17" t="s">
        <v>67</v>
      </c>
      <c r="C362" s="6">
        <v>1015466109</v>
      </c>
      <c r="D362" s="6">
        <v>3057833039</v>
      </c>
      <c r="E362" s="12" t="s">
        <v>68</v>
      </c>
      <c r="F362" s="7">
        <v>46041</v>
      </c>
      <c r="G362" s="7">
        <v>46344</v>
      </c>
      <c r="H362" s="8" t="s">
        <v>1590</v>
      </c>
      <c r="I362" s="6" t="s">
        <v>256</v>
      </c>
      <c r="J362" s="6" t="s">
        <v>106</v>
      </c>
      <c r="K362" s="6" t="s">
        <v>1591</v>
      </c>
      <c r="L362" s="6" t="s">
        <v>1592</v>
      </c>
      <c r="M362" s="6" t="s">
        <v>17</v>
      </c>
      <c r="N362" s="6" t="s">
        <v>177</v>
      </c>
      <c r="O362" t="s">
        <v>125</v>
      </c>
      <c r="P362" s="25" t="s">
        <v>2112</v>
      </c>
    </row>
    <row r="363" spans="1:18" ht="14.4" x14ac:dyDescent="0.3">
      <c r="A363" s="16">
        <v>356</v>
      </c>
      <c r="B363" s="17" t="s">
        <v>1593</v>
      </c>
      <c r="C363" s="6">
        <v>51975445</v>
      </c>
      <c r="D363" s="6">
        <v>3144114734</v>
      </c>
      <c r="E363" s="6" t="s">
        <v>20</v>
      </c>
      <c r="F363" s="7" t="s">
        <v>20</v>
      </c>
      <c r="G363" s="7" t="s">
        <v>20</v>
      </c>
      <c r="H363" s="8" t="s">
        <v>1594</v>
      </c>
      <c r="I363" s="6" t="s">
        <v>270</v>
      </c>
      <c r="J363" s="6" t="s">
        <v>115</v>
      </c>
      <c r="K363" s="6" t="s">
        <v>1595</v>
      </c>
      <c r="L363" s="6" t="s">
        <v>1596</v>
      </c>
      <c r="M363" s="6" t="s">
        <v>17</v>
      </c>
      <c r="N363" s="6" t="s">
        <v>24</v>
      </c>
      <c r="O363" t="s">
        <v>119</v>
      </c>
      <c r="P363" s="25" t="s">
        <v>2112</v>
      </c>
    </row>
    <row r="364" spans="1:18" ht="14.4" x14ac:dyDescent="0.3">
      <c r="A364" s="5">
        <v>357</v>
      </c>
      <c r="B364" s="17" t="s">
        <v>1597</v>
      </c>
      <c r="C364" s="6">
        <v>1075624493</v>
      </c>
      <c r="D364" s="6">
        <v>3178933490</v>
      </c>
      <c r="E364" s="12" t="s">
        <v>1598</v>
      </c>
      <c r="F364" s="7">
        <v>46038</v>
      </c>
      <c r="G364" s="7">
        <v>46387</v>
      </c>
      <c r="H364" s="8" t="s">
        <v>1599</v>
      </c>
      <c r="I364" s="6" t="s">
        <v>500</v>
      </c>
      <c r="J364" s="6" t="s">
        <v>106</v>
      </c>
      <c r="K364" s="6" t="s">
        <v>1600</v>
      </c>
      <c r="L364" s="6" t="s">
        <v>1601</v>
      </c>
      <c r="M364" s="6" t="s">
        <v>17</v>
      </c>
      <c r="N364" s="6" t="s">
        <v>1602</v>
      </c>
      <c r="O364" t="s">
        <v>125</v>
      </c>
      <c r="P364" s="25" t="s">
        <v>2112</v>
      </c>
    </row>
    <row r="365" spans="1:18" ht="14.4" x14ac:dyDescent="0.3">
      <c r="A365" s="5">
        <v>358</v>
      </c>
      <c r="B365" s="17" t="s">
        <v>1597</v>
      </c>
      <c r="C365" s="6">
        <v>1075624493</v>
      </c>
      <c r="D365" s="6">
        <v>3178933490</v>
      </c>
      <c r="E365" s="12" t="s">
        <v>1598</v>
      </c>
      <c r="F365" s="7">
        <v>46038</v>
      </c>
      <c r="G365" s="7">
        <v>46387</v>
      </c>
      <c r="H365" s="8" t="s">
        <v>1599</v>
      </c>
      <c r="I365" s="6" t="s">
        <v>500</v>
      </c>
      <c r="J365" s="6" t="s">
        <v>143</v>
      </c>
      <c r="K365" s="6" t="s">
        <v>1603</v>
      </c>
      <c r="L365" s="6" t="s">
        <v>1604</v>
      </c>
      <c r="M365" s="6" t="s">
        <v>17</v>
      </c>
      <c r="N365" s="6" t="s">
        <v>1605</v>
      </c>
      <c r="O365" t="s">
        <v>125</v>
      </c>
      <c r="P365" s="25" t="s">
        <v>2112</v>
      </c>
    </row>
    <row r="366" spans="1:18" ht="14.4" x14ac:dyDescent="0.3">
      <c r="A366" s="5">
        <v>359</v>
      </c>
      <c r="B366" s="17" t="s">
        <v>1606</v>
      </c>
      <c r="C366" s="6">
        <v>1013577285</v>
      </c>
      <c r="D366" s="6">
        <v>3014438578</v>
      </c>
      <c r="E366" s="12" t="s">
        <v>1607</v>
      </c>
      <c r="F366" s="7">
        <v>46036</v>
      </c>
      <c r="G366" s="7">
        <v>46369</v>
      </c>
      <c r="H366" s="8" t="s">
        <v>1608</v>
      </c>
      <c r="I366" s="6" t="s">
        <v>587</v>
      </c>
      <c r="J366" s="6" t="s">
        <v>106</v>
      </c>
      <c r="K366" s="6" t="s">
        <v>1609</v>
      </c>
      <c r="L366" s="6" t="s">
        <v>1610</v>
      </c>
      <c r="M366" s="6" t="s">
        <v>17</v>
      </c>
      <c r="N366" s="6" t="s">
        <v>24</v>
      </c>
      <c r="O366" t="s">
        <v>125</v>
      </c>
      <c r="P366" s="25" t="s">
        <v>2112</v>
      </c>
    </row>
    <row r="367" spans="1:18" ht="14.4" x14ac:dyDescent="0.3">
      <c r="A367" s="16">
        <v>360</v>
      </c>
      <c r="B367" s="17" t="s">
        <v>1606</v>
      </c>
      <c r="C367" s="6">
        <v>1013577285</v>
      </c>
      <c r="D367" s="6">
        <v>3014438578</v>
      </c>
      <c r="E367" s="12" t="s">
        <v>1607</v>
      </c>
      <c r="F367" s="7">
        <v>46036</v>
      </c>
      <c r="G367" s="7">
        <v>46369</v>
      </c>
      <c r="H367" s="8" t="s">
        <v>1608</v>
      </c>
      <c r="I367" s="6" t="s">
        <v>587</v>
      </c>
      <c r="J367" s="6" t="s">
        <v>143</v>
      </c>
      <c r="K367" s="6" t="s">
        <v>1200</v>
      </c>
      <c r="L367" s="6" t="s">
        <v>1611</v>
      </c>
      <c r="M367" s="6" t="s">
        <v>17</v>
      </c>
      <c r="N367" s="6" t="s">
        <v>248</v>
      </c>
      <c r="O367" t="s">
        <v>125</v>
      </c>
      <c r="P367" s="25" t="s">
        <v>2112</v>
      </c>
    </row>
    <row r="368" spans="1:18" ht="14.4" x14ac:dyDescent="0.3">
      <c r="A368" s="5">
        <v>361</v>
      </c>
      <c r="B368" s="17" t="s">
        <v>1612</v>
      </c>
      <c r="C368" s="6">
        <v>1018437843</v>
      </c>
      <c r="D368" s="6">
        <v>3008072126</v>
      </c>
      <c r="E368" s="12" t="s">
        <v>1613</v>
      </c>
      <c r="F368" s="7">
        <v>46042</v>
      </c>
      <c r="G368" s="7">
        <v>46223</v>
      </c>
      <c r="H368" s="8" t="s">
        <v>1614</v>
      </c>
      <c r="I368" s="6" t="s">
        <v>1041</v>
      </c>
      <c r="J368" s="6" t="s">
        <v>143</v>
      </c>
      <c r="K368" s="6" t="s">
        <v>294</v>
      </c>
      <c r="L368" s="6" t="s">
        <v>1615</v>
      </c>
      <c r="M368" s="6" t="s">
        <v>253</v>
      </c>
      <c r="N368" s="6" t="s">
        <v>60</v>
      </c>
      <c r="O368" t="s">
        <v>125</v>
      </c>
      <c r="P368" s="25" t="s">
        <v>2112</v>
      </c>
    </row>
    <row r="369" spans="1:16" ht="14.4" x14ac:dyDescent="0.3">
      <c r="A369" s="5">
        <v>362</v>
      </c>
      <c r="B369" s="17" t="s">
        <v>1612</v>
      </c>
      <c r="C369" s="6">
        <v>1018437843</v>
      </c>
      <c r="D369" s="6">
        <v>3008072126</v>
      </c>
      <c r="E369" s="12" t="s">
        <v>1613</v>
      </c>
      <c r="F369" s="7">
        <v>46042</v>
      </c>
      <c r="G369" s="7">
        <v>46223</v>
      </c>
      <c r="H369" s="8" t="s">
        <v>1614</v>
      </c>
      <c r="I369" s="6" t="s">
        <v>1041</v>
      </c>
      <c r="J369" s="6" t="s">
        <v>80</v>
      </c>
      <c r="K369" s="6" t="s">
        <v>1616</v>
      </c>
      <c r="L369" s="6" t="s">
        <v>20</v>
      </c>
      <c r="M369" s="6" t="s">
        <v>129</v>
      </c>
      <c r="N369" s="6" t="s">
        <v>44</v>
      </c>
      <c r="O369" t="s">
        <v>125</v>
      </c>
      <c r="P369" s="25" t="s">
        <v>2112</v>
      </c>
    </row>
    <row r="370" spans="1:16" ht="14.4" x14ac:dyDescent="0.3">
      <c r="A370" s="5">
        <v>363</v>
      </c>
      <c r="B370" s="17" t="s">
        <v>1617</v>
      </c>
      <c r="C370" s="6">
        <v>1010196411</v>
      </c>
      <c r="D370" s="6">
        <v>3125945407</v>
      </c>
      <c r="E370" s="12" t="s">
        <v>1618</v>
      </c>
      <c r="F370" s="7">
        <v>46027</v>
      </c>
      <c r="G370" s="7">
        <v>46242</v>
      </c>
      <c r="H370" s="8" t="s">
        <v>1619</v>
      </c>
      <c r="I370" s="6" t="s">
        <v>1843</v>
      </c>
      <c r="J370" s="6" t="s">
        <v>115</v>
      </c>
      <c r="K370" s="6" t="s">
        <v>56</v>
      </c>
      <c r="L370" s="6" t="s">
        <v>1620</v>
      </c>
      <c r="M370" s="6" t="s">
        <v>17</v>
      </c>
      <c r="N370" s="6" t="s">
        <v>44</v>
      </c>
      <c r="O370" t="s">
        <v>125</v>
      </c>
      <c r="P370" s="25" t="s">
        <v>2112</v>
      </c>
    </row>
    <row r="371" spans="1:16" ht="14.4" x14ac:dyDescent="0.3">
      <c r="A371" s="16">
        <v>364</v>
      </c>
      <c r="B371" s="17" t="s">
        <v>1621</v>
      </c>
      <c r="C371" s="6">
        <v>1010196411</v>
      </c>
      <c r="D371" s="6">
        <v>3125945407</v>
      </c>
      <c r="E371" s="12" t="s">
        <v>1618</v>
      </c>
      <c r="F371" s="7">
        <v>46027</v>
      </c>
      <c r="G371" s="7">
        <v>46242</v>
      </c>
      <c r="H371" s="8" t="s">
        <v>1619</v>
      </c>
      <c r="I371" s="6" t="s">
        <v>1843</v>
      </c>
      <c r="J371" s="6" t="s">
        <v>155</v>
      </c>
      <c r="K371" s="6" t="s">
        <v>1622</v>
      </c>
      <c r="L371" s="6" t="s">
        <v>20</v>
      </c>
      <c r="M371" s="6" t="s">
        <v>129</v>
      </c>
      <c r="N371" s="6" t="s">
        <v>24</v>
      </c>
      <c r="O371" t="s">
        <v>125</v>
      </c>
      <c r="P371" s="25" t="s">
        <v>2112</v>
      </c>
    </row>
    <row r="372" spans="1:16" ht="14.4" x14ac:dyDescent="0.3">
      <c r="A372" s="5">
        <v>365</v>
      </c>
      <c r="B372" s="17" t="s">
        <v>1623</v>
      </c>
      <c r="C372" s="6">
        <v>1015466109</v>
      </c>
      <c r="D372" s="6">
        <v>3057833039</v>
      </c>
      <c r="E372" s="12" t="s">
        <v>68</v>
      </c>
      <c r="F372" s="7">
        <v>46041</v>
      </c>
      <c r="G372" s="7">
        <v>46344</v>
      </c>
      <c r="H372" s="8" t="s">
        <v>1590</v>
      </c>
      <c r="I372" s="6" t="s">
        <v>256</v>
      </c>
      <c r="J372" s="6" t="s">
        <v>115</v>
      </c>
      <c r="K372" s="6" t="s">
        <v>1624</v>
      </c>
      <c r="L372" s="6" t="s">
        <v>1625</v>
      </c>
      <c r="M372" s="6" t="s">
        <v>17</v>
      </c>
      <c r="N372" s="6" t="s">
        <v>725</v>
      </c>
      <c r="O372" t="s">
        <v>125</v>
      </c>
      <c r="P372" s="25" t="s">
        <v>2112</v>
      </c>
    </row>
    <row r="373" spans="1:16" ht="14.4" x14ac:dyDescent="0.3">
      <c r="A373" s="5">
        <v>366</v>
      </c>
      <c r="B373" s="17" t="s">
        <v>1626</v>
      </c>
      <c r="C373" s="6">
        <v>1085296515</v>
      </c>
      <c r="D373" s="6">
        <v>3017269448</v>
      </c>
      <c r="E373" s="6" t="s">
        <v>1627</v>
      </c>
      <c r="F373" s="7">
        <v>46036</v>
      </c>
      <c r="G373" s="7">
        <v>46216</v>
      </c>
      <c r="H373" s="8" t="s">
        <v>1628</v>
      </c>
      <c r="I373" s="17" t="s">
        <v>207</v>
      </c>
      <c r="J373" s="6" t="s">
        <v>115</v>
      </c>
      <c r="K373" s="6" t="s">
        <v>1629</v>
      </c>
      <c r="L373" s="6" t="s">
        <v>1630</v>
      </c>
      <c r="M373" s="6" t="s">
        <v>253</v>
      </c>
      <c r="N373" s="6" t="s">
        <v>1171</v>
      </c>
      <c r="O373" t="s">
        <v>125</v>
      </c>
      <c r="P373" s="25" t="s">
        <v>2112</v>
      </c>
    </row>
    <row r="374" spans="1:16" ht="14.4" x14ac:dyDescent="0.3">
      <c r="A374" s="5">
        <v>367</v>
      </c>
      <c r="B374" s="17" t="s">
        <v>1626</v>
      </c>
      <c r="C374" s="6">
        <v>1085296515</v>
      </c>
      <c r="D374" s="6">
        <v>3017269448</v>
      </c>
      <c r="E374" s="6" t="s">
        <v>1627</v>
      </c>
      <c r="F374" s="7">
        <v>46036</v>
      </c>
      <c r="G374" s="7">
        <v>46216</v>
      </c>
      <c r="H374" s="8" t="s">
        <v>1628</v>
      </c>
      <c r="I374" s="17" t="s">
        <v>207</v>
      </c>
      <c r="J374" s="6" t="s">
        <v>155</v>
      </c>
      <c r="K374" s="6" t="s">
        <v>1631</v>
      </c>
      <c r="L374" s="6" t="s">
        <v>20</v>
      </c>
      <c r="M374" s="6" t="s">
        <v>129</v>
      </c>
      <c r="N374" s="6" t="s">
        <v>24</v>
      </c>
      <c r="O374" t="s">
        <v>125</v>
      </c>
      <c r="P374" s="25" t="s">
        <v>2112</v>
      </c>
    </row>
    <row r="375" spans="1:16" ht="14.4" x14ac:dyDescent="0.3">
      <c r="A375" s="16">
        <v>368</v>
      </c>
      <c r="B375" s="17" t="s">
        <v>1632</v>
      </c>
      <c r="C375" s="6">
        <v>52916779</v>
      </c>
      <c r="D375" s="6">
        <v>3102877763</v>
      </c>
      <c r="E375" s="12" t="s">
        <v>1633</v>
      </c>
      <c r="F375" s="7">
        <v>46055</v>
      </c>
      <c r="G375" s="7">
        <v>46387</v>
      </c>
      <c r="H375" s="8" t="s">
        <v>1634</v>
      </c>
      <c r="I375" s="6" t="s">
        <v>500</v>
      </c>
      <c r="J375" s="6" t="s">
        <v>143</v>
      </c>
      <c r="K375" s="6" t="s">
        <v>22</v>
      </c>
      <c r="L375" s="6" t="s">
        <v>1635</v>
      </c>
      <c r="M375" s="6" t="s">
        <v>129</v>
      </c>
      <c r="N375" s="6" t="s">
        <v>66</v>
      </c>
      <c r="O375" t="s">
        <v>125</v>
      </c>
      <c r="P375" s="25" t="s">
        <v>2112</v>
      </c>
    </row>
    <row r="376" spans="1:16" ht="14.4" x14ac:dyDescent="0.3">
      <c r="A376" s="5">
        <v>369</v>
      </c>
      <c r="B376" s="17" t="s">
        <v>1636</v>
      </c>
      <c r="C376" s="6">
        <v>79507738</v>
      </c>
      <c r="D376" s="6">
        <v>3005566126</v>
      </c>
      <c r="E376" s="12" t="s">
        <v>1637</v>
      </c>
      <c r="F376" s="7">
        <v>46031</v>
      </c>
      <c r="G376" s="7">
        <v>46387</v>
      </c>
      <c r="H376" s="8" t="s">
        <v>1638</v>
      </c>
      <c r="I376" s="6" t="s">
        <v>201</v>
      </c>
      <c r="J376" s="6" t="s">
        <v>143</v>
      </c>
      <c r="K376" s="6" t="s">
        <v>1639</v>
      </c>
      <c r="L376" s="6" t="s">
        <v>1640</v>
      </c>
      <c r="M376" s="6" t="s">
        <v>17</v>
      </c>
      <c r="N376" s="6" t="s">
        <v>166</v>
      </c>
      <c r="O376" t="s">
        <v>125</v>
      </c>
      <c r="P376" s="25" t="s">
        <v>2112</v>
      </c>
    </row>
    <row r="377" spans="1:16" ht="14.4" x14ac:dyDescent="0.3">
      <c r="A377" s="5">
        <v>370</v>
      </c>
      <c r="B377" s="17" t="s">
        <v>1641</v>
      </c>
      <c r="C377" s="6">
        <v>79645809</v>
      </c>
      <c r="D377" s="6">
        <v>3212563770</v>
      </c>
      <c r="E377" s="12" t="s">
        <v>1642</v>
      </c>
      <c r="F377" s="7">
        <v>46041</v>
      </c>
      <c r="G377" s="7">
        <v>46387</v>
      </c>
      <c r="H377" s="8" t="s">
        <v>1643</v>
      </c>
      <c r="I377" s="6" t="s">
        <v>325</v>
      </c>
      <c r="J377" s="6" t="s">
        <v>143</v>
      </c>
      <c r="K377" s="6" t="s">
        <v>164</v>
      </c>
      <c r="L377" s="6" t="s">
        <v>1644</v>
      </c>
      <c r="M377" s="6" t="s">
        <v>17</v>
      </c>
      <c r="N377" s="6" t="s">
        <v>52</v>
      </c>
      <c r="O377" t="s">
        <v>125</v>
      </c>
      <c r="P377" s="25" t="s">
        <v>2112</v>
      </c>
    </row>
    <row r="378" spans="1:16" ht="14.4" x14ac:dyDescent="0.3">
      <c r="A378" s="5">
        <v>371</v>
      </c>
      <c r="B378" s="17" t="s">
        <v>1641</v>
      </c>
      <c r="C378" s="6">
        <v>79645809</v>
      </c>
      <c r="D378" s="6">
        <v>3212563770</v>
      </c>
      <c r="E378" s="12" t="s">
        <v>1642</v>
      </c>
      <c r="F378" s="7">
        <v>46041</v>
      </c>
      <c r="G378" s="7">
        <v>46387</v>
      </c>
      <c r="H378" s="8" t="s">
        <v>1643</v>
      </c>
      <c r="I378" s="6" t="s">
        <v>325</v>
      </c>
      <c r="J378" s="6" t="s">
        <v>106</v>
      </c>
      <c r="K378" s="6" t="s">
        <v>276</v>
      </c>
      <c r="L378" s="6" t="s">
        <v>1645</v>
      </c>
      <c r="M378" s="6" t="s">
        <v>17</v>
      </c>
      <c r="N378" s="6" t="s">
        <v>1646</v>
      </c>
      <c r="O378" t="s">
        <v>125</v>
      </c>
      <c r="P378" s="25" t="s">
        <v>2112</v>
      </c>
    </row>
    <row r="379" spans="1:16" ht="14.4" x14ac:dyDescent="0.3">
      <c r="A379" s="16">
        <v>372</v>
      </c>
      <c r="B379" s="17" t="s">
        <v>1641</v>
      </c>
      <c r="C379" s="6">
        <v>79645809</v>
      </c>
      <c r="D379" s="6">
        <v>3212563770</v>
      </c>
      <c r="E379" s="12" t="s">
        <v>1642</v>
      </c>
      <c r="F379" s="7">
        <v>46041</v>
      </c>
      <c r="G379" s="7">
        <v>46387</v>
      </c>
      <c r="H379" s="8" t="s">
        <v>1643</v>
      </c>
      <c r="I379" s="6" t="s">
        <v>325</v>
      </c>
      <c r="J379" s="6" t="s">
        <v>80</v>
      </c>
      <c r="K379" s="6" t="s">
        <v>1647</v>
      </c>
      <c r="L379" s="6" t="s">
        <v>20</v>
      </c>
      <c r="M379" s="6" t="s">
        <v>80</v>
      </c>
      <c r="N379" s="6" t="s">
        <v>18</v>
      </c>
      <c r="O379" t="s">
        <v>125</v>
      </c>
      <c r="P379" s="25" t="s">
        <v>2112</v>
      </c>
    </row>
    <row r="380" spans="1:16" ht="14.4" x14ac:dyDescent="0.3">
      <c r="A380" s="5">
        <v>373</v>
      </c>
      <c r="B380" s="17" t="s">
        <v>1549</v>
      </c>
      <c r="C380" s="6">
        <v>79652526</v>
      </c>
      <c r="D380" s="6">
        <v>3108160084</v>
      </c>
      <c r="E380" s="6" t="s">
        <v>1550</v>
      </c>
      <c r="F380" s="7">
        <v>46045</v>
      </c>
      <c r="G380" s="7">
        <v>46348</v>
      </c>
      <c r="H380" s="8" t="s">
        <v>1551</v>
      </c>
      <c r="I380" s="6" t="s">
        <v>270</v>
      </c>
      <c r="J380" s="6" t="s">
        <v>106</v>
      </c>
      <c r="K380" s="6" t="s">
        <v>805</v>
      </c>
      <c r="L380" s="6" t="s">
        <v>1648</v>
      </c>
      <c r="M380" s="6" t="s">
        <v>17</v>
      </c>
      <c r="N380" s="6" t="s">
        <v>24</v>
      </c>
      <c r="O380" t="s">
        <v>125</v>
      </c>
      <c r="P380" s="25" t="s">
        <v>2112</v>
      </c>
    </row>
    <row r="381" spans="1:16" ht="14.4" x14ac:dyDescent="0.3">
      <c r="A381" s="5">
        <v>374</v>
      </c>
      <c r="B381" s="17" t="s">
        <v>1649</v>
      </c>
      <c r="C381" s="6">
        <v>79652526</v>
      </c>
      <c r="D381" s="6">
        <v>3108160084</v>
      </c>
      <c r="E381" s="6" t="s">
        <v>1550</v>
      </c>
      <c r="F381" s="7">
        <v>46045</v>
      </c>
      <c r="G381" s="7">
        <v>46348</v>
      </c>
      <c r="H381" s="8" t="s">
        <v>1551</v>
      </c>
      <c r="I381" s="6" t="s">
        <v>270</v>
      </c>
      <c r="J381" s="6" t="s">
        <v>80</v>
      </c>
      <c r="K381" s="6" t="s">
        <v>1650</v>
      </c>
      <c r="L381" s="6" t="s">
        <v>20</v>
      </c>
      <c r="M381" s="6" t="s">
        <v>80</v>
      </c>
      <c r="N381" s="6" t="s">
        <v>134</v>
      </c>
      <c r="O381" t="s">
        <v>125</v>
      </c>
      <c r="P381" s="25" t="s">
        <v>2112</v>
      </c>
    </row>
    <row r="382" spans="1:16" ht="14.4" x14ac:dyDescent="0.3">
      <c r="A382" s="5">
        <v>375</v>
      </c>
      <c r="B382" s="17" t="s">
        <v>1651</v>
      </c>
      <c r="C382" s="6">
        <v>1014307682</v>
      </c>
      <c r="D382" s="6">
        <v>3044372347</v>
      </c>
      <c r="E382" s="6" t="s">
        <v>1652</v>
      </c>
      <c r="F382" s="7">
        <v>46042</v>
      </c>
      <c r="G382" s="7">
        <v>46387</v>
      </c>
      <c r="H382" s="8" t="s">
        <v>1653</v>
      </c>
      <c r="I382" s="6" t="s">
        <v>201</v>
      </c>
      <c r="J382" s="6" t="s">
        <v>115</v>
      </c>
      <c r="K382" s="6" t="s">
        <v>1333</v>
      </c>
      <c r="L382" s="6" t="s">
        <v>1654</v>
      </c>
      <c r="M382" s="6" t="s">
        <v>17</v>
      </c>
      <c r="N382" s="6" t="s">
        <v>44</v>
      </c>
      <c r="O382" t="s">
        <v>125</v>
      </c>
      <c r="P382" s="25" t="s">
        <v>2112</v>
      </c>
    </row>
    <row r="383" spans="1:16" ht="14.4" x14ac:dyDescent="0.3">
      <c r="A383" s="16">
        <v>376</v>
      </c>
      <c r="B383" s="17" t="s">
        <v>1655</v>
      </c>
      <c r="C383" s="6">
        <v>1023010822</v>
      </c>
      <c r="D383" s="6">
        <v>3195746054</v>
      </c>
      <c r="E383" s="6" t="s">
        <v>1656</v>
      </c>
      <c r="F383" s="7">
        <v>46055</v>
      </c>
      <c r="G383" s="7">
        <v>46387</v>
      </c>
      <c r="H383" s="8" t="s">
        <v>1657</v>
      </c>
      <c r="I383" s="6" t="s">
        <v>500</v>
      </c>
      <c r="J383" s="6" t="s">
        <v>143</v>
      </c>
      <c r="K383" s="6" t="s">
        <v>214</v>
      </c>
      <c r="L383" s="6" t="s">
        <v>1658</v>
      </c>
      <c r="M383" s="6" t="s">
        <v>17</v>
      </c>
      <c r="N383" s="6" t="s">
        <v>1083</v>
      </c>
      <c r="O383" t="s">
        <v>125</v>
      </c>
      <c r="P383" s="25" t="s">
        <v>2112</v>
      </c>
    </row>
    <row r="384" spans="1:16" ht="14.4" x14ac:dyDescent="0.3">
      <c r="A384" s="5">
        <v>377</v>
      </c>
      <c r="B384" s="17" t="s">
        <v>19</v>
      </c>
      <c r="C384" s="6">
        <v>79751974</v>
      </c>
      <c r="D384" s="6">
        <v>3108061470</v>
      </c>
      <c r="E384" s="6" t="s">
        <v>20</v>
      </c>
      <c r="F384" s="7" t="s">
        <v>20</v>
      </c>
      <c r="G384" s="7" t="s">
        <v>20</v>
      </c>
      <c r="H384" s="8" t="s">
        <v>21</v>
      </c>
      <c r="I384" s="6" t="s">
        <v>434</v>
      </c>
      <c r="J384" s="6" t="s">
        <v>143</v>
      </c>
      <c r="K384" s="6" t="s">
        <v>132</v>
      </c>
      <c r="L384" s="6" t="s">
        <v>1659</v>
      </c>
      <c r="M384" s="6" t="s">
        <v>17</v>
      </c>
      <c r="N384" s="6" t="s">
        <v>30</v>
      </c>
      <c r="O384" t="s">
        <v>119</v>
      </c>
      <c r="P384" s="25" t="s">
        <v>2112</v>
      </c>
    </row>
    <row r="385" spans="1:16" ht="14.4" x14ac:dyDescent="0.3">
      <c r="A385" s="5">
        <v>378</v>
      </c>
      <c r="B385" s="17" t="s">
        <v>1660</v>
      </c>
      <c r="C385" s="6">
        <v>79334791</v>
      </c>
      <c r="D385" s="6">
        <v>3105537440</v>
      </c>
      <c r="E385" s="6" t="s">
        <v>20</v>
      </c>
      <c r="F385" s="7" t="s">
        <v>20</v>
      </c>
      <c r="G385" s="7" t="s">
        <v>20</v>
      </c>
      <c r="H385" s="8" t="s">
        <v>1661</v>
      </c>
      <c r="I385" s="6" t="s">
        <v>434</v>
      </c>
      <c r="J385" s="6" t="s">
        <v>115</v>
      </c>
      <c r="K385" s="6" t="s">
        <v>1662</v>
      </c>
      <c r="L385" s="6" t="s">
        <v>1663</v>
      </c>
      <c r="M385" s="6" t="s">
        <v>17</v>
      </c>
      <c r="N385" s="6" t="s">
        <v>18</v>
      </c>
      <c r="O385" s="10" t="s">
        <v>119</v>
      </c>
      <c r="P385" s="25" t="s">
        <v>2112</v>
      </c>
    </row>
    <row r="386" spans="1:16" ht="14.4" x14ac:dyDescent="0.3">
      <c r="A386" s="5">
        <v>379</v>
      </c>
      <c r="B386" s="17" t="s">
        <v>1569</v>
      </c>
      <c r="C386" s="6">
        <v>80075631</v>
      </c>
      <c r="D386" s="6">
        <v>3017960778</v>
      </c>
      <c r="E386" s="12" t="s">
        <v>1570</v>
      </c>
      <c r="F386" s="7">
        <v>46042</v>
      </c>
      <c r="G386" s="7">
        <v>46375</v>
      </c>
      <c r="H386" s="8" t="s">
        <v>1571</v>
      </c>
      <c r="I386" s="6" t="s">
        <v>587</v>
      </c>
      <c r="J386" s="6" t="s">
        <v>80</v>
      </c>
      <c r="K386" s="6" t="s">
        <v>550</v>
      </c>
      <c r="L386" s="6" t="s">
        <v>20</v>
      </c>
      <c r="M386" s="6" t="s">
        <v>80</v>
      </c>
      <c r="N386" s="6" t="s">
        <v>1664</v>
      </c>
      <c r="O386" t="s">
        <v>125</v>
      </c>
      <c r="P386" s="25" t="s">
        <v>2112</v>
      </c>
    </row>
    <row r="387" spans="1:16" ht="14.4" x14ac:dyDescent="0.3">
      <c r="A387" s="16">
        <v>380</v>
      </c>
      <c r="B387" s="17" t="s">
        <v>1665</v>
      </c>
      <c r="C387" s="6">
        <v>79553690</v>
      </c>
      <c r="D387" s="6">
        <v>3164725782</v>
      </c>
      <c r="E387" s="6" t="s">
        <v>20</v>
      </c>
      <c r="F387" s="7" t="s">
        <v>20</v>
      </c>
      <c r="G387" s="7" t="s">
        <v>20</v>
      </c>
      <c r="H387" s="8" t="s">
        <v>1666</v>
      </c>
      <c r="I387" s="17" t="s">
        <v>1667</v>
      </c>
      <c r="J387" s="6" t="s">
        <v>115</v>
      </c>
      <c r="K387" s="6" t="s">
        <v>1668</v>
      </c>
      <c r="L387" s="6" t="s">
        <v>1669</v>
      </c>
      <c r="M387" s="6" t="s">
        <v>129</v>
      </c>
      <c r="N387" s="6" t="s">
        <v>38</v>
      </c>
      <c r="O387" t="s">
        <v>119</v>
      </c>
      <c r="P387" s="25" t="s">
        <v>2112</v>
      </c>
    </row>
    <row r="388" spans="1:16" ht="14.4" x14ac:dyDescent="0.3">
      <c r="A388" s="5">
        <v>381</v>
      </c>
      <c r="B388" s="17" t="s">
        <v>1665</v>
      </c>
      <c r="C388" s="6">
        <v>79553690</v>
      </c>
      <c r="D388" s="6">
        <v>3164725782</v>
      </c>
      <c r="E388" s="6" t="s">
        <v>20</v>
      </c>
      <c r="F388" s="7" t="s">
        <v>20</v>
      </c>
      <c r="G388" s="7" t="s">
        <v>20</v>
      </c>
      <c r="H388" s="8" t="s">
        <v>1666</v>
      </c>
      <c r="I388" s="17" t="s">
        <v>1667</v>
      </c>
      <c r="J388" s="6" t="s">
        <v>115</v>
      </c>
      <c r="K388" s="6" t="s">
        <v>1374</v>
      </c>
      <c r="L388" s="6" t="s">
        <v>1670</v>
      </c>
      <c r="M388" s="6" t="s">
        <v>129</v>
      </c>
      <c r="N388" s="6" t="s">
        <v>66</v>
      </c>
      <c r="O388" t="s">
        <v>119</v>
      </c>
      <c r="P388" s="25" t="s">
        <v>2112</v>
      </c>
    </row>
    <row r="389" spans="1:16" ht="14.4" x14ac:dyDescent="0.3">
      <c r="A389" s="5">
        <v>382</v>
      </c>
      <c r="B389" s="17" t="s">
        <v>1458</v>
      </c>
      <c r="C389" s="6">
        <v>79941715</v>
      </c>
      <c r="D389" s="6">
        <v>3002063453</v>
      </c>
      <c r="E389" s="6" t="s">
        <v>1459</v>
      </c>
      <c r="F389" s="7">
        <v>46038</v>
      </c>
      <c r="G389" s="7">
        <v>46387</v>
      </c>
      <c r="H389" s="8" t="s">
        <v>1460</v>
      </c>
      <c r="I389" s="6" t="s">
        <v>201</v>
      </c>
      <c r="J389" s="6" t="s">
        <v>115</v>
      </c>
      <c r="K389" s="6" t="s">
        <v>123</v>
      </c>
      <c r="L389" s="6" t="s">
        <v>1671</v>
      </c>
      <c r="M389" s="6" t="s">
        <v>17</v>
      </c>
      <c r="N389" s="6" t="s">
        <v>24</v>
      </c>
      <c r="O389" t="s">
        <v>125</v>
      </c>
      <c r="P389" s="25" t="s">
        <v>2112</v>
      </c>
    </row>
    <row r="390" spans="1:16" ht="14.4" x14ac:dyDescent="0.3">
      <c r="A390" s="5">
        <v>383</v>
      </c>
      <c r="B390" s="17" t="s">
        <v>1672</v>
      </c>
      <c r="C390" s="6">
        <v>79756400</v>
      </c>
      <c r="D390" s="6">
        <v>3505400355</v>
      </c>
      <c r="E390" s="6" t="s">
        <v>2104</v>
      </c>
      <c r="F390" s="7">
        <v>46106</v>
      </c>
      <c r="G390" s="7">
        <v>46387</v>
      </c>
      <c r="H390" s="8" t="s">
        <v>1673</v>
      </c>
      <c r="I390" s="6" t="s">
        <v>1338</v>
      </c>
      <c r="J390" s="6" t="s">
        <v>143</v>
      </c>
      <c r="K390" s="6" t="s">
        <v>58</v>
      </c>
      <c r="L390" s="6" t="s">
        <v>1674</v>
      </c>
      <c r="M390" s="6" t="s">
        <v>17</v>
      </c>
      <c r="N390" s="6" t="s">
        <v>60</v>
      </c>
      <c r="O390" t="s">
        <v>125</v>
      </c>
      <c r="P390" s="25" t="s">
        <v>2112</v>
      </c>
    </row>
    <row r="391" spans="1:16" ht="14.4" x14ac:dyDescent="0.3">
      <c r="A391" s="16">
        <v>384</v>
      </c>
      <c r="B391" s="17" t="s">
        <v>1675</v>
      </c>
      <c r="C391" s="6">
        <v>80135858</v>
      </c>
      <c r="D391" s="6">
        <v>3138863236</v>
      </c>
      <c r="E391" s="6" t="s">
        <v>1676</v>
      </c>
      <c r="F391" s="7">
        <v>46031</v>
      </c>
      <c r="G391" s="7">
        <v>46387</v>
      </c>
      <c r="H391" s="8" t="s">
        <v>1677</v>
      </c>
      <c r="I391" s="17" t="s">
        <v>299</v>
      </c>
      <c r="J391" s="6" t="s">
        <v>143</v>
      </c>
      <c r="K391" s="6" t="s">
        <v>1678</v>
      </c>
      <c r="L391" s="6" t="s">
        <v>1679</v>
      </c>
      <c r="M391" s="6" t="s">
        <v>129</v>
      </c>
      <c r="N391" s="6" t="s">
        <v>1680</v>
      </c>
      <c r="O391" t="s">
        <v>125</v>
      </c>
      <c r="P391" s="25" t="s">
        <v>2112</v>
      </c>
    </row>
    <row r="392" spans="1:16" ht="14.4" x14ac:dyDescent="0.3">
      <c r="A392" s="5">
        <v>385</v>
      </c>
      <c r="B392" s="17" t="s">
        <v>1681</v>
      </c>
      <c r="C392" s="6">
        <v>79841486</v>
      </c>
      <c r="D392" s="6">
        <v>3118912104</v>
      </c>
      <c r="E392" s="6" t="s">
        <v>1682</v>
      </c>
      <c r="F392" s="7">
        <v>46045</v>
      </c>
      <c r="G392" s="7">
        <v>46225</v>
      </c>
      <c r="H392" s="8" t="s">
        <v>1683</v>
      </c>
      <c r="I392" s="17" t="s">
        <v>1041</v>
      </c>
      <c r="J392" s="6" t="s">
        <v>115</v>
      </c>
      <c r="K392" s="6" t="s">
        <v>304</v>
      </c>
      <c r="L392" s="6" t="s">
        <v>1684</v>
      </c>
      <c r="M392" s="6" t="s">
        <v>17</v>
      </c>
      <c r="N392" s="6" t="s">
        <v>34</v>
      </c>
      <c r="O392" t="s">
        <v>125</v>
      </c>
      <c r="P392" s="25" t="s">
        <v>2112</v>
      </c>
    </row>
    <row r="393" spans="1:16" ht="14.4" x14ac:dyDescent="0.3">
      <c r="A393" s="5">
        <v>386</v>
      </c>
      <c r="B393" s="17" t="s">
        <v>1685</v>
      </c>
      <c r="C393" s="6">
        <v>79316881</v>
      </c>
      <c r="D393" s="6">
        <v>3158688113</v>
      </c>
      <c r="E393" s="6" t="s">
        <v>740</v>
      </c>
      <c r="F393" s="7">
        <v>46044</v>
      </c>
      <c r="G393" s="7">
        <v>46387</v>
      </c>
      <c r="H393" s="8" t="s">
        <v>1686</v>
      </c>
      <c r="I393" s="6" t="s">
        <v>434</v>
      </c>
      <c r="J393" s="6" t="s">
        <v>115</v>
      </c>
      <c r="K393" s="6" t="s">
        <v>1465</v>
      </c>
      <c r="L393" s="6" t="s">
        <v>1687</v>
      </c>
      <c r="M393" s="6" t="s">
        <v>17</v>
      </c>
      <c r="N393" s="6" t="s">
        <v>60</v>
      </c>
      <c r="O393" t="s">
        <v>125</v>
      </c>
      <c r="P393" s="25" t="s">
        <v>2112</v>
      </c>
    </row>
    <row r="394" spans="1:16" ht="14.4" x14ac:dyDescent="0.3">
      <c r="A394" s="5">
        <v>387</v>
      </c>
      <c r="B394" s="17" t="s">
        <v>1688</v>
      </c>
      <c r="C394" s="6">
        <v>80202549</v>
      </c>
      <c r="D394" s="6">
        <v>3147420641</v>
      </c>
      <c r="E394" s="6" t="s">
        <v>1689</v>
      </c>
      <c r="F394" s="7">
        <v>46050</v>
      </c>
      <c r="G394" s="7">
        <v>46387</v>
      </c>
      <c r="H394" s="8" t="s">
        <v>1690</v>
      </c>
      <c r="I394" s="6" t="s">
        <v>201</v>
      </c>
      <c r="J394" s="6" t="s">
        <v>143</v>
      </c>
      <c r="K394" s="6" t="s">
        <v>75</v>
      </c>
      <c r="L394" s="6" t="s">
        <v>1691</v>
      </c>
      <c r="M394" s="6" t="s">
        <v>17</v>
      </c>
      <c r="N394" s="6" t="s">
        <v>60</v>
      </c>
      <c r="O394" t="s">
        <v>125</v>
      </c>
      <c r="P394" s="25" t="s">
        <v>2112</v>
      </c>
    </row>
    <row r="395" spans="1:16" ht="14.4" x14ac:dyDescent="0.3">
      <c r="A395" s="16">
        <v>388</v>
      </c>
      <c r="B395" s="17" t="s">
        <v>1692</v>
      </c>
      <c r="C395" s="6">
        <v>1110466592</v>
      </c>
      <c r="D395" s="6">
        <v>3013380694</v>
      </c>
      <c r="E395" s="6" t="s">
        <v>1693</v>
      </c>
      <c r="F395" s="7">
        <v>46035</v>
      </c>
      <c r="G395" s="7">
        <v>46387</v>
      </c>
      <c r="H395" s="8" t="s">
        <v>1694</v>
      </c>
      <c r="I395" s="6" t="s">
        <v>500</v>
      </c>
      <c r="J395" s="6" t="s">
        <v>143</v>
      </c>
      <c r="K395" s="6" t="s">
        <v>64</v>
      </c>
      <c r="L395" s="6" t="s">
        <v>1695</v>
      </c>
      <c r="M395" s="6" t="s">
        <v>253</v>
      </c>
      <c r="N395" s="6" t="s">
        <v>66</v>
      </c>
      <c r="O395" t="s">
        <v>125</v>
      </c>
      <c r="P395" s="25" t="s">
        <v>2112</v>
      </c>
    </row>
    <row r="396" spans="1:16" ht="14.4" x14ac:dyDescent="0.3">
      <c r="A396" s="5">
        <v>389</v>
      </c>
      <c r="B396" s="17" t="s">
        <v>1696</v>
      </c>
      <c r="C396" s="6">
        <v>19272805</v>
      </c>
      <c r="D396" s="6">
        <v>3124177877</v>
      </c>
      <c r="E396" s="6" t="s">
        <v>20</v>
      </c>
      <c r="F396" s="7" t="s">
        <v>20</v>
      </c>
      <c r="G396" s="7" t="s">
        <v>20</v>
      </c>
      <c r="H396" s="8" t="s">
        <v>1697</v>
      </c>
      <c r="I396" s="6" t="s">
        <v>1698</v>
      </c>
      <c r="J396" s="6" t="s">
        <v>143</v>
      </c>
      <c r="K396" s="6" t="s">
        <v>491</v>
      </c>
      <c r="L396" s="6" t="s">
        <v>1699</v>
      </c>
      <c r="M396" s="6" t="s">
        <v>17</v>
      </c>
      <c r="N396" s="6" t="s">
        <v>66</v>
      </c>
      <c r="O396" t="s">
        <v>1280</v>
      </c>
      <c r="P396" s="25" t="s">
        <v>2112</v>
      </c>
    </row>
    <row r="397" spans="1:16" ht="14.4" x14ac:dyDescent="0.3">
      <c r="A397" s="5">
        <v>390</v>
      </c>
      <c r="B397" s="17" t="s">
        <v>1700</v>
      </c>
      <c r="C397" s="6">
        <v>52308946</v>
      </c>
      <c r="D397" s="6">
        <v>3228970040</v>
      </c>
      <c r="E397" s="6" t="s">
        <v>20</v>
      </c>
      <c r="F397" s="7" t="s">
        <v>20</v>
      </c>
      <c r="G397" s="7" t="s">
        <v>20</v>
      </c>
      <c r="H397" s="8" t="s">
        <v>1701</v>
      </c>
      <c r="I397" s="6" t="s">
        <v>1702</v>
      </c>
      <c r="J397" s="6" t="s">
        <v>106</v>
      </c>
      <c r="K397" s="6" t="s">
        <v>1703</v>
      </c>
      <c r="L397" s="6" t="s">
        <v>1704</v>
      </c>
      <c r="M397" s="6" t="s">
        <v>17</v>
      </c>
      <c r="N397" s="6" t="s">
        <v>18</v>
      </c>
      <c r="O397" t="s">
        <v>1280</v>
      </c>
      <c r="P397" s="25" t="s">
        <v>2112</v>
      </c>
    </row>
    <row r="398" spans="1:16" ht="14.4" x14ac:dyDescent="0.3">
      <c r="A398" s="5">
        <v>391</v>
      </c>
      <c r="B398" s="17" t="s">
        <v>1705</v>
      </c>
      <c r="C398" s="6">
        <v>1031166153</v>
      </c>
      <c r="D398" s="6">
        <v>3044630215</v>
      </c>
      <c r="E398" s="6" t="s">
        <v>20</v>
      </c>
      <c r="F398" s="7" t="s">
        <v>20</v>
      </c>
      <c r="G398" s="7" t="s">
        <v>20</v>
      </c>
      <c r="H398" s="8" t="s">
        <v>1706</v>
      </c>
      <c r="I398" s="6" t="s">
        <v>1702</v>
      </c>
      <c r="J398" s="6" t="s">
        <v>106</v>
      </c>
      <c r="K398" s="6" t="s">
        <v>1707</v>
      </c>
      <c r="L398" s="6" t="s">
        <v>1708</v>
      </c>
      <c r="M398" s="6" t="s">
        <v>17</v>
      </c>
      <c r="N398" s="6" t="s">
        <v>18</v>
      </c>
      <c r="O398" t="s">
        <v>1280</v>
      </c>
      <c r="P398" s="25" t="s">
        <v>2112</v>
      </c>
    </row>
    <row r="399" spans="1:16" ht="14.4" x14ac:dyDescent="0.3">
      <c r="A399" s="16">
        <v>392</v>
      </c>
      <c r="B399" s="17" t="s">
        <v>1709</v>
      </c>
      <c r="C399" s="6">
        <v>91523898</v>
      </c>
      <c r="D399" s="6">
        <v>3166972207</v>
      </c>
      <c r="E399" s="6" t="s">
        <v>20</v>
      </c>
      <c r="F399" s="7" t="s">
        <v>20</v>
      </c>
      <c r="G399" s="7" t="s">
        <v>20</v>
      </c>
      <c r="H399" s="8" t="s">
        <v>1710</v>
      </c>
      <c r="I399" s="6" t="s">
        <v>1698</v>
      </c>
      <c r="J399" s="6" t="s">
        <v>143</v>
      </c>
      <c r="K399" s="6" t="s">
        <v>64</v>
      </c>
      <c r="L399" s="6" t="s">
        <v>1711</v>
      </c>
      <c r="M399" s="6" t="s">
        <v>17</v>
      </c>
      <c r="N399" s="6" t="s">
        <v>60</v>
      </c>
      <c r="O399" t="s">
        <v>1280</v>
      </c>
      <c r="P399" s="25" t="s">
        <v>2112</v>
      </c>
    </row>
    <row r="400" spans="1:16" ht="14.4" x14ac:dyDescent="0.3">
      <c r="A400" s="5">
        <v>393</v>
      </c>
      <c r="B400" s="17" t="s">
        <v>1521</v>
      </c>
      <c r="C400" s="6">
        <v>32798171</v>
      </c>
      <c r="D400" s="6">
        <v>3212596174</v>
      </c>
      <c r="E400" s="6" t="s">
        <v>20</v>
      </c>
      <c r="F400" s="7" t="s">
        <v>20</v>
      </c>
      <c r="G400" s="7" t="s">
        <v>20</v>
      </c>
      <c r="H400" s="8" t="s">
        <v>1522</v>
      </c>
      <c r="I400" s="6" t="s">
        <v>270</v>
      </c>
      <c r="J400" s="6" t="s">
        <v>115</v>
      </c>
      <c r="K400" s="6" t="s">
        <v>22</v>
      </c>
      <c r="L400" s="6" t="s">
        <v>1712</v>
      </c>
      <c r="M400" s="6" t="s">
        <v>129</v>
      </c>
      <c r="N400" s="6" t="s">
        <v>66</v>
      </c>
      <c r="O400" t="s">
        <v>119</v>
      </c>
      <c r="P400" s="25" t="s">
        <v>2112</v>
      </c>
    </row>
    <row r="401" spans="1:18" ht="14.4" x14ac:dyDescent="0.3">
      <c r="A401" s="5">
        <v>394</v>
      </c>
      <c r="B401" s="17" t="s">
        <v>1713</v>
      </c>
      <c r="C401" s="6">
        <v>52963778</v>
      </c>
      <c r="D401" s="6">
        <v>3118530471</v>
      </c>
      <c r="E401" s="6" t="s">
        <v>1714</v>
      </c>
      <c r="F401" s="7">
        <v>46031</v>
      </c>
      <c r="G401" s="7">
        <v>46387</v>
      </c>
      <c r="H401" s="8" t="s">
        <v>1715</v>
      </c>
      <c r="I401" s="6" t="s">
        <v>1716</v>
      </c>
      <c r="J401" s="6" t="s">
        <v>143</v>
      </c>
      <c r="K401" s="6" t="s">
        <v>1717</v>
      </c>
      <c r="L401" s="6" t="s">
        <v>1718</v>
      </c>
      <c r="M401" s="6" t="s">
        <v>17</v>
      </c>
      <c r="N401" s="6" t="s">
        <v>1021</v>
      </c>
      <c r="O401" t="s">
        <v>125</v>
      </c>
      <c r="P401" s="25" t="s">
        <v>2112</v>
      </c>
    </row>
    <row r="402" spans="1:18" ht="14.4" x14ac:dyDescent="0.3">
      <c r="A402" s="5">
        <v>395</v>
      </c>
      <c r="B402" s="17" t="s">
        <v>1719</v>
      </c>
      <c r="C402" s="6">
        <v>79690499</v>
      </c>
      <c r="D402" s="6">
        <v>3208448671</v>
      </c>
      <c r="E402" s="6" t="s">
        <v>1720</v>
      </c>
      <c r="F402" s="7">
        <v>46037</v>
      </c>
      <c r="G402" s="7">
        <v>46387</v>
      </c>
      <c r="H402" s="8" t="s">
        <v>1721</v>
      </c>
      <c r="I402" s="6" t="s">
        <v>201</v>
      </c>
      <c r="J402" s="6" t="s">
        <v>115</v>
      </c>
      <c r="K402" s="6" t="s">
        <v>1019</v>
      </c>
      <c r="L402" s="6" t="s">
        <v>1722</v>
      </c>
      <c r="M402" s="6" t="s">
        <v>17</v>
      </c>
      <c r="N402" s="6" t="s">
        <v>66</v>
      </c>
      <c r="O402" t="s">
        <v>125</v>
      </c>
      <c r="P402" s="25" t="s">
        <v>2112</v>
      </c>
    </row>
    <row r="403" spans="1:18" ht="14.4" x14ac:dyDescent="0.3">
      <c r="A403" s="16">
        <v>396</v>
      </c>
      <c r="B403" s="17" t="s">
        <v>1723</v>
      </c>
      <c r="C403" s="6">
        <v>1026277669</v>
      </c>
      <c r="D403" s="6">
        <v>3177773377</v>
      </c>
      <c r="E403" s="6" t="s">
        <v>1724</v>
      </c>
      <c r="F403" s="7">
        <v>46049</v>
      </c>
      <c r="G403" s="7">
        <v>46291</v>
      </c>
      <c r="H403" s="8" t="s">
        <v>1725</v>
      </c>
      <c r="I403" s="17" t="s">
        <v>1667</v>
      </c>
      <c r="J403" s="6" t="s">
        <v>106</v>
      </c>
      <c r="K403" s="6" t="s">
        <v>1422</v>
      </c>
      <c r="L403" s="6" t="s">
        <v>1726</v>
      </c>
      <c r="M403" s="6" t="s">
        <v>17</v>
      </c>
      <c r="N403" s="6" t="s">
        <v>1727</v>
      </c>
      <c r="O403" t="s">
        <v>125</v>
      </c>
      <c r="P403" s="25" t="s">
        <v>2112</v>
      </c>
    </row>
    <row r="404" spans="1:18" ht="14.4" x14ac:dyDescent="0.3">
      <c r="A404" s="5">
        <v>397</v>
      </c>
      <c r="B404" s="17" t="s">
        <v>1728</v>
      </c>
      <c r="C404" s="17">
        <v>1026261037</v>
      </c>
      <c r="D404" s="17">
        <v>3005775183</v>
      </c>
      <c r="E404" s="17" t="s">
        <v>1729</v>
      </c>
      <c r="F404" s="18">
        <v>46031</v>
      </c>
      <c r="G404" s="18">
        <v>46351</v>
      </c>
      <c r="H404" s="8" t="s">
        <v>1730</v>
      </c>
      <c r="I404" s="6" t="s">
        <v>1905</v>
      </c>
      <c r="J404" s="6" t="s">
        <v>115</v>
      </c>
      <c r="K404" s="17" t="s">
        <v>354</v>
      </c>
      <c r="L404" s="17" t="s">
        <v>1731</v>
      </c>
      <c r="M404" s="17" t="s">
        <v>17</v>
      </c>
      <c r="N404" s="17" t="s">
        <v>60</v>
      </c>
      <c r="O404" s="19" t="s">
        <v>125</v>
      </c>
      <c r="P404" s="21" t="s">
        <v>2098</v>
      </c>
      <c r="Q404" s="20"/>
      <c r="R404" s="20"/>
    </row>
    <row r="405" spans="1:18" ht="14.4" x14ac:dyDescent="0.3">
      <c r="A405" s="5">
        <v>398</v>
      </c>
      <c r="B405" s="17" t="s">
        <v>1732</v>
      </c>
      <c r="C405" s="6">
        <v>1018455944</v>
      </c>
      <c r="D405" s="6">
        <v>3208010259</v>
      </c>
      <c r="E405" s="6" t="s">
        <v>1733</v>
      </c>
      <c r="F405" s="7">
        <v>46045</v>
      </c>
      <c r="G405" s="7">
        <v>46234</v>
      </c>
      <c r="H405" s="8" t="s">
        <v>1734</v>
      </c>
      <c r="I405" s="17" t="s">
        <v>1041</v>
      </c>
      <c r="J405" s="6" t="s">
        <v>115</v>
      </c>
      <c r="K405" s="6" t="s">
        <v>681</v>
      </c>
      <c r="L405" s="6" t="s">
        <v>1735</v>
      </c>
      <c r="M405" s="6" t="s">
        <v>17</v>
      </c>
      <c r="N405" s="6" t="s">
        <v>44</v>
      </c>
      <c r="O405" t="s">
        <v>125</v>
      </c>
      <c r="P405" s="25" t="s">
        <v>2112</v>
      </c>
    </row>
    <row r="406" spans="1:18" ht="14.4" x14ac:dyDescent="0.3">
      <c r="A406" s="5">
        <v>399</v>
      </c>
      <c r="B406" s="17" t="s">
        <v>1736</v>
      </c>
      <c r="C406" s="6">
        <v>79923325</v>
      </c>
      <c r="D406" s="6">
        <v>3192975840</v>
      </c>
      <c r="E406" s="6" t="s">
        <v>1737</v>
      </c>
      <c r="F406" s="7">
        <v>46031</v>
      </c>
      <c r="G406" s="7">
        <v>46378</v>
      </c>
      <c r="H406" s="8" t="s">
        <v>1738</v>
      </c>
      <c r="I406" s="17" t="s">
        <v>1667</v>
      </c>
      <c r="J406" s="6" t="s">
        <v>115</v>
      </c>
      <c r="K406" s="6" t="s">
        <v>138</v>
      </c>
      <c r="L406" s="6" t="s">
        <v>1739</v>
      </c>
      <c r="M406" s="6" t="s">
        <v>17</v>
      </c>
      <c r="N406" s="6" t="s">
        <v>60</v>
      </c>
      <c r="O406" t="s">
        <v>125</v>
      </c>
      <c r="P406" s="25" t="s">
        <v>2112</v>
      </c>
    </row>
    <row r="407" spans="1:18" ht="14.4" x14ac:dyDescent="0.3">
      <c r="A407" s="16">
        <v>400</v>
      </c>
      <c r="B407" s="17" t="s">
        <v>1736</v>
      </c>
      <c r="C407" s="6">
        <v>79923325</v>
      </c>
      <c r="D407" s="6">
        <v>3192975840</v>
      </c>
      <c r="E407" s="6" t="s">
        <v>1737</v>
      </c>
      <c r="F407" s="7">
        <v>46031</v>
      </c>
      <c r="G407" s="7">
        <v>46378</v>
      </c>
      <c r="H407" s="8" t="s">
        <v>1738</v>
      </c>
      <c r="I407" s="17" t="s">
        <v>1667</v>
      </c>
      <c r="J407" s="6" t="s">
        <v>106</v>
      </c>
      <c r="K407" s="6" t="s">
        <v>363</v>
      </c>
      <c r="L407" s="6" t="s">
        <v>1740</v>
      </c>
      <c r="M407" s="6" t="s">
        <v>17</v>
      </c>
      <c r="N407" s="6" t="s">
        <v>1741</v>
      </c>
      <c r="O407" t="s">
        <v>125</v>
      </c>
      <c r="P407" s="25" t="s">
        <v>2112</v>
      </c>
    </row>
    <row r="408" spans="1:18" ht="14.4" x14ac:dyDescent="0.3">
      <c r="A408" s="5">
        <v>401</v>
      </c>
      <c r="B408" s="17" t="s">
        <v>1742</v>
      </c>
      <c r="C408" s="6">
        <v>79792606</v>
      </c>
      <c r="D408" s="6">
        <v>3006658901</v>
      </c>
      <c r="E408" s="6" t="s">
        <v>1743</v>
      </c>
      <c r="F408" s="7">
        <v>46049</v>
      </c>
      <c r="G408" s="7">
        <v>46231</v>
      </c>
      <c r="H408" s="8" t="s">
        <v>1744</v>
      </c>
      <c r="I408" s="6" t="s">
        <v>256</v>
      </c>
      <c r="J408" s="6" t="s">
        <v>106</v>
      </c>
      <c r="K408" s="6" t="s">
        <v>1745</v>
      </c>
      <c r="L408" s="6" t="s">
        <v>1746</v>
      </c>
      <c r="M408" s="6" t="s">
        <v>17</v>
      </c>
      <c r="N408" s="6" t="s">
        <v>1747</v>
      </c>
      <c r="O408" t="s">
        <v>125</v>
      </c>
      <c r="P408" s="25" t="s">
        <v>2112</v>
      </c>
    </row>
    <row r="409" spans="1:18" ht="14.4" x14ac:dyDescent="0.3">
      <c r="A409" s="5">
        <v>402</v>
      </c>
      <c r="B409" s="17" t="s">
        <v>1748</v>
      </c>
      <c r="C409" s="17">
        <v>1000284442</v>
      </c>
      <c r="D409" s="17">
        <v>3058723948</v>
      </c>
      <c r="E409" s="17" t="s">
        <v>1749</v>
      </c>
      <c r="F409" s="18">
        <v>46048</v>
      </c>
      <c r="G409" s="18">
        <v>46229</v>
      </c>
      <c r="H409" s="8" t="s">
        <v>1750</v>
      </c>
      <c r="I409" s="17" t="s">
        <v>1395</v>
      </c>
      <c r="J409" s="6" t="s">
        <v>106</v>
      </c>
      <c r="K409" s="17" t="s">
        <v>363</v>
      </c>
      <c r="L409" s="17" t="s">
        <v>1751</v>
      </c>
      <c r="M409" s="17" t="s">
        <v>17</v>
      </c>
      <c r="N409" s="17" t="s">
        <v>1752</v>
      </c>
      <c r="O409" s="19" t="s">
        <v>125</v>
      </c>
      <c r="P409" s="21" t="s">
        <v>2098</v>
      </c>
      <c r="Q409" s="20"/>
      <c r="R409" s="20"/>
    </row>
    <row r="410" spans="1:18" ht="14.4" x14ac:dyDescent="0.3">
      <c r="A410" s="5">
        <v>403</v>
      </c>
      <c r="B410" s="17" t="s">
        <v>1753</v>
      </c>
      <c r="C410" s="6">
        <v>1014196580</v>
      </c>
      <c r="D410" s="6">
        <v>3017719375</v>
      </c>
      <c r="E410" s="6" t="s">
        <v>1754</v>
      </c>
      <c r="F410" s="7">
        <v>46055</v>
      </c>
      <c r="G410" s="7">
        <v>46264</v>
      </c>
      <c r="H410" s="8" t="s">
        <v>1755</v>
      </c>
      <c r="I410" s="17" t="s">
        <v>1667</v>
      </c>
      <c r="J410" s="6" t="s">
        <v>80</v>
      </c>
      <c r="K410" s="6" t="s">
        <v>1756</v>
      </c>
      <c r="L410" s="6" t="s">
        <v>20</v>
      </c>
      <c r="M410" s="6" t="s">
        <v>80</v>
      </c>
      <c r="N410" s="6" t="s">
        <v>1757</v>
      </c>
      <c r="O410" t="s">
        <v>125</v>
      </c>
      <c r="P410" s="25" t="s">
        <v>2112</v>
      </c>
    </row>
    <row r="411" spans="1:18" ht="14.4" x14ac:dyDescent="0.3">
      <c r="A411" s="16">
        <v>404</v>
      </c>
      <c r="B411" s="17" t="s">
        <v>1758</v>
      </c>
      <c r="C411" s="6">
        <v>94486941</v>
      </c>
      <c r="D411" s="6">
        <v>3108679091</v>
      </c>
      <c r="E411" s="6" t="s">
        <v>1759</v>
      </c>
      <c r="F411" s="7">
        <v>46054</v>
      </c>
      <c r="G411" s="7">
        <v>46235</v>
      </c>
      <c r="H411" s="8" t="s">
        <v>1760</v>
      </c>
      <c r="I411" s="17" t="s">
        <v>299</v>
      </c>
      <c r="J411" s="6" t="s">
        <v>106</v>
      </c>
      <c r="K411" s="6" t="s">
        <v>1761</v>
      </c>
      <c r="L411" s="6" t="s">
        <v>1762</v>
      </c>
      <c r="M411" s="6" t="s">
        <v>17</v>
      </c>
      <c r="N411" s="6" t="s">
        <v>38</v>
      </c>
      <c r="O411" t="s">
        <v>125</v>
      </c>
      <c r="P411" s="25" t="s">
        <v>2112</v>
      </c>
    </row>
    <row r="412" spans="1:18" ht="14.4" x14ac:dyDescent="0.3">
      <c r="A412" s="5">
        <v>405</v>
      </c>
      <c r="B412" s="17" t="s">
        <v>1763</v>
      </c>
      <c r="C412" s="17">
        <v>1022437241</v>
      </c>
      <c r="D412" s="17">
        <v>3102740524</v>
      </c>
      <c r="E412" s="17" t="s">
        <v>1764</v>
      </c>
      <c r="F412" s="18">
        <v>46042</v>
      </c>
      <c r="G412" s="18">
        <v>46222</v>
      </c>
      <c r="H412" s="8" t="s">
        <v>1765</v>
      </c>
      <c r="I412" s="17" t="s">
        <v>1041</v>
      </c>
      <c r="J412" s="6" t="s">
        <v>106</v>
      </c>
      <c r="K412" s="17" t="s">
        <v>701</v>
      </c>
      <c r="L412" s="17" t="s">
        <v>1766</v>
      </c>
      <c r="M412" s="17" t="s">
        <v>17</v>
      </c>
      <c r="N412" s="17" t="s">
        <v>1767</v>
      </c>
      <c r="O412" s="19" t="s">
        <v>125</v>
      </c>
      <c r="P412" s="22" t="s">
        <v>2098</v>
      </c>
      <c r="Q412" s="20"/>
      <c r="R412" s="20"/>
    </row>
    <row r="413" spans="1:18" ht="14.4" x14ac:dyDescent="0.3">
      <c r="A413" s="5">
        <v>406</v>
      </c>
      <c r="B413" s="17" t="s">
        <v>1768</v>
      </c>
      <c r="C413" s="6">
        <v>79956337</v>
      </c>
      <c r="D413" s="6">
        <v>3207707633</v>
      </c>
      <c r="E413" s="6" t="s">
        <v>1769</v>
      </c>
      <c r="F413" s="7">
        <v>46048</v>
      </c>
      <c r="G413" s="7">
        <v>46342</v>
      </c>
      <c r="H413" s="8" t="s">
        <v>1770</v>
      </c>
      <c r="I413" s="17" t="s">
        <v>207</v>
      </c>
      <c r="J413" s="6" t="s">
        <v>143</v>
      </c>
      <c r="K413" s="6" t="s">
        <v>1771</v>
      </c>
      <c r="L413" s="6" t="s">
        <v>1772</v>
      </c>
      <c r="M413" s="6" t="s">
        <v>253</v>
      </c>
      <c r="N413" s="6" t="s">
        <v>66</v>
      </c>
      <c r="O413" t="s">
        <v>125</v>
      </c>
      <c r="P413" s="25" t="s">
        <v>2112</v>
      </c>
    </row>
    <row r="414" spans="1:18" ht="14.4" x14ac:dyDescent="0.3">
      <c r="A414" s="5">
        <v>407</v>
      </c>
      <c r="B414" s="17" t="s">
        <v>1773</v>
      </c>
      <c r="C414" s="6">
        <v>1094272550</v>
      </c>
      <c r="D414" s="6">
        <v>3004336661</v>
      </c>
      <c r="E414" s="6" t="s">
        <v>1774</v>
      </c>
      <c r="F414" s="7">
        <v>46055</v>
      </c>
      <c r="G414" s="7">
        <v>46387</v>
      </c>
      <c r="H414" s="8" t="s">
        <v>1775</v>
      </c>
      <c r="I414" s="6" t="s">
        <v>500</v>
      </c>
      <c r="J414" s="6" t="s">
        <v>115</v>
      </c>
      <c r="K414" s="6" t="s">
        <v>1776</v>
      </c>
      <c r="L414" s="6" t="s">
        <v>1777</v>
      </c>
      <c r="M414" s="6" t="s">
        <v>17</v>
      </c>
      <c r="N414" s="6" t="s">
        <v>60</v>
      </c>
      <c r="O414" t="s">
        <v>125</v>
      </c>
      <c r="P414" s="25" t="s">
        <v>2112</v>
      </c>
    </row>
    <row r="415" spans="1:18" ht="14.4" x14ac:dyDescent="0.3">
      <c r="A415" s="16">
        <v>408</v>
      </c>
      <c r="B415" s="17" t="s">
        <v>1773</v>
      </c>
      <c r="C415" s="6">
        <v>1094272550</v>
      </c>
      <c r="D415" s="6">
        <v>3004336661</v>
      </c>
      <c r="E415" s="6" t="s">
        <v>1774</v>
      </c>
      <c r="F415" s="7">
        <v>46055</v>
      </c>
      <c r="G415" s="7">
        <v>46387</v>
      </c>
      <c r="H415" s="8" t="s">
        <v>1775</v>
      </c>
      <c r="I415" s="6" t="s">
        <v>500</v>
      </c>
      <c r="J415" s="6" t="s">
        <v>80</v>
      </c>
      <c r="K415" s="6" t="s">
        <v>830</v>
      </c>
      <c r="L415" s="6" t="s">
        <v>20</v>
      </c>
      <c r="M415" s="6" t="s">
        <v>80</v>
      </c>
      <c r="N415" s="6" t="s">
        <v>24</v>
      </c>
      <c r="O415" t="s">
        <v>125</v>
      </c>
      <c r="P415" s="25" t="s">
        <v>2112</v>
      </c>
    </row>
    <row r="416" spans="1:18" ht="14.4" x14ac:dyDescent="0.3">
      <c r="A416" s="5">
        <v>409</v>
      </c>
      <c r="B416" s="17" t="s">
        <v>1778</v>
      </c>
      <c r="C416" s="6">
        <v>1033698663</v>
      </c>
      <c r="D416" s="6">
        <v>3229641950</v>
      </c>
      <c r="E416" s="6" t="s">
        <v>20</v>
      </c>
      <c r="F416" s="7" t="s">
        <v>20</v>
      </c>
      <c r="G416" s="7" t="s">
        <v>20</v>
      </c>
      <c r="H416" s="8" t="s">
        <v>1779</v>
      </c>
      <c r="I416" s="6" t="s">
        <v>1702</v>
      </c>
      <c r="J416" s="6" t="s">
        <v>80</v>
      </c>
      <c r="K416" s="6" t="s">
        <v>1780</v>
      </c>
      <c r="L416" s="6" t="s">
        <v>20</v>
      </c>
      <c r="M416" s="6" t="s">
        <v>129</v>
      </c>
      <c r="N416" s="6" t="s">
        <v>1781</v>
      </c>
      <c r="O416" t="s">
        <v>1280</v>
      </c>
      <c r="P416" s="25" t="s">
        <v>2112</v>
      </c>
    </row>
    <row r="417" spans="1:18" ht="14.4" x14ac:dyDescent="0.3">
      <c r="A417" s="5">
        <v>410</v>
      </c>
      <c r="B417" s="17" t="s">
        <v>1782</v>
      </c>
      <c r="C417" s="6">
        <v>1010213543</v>
      </c>
      <c r="D417" s="6">
        <v>3104356273</v>
      </c>
      <c r="E417" s="6" t="s">
        <v>1783</v>
      </c>
      <c r="F417" s="7">
        <v>46045</v>
      </c>
      <c r="G417" s="7">
        <v>46387</v>
      </c>
      <c r="H417" s="8" t="s">
        <v>1784</v>
      </c>
      <c r="I417" s="6" t="s">
        <v>742</v>
      </c>
      <c r="J417" s="6" t="s">
        <v>115</v>
      </c>
      <c r="K417" s="6" t="s">
        <v>1785</v>
      </c>
      <c r="L417" s="6" t="s">
        <v>1786</v>
      </c>
      <c r="M417" s="6" t="s">
        <v>17</v>
      </c>
      <c r="N417" s="6" t="s">
        <v>266</v>
      </c>
      <c r="O417" t="s">
        <v>125</v>
      </c>
      <c r="P417" s="25" t="s">
        <v>2112</v>
      </c>
    </row>
    <row r="418" spans="1:18" ht="14.4" x14ac:dyDescent="0.3">
      <c r="A418" s="5">
        <v>411</v>
      </c>
      <c r="B418" s="17" t="s">
        <v>1787</v>
      </c>
      <c r="C418" s="17">
        <v>1015407149</v>
      </c>
      <c r="D418" s="17">
        <v>3046732889</v>
      </c>
      <c r="E418" s="17" t="s">
        <v>1788</v>
      </c>
      <c r="F418" s="18">
        <v>46049</v>
      </c>
      <c r="G418" s="18">
        <v>46180</v>
      </c>
      <c r="H418" s="8" t="s">
        <v>1789</v>
      </c>
      <c r="I418" s="17" t="s">
        <v>1395</v>
      </c>
      <c r="J418" s="6" t="s">
        <v>106</v>
      </c>
      <c r="K418" s="17" t="s">
        <v>1790</v>
      </c>
      <c r="L418" s="17" t="s">
        <v>1791</v>
      </c>
      <c r="M418" s="17" t="s">
        <v>17</v>
      </c>
      <c r="N418" s="17" t="s">
        <v>1792</v>
      </c>
      <c r="O418" s="19" t="s">
        <v>125</v>
      </c>
      <c r="P418" s="22" t="s">
        <v>2098</v>
      </c>
      <c r="Q418" s="20"/>
      <c r="R418" s="20"/>
    </row>
    <row r="419" spans="1:18" ht="14.4" x14ac:dyDescent="0.3">
      <c r="A419" s="16">
        <v>412</v>
      </c>
      <c r="B419" s="24" t="s">
        <v>1793</v>
      </c>
      <c r="C419" s="13">
        <v>1015447384</v>
      </c>
      <c r="D419" s="13">
        <v>3125579853</v>
      </c>
      <c r="E419" s="6" t="s">
        <v>1794</v>
      </c>
      <c r="F419" s="7">
        <v>46055</v>
      </c>
      <c r="G419" s="7">
        <v>46387</v>
      </c>
      <c r="H419" s="8" t="s">
        <v>1795</v>
      </c>
      <c r="I419" s="6" t="s">
        <v>500</v>
      </c>
      <c r="J419" s="6" t="s">
        <v>115</v>
      </c>
      <c r="K419" s="6" t="s">
        <v>32</v>
      </c>
      <c r="L419" s="6" t="s">
        <v>1796</v>
      </c>
      <c r="M419" s="6" t="s">
        <v>17</v>
      </c>
      <c r="N419" s="6" t="s">
        <v>44</v>
      </c>
      <c r="O419" t="s">
        <v>125</v>
      </c>
      <c r="P419" s="25" t="s">
        <v>2112</v>
      </c>
    </row>
    <row r="420" spans="1:18" ht="14.4" x14ac:dyDescent="0.3">
      <c r="A420" s="5">
        <v>413</v>
      </c>
      <c r="B420" s="24" t="s">
        <v>1793</v>
      </c>
      <c r="C420" s="13">
        <v>1015447384</v>
      </c>
      <c r="D420" s="13">
        <v>3125579853</v>
      </c>
      <c r="E420" s="6" t="s">
        <v>1794</v>
      </c>
      <c r="F420" s="7">
        <v>46055</v>
      </c>
      <c r="G420" s="7">
        <v>46387</v>
      </c>
      <c r="H420" s="8" t="s">
        <v>1795</v>
      </c>
      <c r="I420" s="6" t="s">
        <v>500</v>
      </c>
      <c r="J420" s="6" t="s">
        <v>106</v>
      </c>
      <c r="K420" s="6" t="s">
        <v>1797</v>
      </c>
      <c r="L420" s="6" t="s">
        <v>1798</v>
      </c>
      <c r="M420" s="6" t="s">
        <v>17</v>
      </c>
      <c r="N420" s="6" t="s">
        <v>44</v>
      </c>
      <c r="O420" t="s">
        <v>125</v>
      </c>
      <c r="P420" s="25" t="s">
        <v>2112</v>
      </c>
    </row>
    <row r="421" spans="1:18" ht="14.4" x14ac:dyDescent="0.3">
      <c r="A421" s="5">
        <v>414</v>
      </c>
      <c r="B421" s="24" t="s">
        <v>1799</v>
      </c>
      <c r="C421" s="13">
        <v>1026292170</v>
      </c>
      <c r="D421" s="13">
        <v>3107723081</v>
      </c>
      <c r="E421" s="6" t="s">
        <v>1800</v>
      </c>
      <c r="F421" s="7">
        <v>46048</v>
      </c>
      <c r="G421" s="7">
        <v>46387</v>
      </c>
      <c r="H421" s="8" t="s">
        <v>1801</v>
      </c>
      <c r="I421" s="6" t="s">
        <v>434</v>
      </c>
      <c r="J421" s="6" t="s">
        <v>106</v>
      </c>
      <c r="K421" s="6" t="s">
        <v>1802</v>
      </c>
      <c r="L421" s="6" t="s">
        <v>1803</v>
      </c>
      <c r="M421" s="6" t="s">
        <v>17</v>
      </c>
      <c r="N421" s="6" t="s">
        <v>24</v>
      </c>
      <c r="O421" t="s">
        <v>125</v>
      </c>
      <c r="P421" s="25" t="s">
        <v>2112</v>
      </c>
    </row>
    <row r="422" spans="1:18" ht="14.4" x14ac:dyDescent="0.3">
      <c r="A422" s="5">
        <v>415</v>
      </c>
      <c r="B422" s="24" t="s">
        <v>1804</v>
      </c>
      <c r="C422" s="13">
        <v>52181754</v>
      </c>
      <c r="D422" s="13">
        <v>3102953413</v>
      </c>
      <c r="E422" s="6" t="s">
        <v>1805</v>
      </c>
      <c r="F422" s="7">
        <v>46031</v>
      </c>
      <c r="G422" s="7">
        <v>46387</v>
      </c>
      <c r="H422" s="8" t="s">
        <v>1806</v>
      </c>
      <c r="I422" s="17" t="s">
        <v>1395</v>
      </c>
      <c r="J422" s="6" t="s">
        <v>143</v>
      </c>
      <c r="K422" s="6" t="s">
        <v>1807</v>
      </c>
      <c r="L422" s="6" t="s">
        <v>1808</v>
      </c>
      <c r="M422" s="6" t="s">
        <v>17</v>
      </c>
      <c r="N422" s="6" t="s">
        <v>166</v>
      </c>
      <c r="O422" t="s">
        <v>125</v>
      </c>
      <c r="P422" s="25" t="s">
        <v>2112</v>
      </c>
    </row>
    <row r="423" spans="1:18" ht="14.4" x14ac:dyDescent="0.3">
      <c r="A423" s="16">
        <v>416</v>
      </c>
      <c r="B423" s="24" t="s">
        <v>1809</v>
      </c>
      <c r="C423" s="13">
        <v>1000000381</v>
      </c>
      <c r="D423" s="13">
        <v>3106872952</v>
      </c>
      <c r="E423" s="6" t="s">
        <v>1810</v>
      </c>
      <c r="F423" s="7">
        <v>46054</v>
      </c>
      <c r="G423" s="7">
        <v>46387</v>
      </c>
      <c r="H423" s="8" t="s">
        <v>1811</v>
      </c>
      <c r="I423" s="6" t="s">
        <v>500</v>
      </c>
      <c r="J423" s="6" t="s">
        <v>115</v>
      </c>
      <c r="K423" s="6" t="s">
        <v>1812</v>
      </c>
      <c r="L423" s="6" t="s">
        <v>1813</v>
      </c>
      <c r="M423" s="6" t="s">
        <v>17</v>
      </c>
      <c r="N423" s="6" t="s">
        <v>1814</v>
      </c>
      <c r="O423" t="s">
        <v>125</v>
      </c>
      <c r="P423" s="25" t="s">
        <v>2112</v>
      </c>
    </row>
    <row r="424" spans="1:18" ht="14.4" x14ac:dyDescent="0.3">
      <c r="A424" s="5">
        <v>417</v>
      </c>
      <c r="B424" s="24" t="s">
        <v>1809</v>
      </c>
      <c r="C424" s="13">
        <v>1000000381</v>
      </c>
      <c r="D424" s="13">
        <v>3106872952</v>
      </c>
      <c r="E424" s="6" t="s">
        <v>1810</v>
      </c>
      <c r="F424" s="7">
        <v>46054</v>
      </c>
      <c r="G424" s="7">
        <v>46387</v>
      </c>
      <c r="H424" s="8" t="s">
        <v>1811</v>
      </c>
      <c r="I424" s="6" t="s">
        <v>500</v>
      </c>
      <c r="J424" s="6" t="s">
        <v>106</v>
      </c>
      <c r="K424" s="6" t="s">
        <v>1815</v>
      </c>
      <c r="L424" s="6" t="s">
        <v>1816</v>
      </c>
      <c r="M424" s="6" t="s">
        <v>17</v>
      </c>
      <c r="N424" s="6" t="s">
        <v>24</v>
      </c>
      <c r="O424" t="s">
        <v>125</v>
      </c>
      <c r="P424" s="25" t="s">
        <v>2112</v>
      </c>
    </row>
    <row r="425" spans="1:18" ht="14.4" x14ac:dyDescent="0.3">
      <c r="A425" s="5">
        <v>418</v>
      </c>
      <c r="B425" s="24" t="s">
        <v>1817</v>
      </c>
      <c r="C425" s="13">
        <v>7225361</v>
      </c>
      <c r="D425" s="13">
        <v>3125294122</v>
      </c>
      <c r="E425" s="6" t="s">
        <v>1818</v>
      </c>
      <c r="F425" s="7">
        <v>46048</v>
      </c>
      <c r="G425" s="7">
        <v>46351</v>
      </c>
      <c r="H425" s="8" t="s">
        <v>1819</v>
      </c>
      <c r="I425" s="6" t="s">
        <v>256</v>
      </c>
      <c r="J425" s="6" t="s">
        <v>143</v>
      </c>
      <c r="K425" s="6" t="s">
        <v>1820</v>
      </c>
      <c r="L425" s="6" t="s">
        <v>1821</v>
      </c>
      <c r="M425" s="6" t="s">
        <v>17</v>
      </c>
      <c r="N425" s="6" t="s">
        <v>66</v>
      </c>
      <c r="O425" t="s">
        <v>125</v>
      </c>
      <c r="P425" s="25" t="s">
        <v>2112</v>
      </c>
    </row>
    <row r="426" spans="1:18" ht="14.4" x14ac:dyDescent="0.3">
      <c r="A426" s="5">
        <v>419</v>
      </c>
      <c r="B426" s="24" t="s">
        <v>1822</v>
      </c>
      <c r="C426" s="13">
        <v>1012453976</v>
      </c>
      <c r="D426" s="13">
        <v>3016500846</v>
      </c>
      <c r="E426" s="6" t="s">
        <v>1823</v>
      </c>
      <c r="F426" s="7">
        <v>46042</v>
      </c>
      <c r="G426" s="7">
        <v>46387</v>
      </c>
      <c r="H426" s="8" t="s">
        <v>1824</v>
      </c>
      <c r="I426" s="6" t="s">
        <v>1825</v>
      </c>
      <c r="J426" s="6" t="s">
        <v>106</v>
      </c>
      <c r="K426" s="6" t="s">
        <v>1826</v>
      </c>
      <c r="L426" s="6" t="s">
        <v>1827</v>
      </c>
      <c r="M426" s="6" t="s">
        <v>17</v>
      </c>
      <c r="N426" s="6" t="s">
        <v>316</v>
      </c>
      <c r="O426" t="s">
        <v>125</v>
      </c>
      <c r="P426" s="25" t="s">
        <v>2112</v>
      </c>
    </row>
    <row r="427" spans="1:18" ht="14.4" x14ac:dyDescent="0.3">
      <c r="A427" s="16">
        <v>420</v>
      </c>
      <c r="B427" s="24" t="s">
        <v>1828</v>
      </c>
      <c r="C427" s="13">
        <v>1049794506</v>
      </c>
      <c r="D427" s="13">
        <v>31339999368</v>
      </c>
      <c r="E427" s="6" t="s">
        <v>1829</v>
      </c>
      <c r="F427" s="7">
        <v>46050</v>
      </c>
      <c r="G427" s="7">
        <v>46387</v>
      </c>
      <c r="H427" s="8" t="s">
        <v>1830</v>
      </c>
      <c r="I427" s="6" t="s">
        <v>1006</v>
      </c>
      <c r="J427" s="6" t="s">
        <v>115</v>
      </c>
      <c r="K427" s="6" t="s">
        <v>1831</v>
      </c>
      <c r="L427" s="6" t="s">
        <v>1832</v>
      </c>
      <c r="M427" s="6" t="s">
        <v>17</v>
      </c>
      <c r="N427" s="6" t="s">
        <v>66</v>
      </c>
      <c r="O427" t="s">
        <v>125</v>
      </c>
      <c r="P427" s="25" t="s">
        <v>2112</v>
      </c>
    </row>
    <row r="428" spans="1:18" ht="14.4" x14ac:dyDescent="0.3">
      <c r="A428" s="5">
        <v>421</v>
      </c>
      <c r="B428" s="24" t="s">
        <v>1833</v>
      </c>
      <c r="C428" s="13">
        <v>80791247</v>
      </c>
      <c r="D428" s="13">
        <v>3225125023</v>
      </c>
      <c r="E428" s="6" t="s">
        <v>1834</v>
      </c>
      <c r="F428" s="7">
        <v>46041</v>
      </c>
      <c r="G428" s="7">
        <v>46387</v>
      </c>
      <c r="H428" s="8" t="s">
        <v>1835</v>
      </c>
      <c r="I428" s="6" t="s">
        <v>2109</v>
      </c>
      <c r="J428" s="6" t="s">
        <v>115</v>
      </c>
      <c r="K428" s="6" t="s">
        <v>1836</v>
      </c>
      <c r="L428" s="6" t="s">
        <v>1837</v>
      </c>
      <c r="M428" s="6" t="s">
        <v>129</v>
      </c>
      <c r="N428" s="6" t="s">
        <v>60</v>
      </c>
      <c r="O428" t="s">
        <v>125</v>
      </c>
      <c r="P428" s="25" t="s">
        <v>2112</v>
      </c>
    </row>
    <row r="429" spans="1:18" ht="14.4" x14ac:dyDescent="0.3">
      <c r="A429" s="5">
        <v>422</v>
      </c>
      <c r="B429" s="17" t="s">
        <v>1696</v>
      </c>
      <c r="C429" s="6">
        <v>19272805</v>
      </c>
      <c r="D429" s="6">
        <v>3124177877</v>
      </c>
      <c r="E429" s="6" t="s">
        <v>20</v>
      </c>
      <c r="F429" s="7" t="s">
        <v>20</v>
      </c>
      <c r="G429" s="7" t="s">
        <v>20</v>
      </c>
      <c r="H429" s="8" t="s">
        <v>1697</v>
      </c>
      <c r="I429" s="6" t="s">
        <v>1698</v>
      </c>
      <c r="J429" s="6" t="s">
        <v>143</v>
      </c>
      <c r="K429" s="6" t="s">
        <v>1838</v>
      </c>
      <c r="L429" s="6" t="s">
        <v>1839</v>
      </c>
      <c r="M429" s="6" t="s">
        <v>17</v>
      </c>
      <c r="N429" s="6" t="s">
        <v>60</v>
      </c>
      <c r="O429" t="s">
        <v>1280</v>
      </c>
      <c r="P429" s="25" t="s">
        <v>2112</v>
      </c>
    </row>
    <row r="430" spans="1:18" ht="14.4" x14ac:dyDescent="0.3">
      <c r="A430" s="5">
        <v>423</v>
      </c>
      <c r="B430" s="24" t="s">
        <v>1840</v>
      </c>
      <c r="C430" s="13">
        <v>1032396574</v>
      </c>
      <c r="D430" s="13">
        <v>3138742147</v>
      </c>
      <c r="E430" s="6" t="s">
        <v>1841</v>
      </c>
      <c r="F430" s="7">
        <v>46031</v>
      </c>
      <c r="G430" s="7">
        <v>46242</v>
      </c>
      <c r="H430" s="8" t="s">
        <v>1842</v>
      </c>
      <c r="I430" s="6" t="s">
        <v>1843</v>
      </c>
      <c r="J430" s="6" t="s">
        <v>143</v>
      </c>
      <c r="K430" s="6" t="s">
        <v>1844</v>
      </c>
      <c r="L430" s="6" t="s">
        <v>1845</v>
      </c>
      <c r="M430" s="6" t="s">
        <v>17</v>
      </c>
      <c r="N430" s="6" t="s">
        <v>1846</v>
      </c>
      <c r="O430" t="s">
        <v>125</v>
      </c>
      <c r="P430" s="25" t="s">
        <v>2112</v>
      </c>
    </row>
    <row r="431" spans="1:18" ht="14.4" x14ac:dyDescent="0.3">
      <c r="A431" s="16">
        <v>424</v>
      </c>
      <c r="B431" s="24" t="s">
        <v>1847</v>
      </c>
      <c r="C431" s="24">
        <v>45361037</v>
      </c>
      <c r="D431" s="24">
        <v>3015351260</v>
      </c>
      <c r="E431" s="17" t="s">
        <v>1848</v>
      </c>
      <c r="F431" s="18">
        <v>46048</v>
      </c>
      <c r="G431" s="18">
        <v>46198</v>
      </c>
      <c r="H431" s="8" t="s">
        <v>1849</v>
      </c>
      <c r="I431" s="6" t="s">
        <v>434</v>
      </c>
      <c r="J431" s="6" t="s">
        <v>115</v>
      </c>
      <c r="K431" s="17" t="s">
        <v>1850</v>
      </c>
      <c r="L431" s="17" t="s">
        <v>1851</v>
      </c>
      <c r="M431" s="6" t="s">
        <v>253</v>
      </c>
      <c r="N431" s="17" t="s">
        <v>18</v>
      </c>
      <c r="O431" s="19" t="s">
        <v>125</v>
      </c>
      <c r="P431" s="21" t="s">
        <v>2098</v>
      </c>
      <c r="Q431" s="20"/>
      <c r="R431" s="20"/>
    </row>
    <row r="432" spans="1:18" ht="14.4" x14ac:dyDescent="0.3">
      <c r="A432" s="5">
        <v>425</v>
      </c>
      <c r="B432" s="24" t="s">
        <v>1852</v>
      </c>
      <c r="C432" s="13">
        <v>80258283</v>
      </c>
      <c r="D432" s="13">
        <v>3142484242</v>
      </c>
      <c r="E432" s="6" t="s">
        <v>1853</v>
      </c>
      <c r="F432" s="7">
        <v>46041</v>
      </c>
      <c r="G432" s="7">
        <v>46387</v>
      </c>
      <c r="H432" s="8" t="s">
        <v>1854</v>
      </c>
      <c r="I432" s="6" t="s">
        <v>201</v>
      </c>
      <c r="J432" s="6" t="s">
        <v>106</v>
      </c>
      <c r="K432" s="6" t="s">
        <v>56</v>
      </c>
      <c r="L432" s="6" t="s">
        <v>1855</v>
      </c>
      <c r="M432" s="6" t="s">
        <v>17</v>
      </c>
      <c r="N432" s="6" t="s">
        <v>1856</v>
      </c>
      <c r="O432" t="s">
        <v>125</v>
      </c>
      <c r="P432" s="25" t="s">
        <v>2112</v>
      </c>
    </row>
    <row r="433" spans="1:18" ht="14.4" x14ac:dyDescent="0.3">
      <c r="A433" s="5">
        <v>426</v>
      </c>
      <c r="B433" s="24" t="s">
        <v>1857</v>
      </c>
      <c r="C433" s="24">
        <v>1019038226</v>
      </c>
      <c r="D433" s="24">
        <v>3165353449</v>
      </c>
      <c r="E433" s="17" t="s">
        <v>1858</v>
      </c>
      <c r="F433" s="18">
        <v>46048</v>
      </c>
      <c r="G433" s="18">
        <v>46228</v>
      </c>
      <c r="H433" s="8" t="s">
        <v>1859</v>
      </c>
      <c r="I433" s="6" t="s">
        <v>256</v>
      </c>
      <c r="J433" s="6" t="s">
        <v>115</v>
      </c>
      <c r="K433" s="17" t="s">
        <v>58</v>
      </c>
      <c r="L433" s="17" t="s">
        <v>1860</v>
      </c>
      <c r="M433" s="17" t="s">
        <v>17</v>
      </c>
      <c r="N433" s="17" t="s">
        <v>60</v>
      </c>
      <c r="O433" s="19" t="s">
        <v>125</v>
      </c>
      <c r="P433" s="21" t="s">
        <v>2098</v>
      </c>
      <c r="Q433" s="20"/>
      <c r="R433" s="20"/>
    </row>
    <row r="434" spans="1:18" ht="14.4" x14ac:dyDescent="0.3">
      <c r="A434" s="5">
        <v>427</v>
      </c>
      <c r="B434" s="24" t="s">
        <v>1861</v>
      </c>
      <c r="C434" s="13">
        <v>52916128</v>
      </c>
      <c r="D434" s="13">
        <v>3213134770</v>
      </c>
      <c r="E434" s="6" t="s">
        <v>20</v>
      </c>
      <c r="F434" s="7" t="s">
        <v>20</v>
      </c>
      <c r="G434" s="7" t="s">
        <v>20</v>
      </c>
      <c r="H434" s="8" t="s">
        <v>1862</v>
      </c>
      <c r="I434" s="6" t="s">
        <v>742</v>
      </c>
      <c r="J434" s="6" t="s">
        <v>80</v>
      </c>
      <c r="K434" s="6" t="s">
        <v>1780</v>
      </c>
      <c r="L434" s="6" t="s">
        <v>20</v>
      </c>
      <c r="M434" s="6" t="s">
        <v>80</v>
      </c>
      <c r="N434" s="6" t="s">
        <v>157</v>
      </c>
      <c r="O434" t="s">
        <v>1280</v>
      </c>
      <c r="P434" s="25" t="s">
        <v>2112</v>
      </c>
    </row>
    <row r="435" spans="1:18" ht="14.4" x14ac:dyDescent="0.3">
      <c r="A435" s="16">
        <v>428</v>
      </c>
      <c r="B435" s="24" t="s">
        <v>1863</v>
      </c>
      <c r="C435" s="13">
        <v>1032443029</v>
      </c>
      <c r="D435" s="13">
        <v>3223943468</v>
      </c>
      <c r="E435" s="6" t="s">
        <v>1864</v>
      </c>
      <c r="F435" s="7">
        <v>46058</v>
      </c>
      <c r="G435" s="7">
        <v>46238</v>
      </c>
      <c r="H435" s="8" t="s">
        <v>1865</v>
      </c>
      <c r="I435" s="6" t="s">
        <v>256</v>
      </c>
      <c r="J435" s="6" t="s">
        <v>115</v>
      </c>
      <c r="K435" s="6" t="s">
        <v>1019</v>
      </c>
      <c r="L435" s="6" t="s">
        <v>1866</v>
      </c>
      <c r="M435" s="6" t="s">
        <v>17</v>
      </c>
      <c r="N435" s="6" t="s">
        <v>683</v>
      </c>
      <c r="O435" t="s">
        <v>125</v>
      </c>
      <c r="P435" s="25" t="s">
        <v>2112</v>
      </c>
    </row>
    <row r="436" spans="1:18" ht="14.4" x14ac:dyDescent="0.3">
      <c r="A436" s="5">
        <v>429</v>
      </c>
      <c r="B436" s="24" t="s">
        <v>1867</v>
      </c>
      <c r="C436" s="13">
        <v>1070977964</v>
      </c>
      <c r="D436" s="13">
        <v>3209654372</v>
      </c>
      <c r="E436" s="6" t="s">
        <v>1868</v>
      </c>
      <c r="F436" s="7">
        <v>46044</v>
      </c>
      <c r="G436" s="7">
        <v>46225</v>
      </c>
      <c r="H436" s="8" t="s">
        <v>1869</v>
      </c>
      <c r="I436" s="6" t="s">
        <v>434</v>
      </c>
      <c r="J436" s="6" t="s">
        <v>115</v>
      </c>
      <c r="K436" s="6" t="s">
        <v>1870</v>
      </c>
      <c r="L436" s="6" t="s">
        <v>1871</v>
      </c>
      <c r="M436" s="6" t="s">
        <v>17</v>
      </c>
      <c r="N436" s="6" t="s">
        <v>60</v>
      </c>
      <c r="O436" t="s">
        <v>125</v>
      </c>
      <c r="P436" s="25" t="s">
        <v>2112</v>
      </c>
    </row>
    <row r="437" spans="1:18" ht="14.4" x14ac:dyDescent="0.3">
      <c r="A437" s="5">
        <v>430</v>
      </c>
      <c r="B437" s="17" t="s">
        <v>1008</v>
      </c>
      <c r="C437" s="6">
        <v>1072072690</v>
      </c>
      <c r="D437" s="6">
        <v>3112795171</v>
      </c>
      <c r="E437" s="12" t="s">
        <v>1009</v>
      </c>
      <c r="F437" s="7">
        <v>46048</v>
      </c>
      <c r="G437" s="7">
        <v>46351</v>
      </c>
      <c r="H437" s="8" t="s">
        <v>1010</v>
      </c>
      <c r="I437" s="6" t="s">
        <v>256</v>
      </c>
      <c r="J437" s="6" t="s">
        <v>106</v>
      </c>
      <c r="K437" s="6" t="s">
        <v>1872</v>
      </c>
      <c r="L437" s="6" t="s">
        <v>1873</v>
      </c>
      <c r="M437" s="6" t="s">
        <v>17</v>
      </c>
      <c r="N437" s="6" t="s">
        <v>60</v>
      </c>
      <c r="O437" t="s">
        <v>125</v>
      </c>
      <c r="P437" s="25" t="s">
        <v>2112</v>
      </c>
    </row>
    <row r="438" spans="1:18" ht="14.4" x14ac:dyDescent="0.3">
      <c r="A438" s="5">
        <v>431</v>
      </c>
      <c r="B438" s="24" t="s">
        <v>1874</v>
      </c>
      <c r="C438" s="13">
        <v>79795088</v>
      </c>
      <c r="D438" s="13">
        <v>3106630246</v>
      </c>
      <c r="E438" s="6" t="s">
        <v>20</v>
      </c>
      <c r="F438" s="6" t="s">
        <v>20</v>
      </c>
      <c r="G438" s="6" t="s">
        <v>20</v>
      </c>
      <c r="H438" s="8" t="s">
        <v>1875</v>
      </c>
      <c r="I438" s="6" t="s">
        <v>270</v>
      </c>
      <c r="J438" s="6" t="s">
        <v>115</v>
      </c>
      <c r="K438" s="6" t="s">
        <v>58</v>
      </c>
      <c r="L438" s="6" t="s">
        <v>1876</v>
      </c>
      <c r="M438" s="6" t="s">
        <v>17</v>
      </c>
      <c r="N438" s="6" t="s">
        <v>60</v>
      </c>
      <c r="O438" t="s">
        <v>119</v>
      </c>
      <c r="P438" s="25" t="s">
        <v>2112</v>
      </c>
    </row>
    <row r="439" spans="1:18" ht="14.4" x14ac:dyDescent="0.3">
      <c r="A439" s="16">
        <v>432</v>
      </c>
      <c r="B439" s="24" t="s">
        <v>1877</v>
      </c>
      <c r="C439" s="13">
        <v>79737327</v>
      </c>
      <c r="D439" s="13">
        <v>3154213826</v>
      </c>
      <c r="E439" s="6" t="s">
        <v>1878</v>
      </c>
      <c r="F439" s="7">
        <v>46038</v>
      </c>
      <c r="G439" s="7">
        <v>46387</v>
      </c>
      <c r="H439" s="8" t="s">
        <v>1879</v>
      </c>
      <c r="I439" s="6" t="s">
        <v>500</v>
      </c>
      <c r="J439" s="6" t="s">
        <v>115</v>
      </c>
      <c r="K439" s="6" t="s">
        <v>1339</v>
      </c>
      <c r="L439" s="6" t="s">
        <v>1880</v>
      </c>
      <c r="M439" s="6" t="s">
        <v>17</v>
      </c>
      <c r="N439" s="6" t="s">
        <v>60</v>
      </c>
      <c r="O439" t="s">
        <v>125</v>
      </c>
      <c r="P439" s="25" t="s">
        <v>2112</v>
      </c>
    </row>
    <row r="440" spans="1:18" ht="14.4" x14ac:dyDescent="0.3">
      <c r="A440" s="5">
        <v>433</v>
      </c>
      <c r="B440" s="24" t="s">
        <v>1881</v>
      </c>
      <c r="C440" s="13">
        <v>1020750683</v>
      </c>
      <c r="D440" s="13">
        <v>3126861297</v>
      </c>
      <c r="E440" s="6" t="s">
        <v>1882</v>
      </c>
      <c r="F440" s="7">
        <v>46051</v>
      </c>
      <c r="G440" s="7">
        <v>46262</v>
      </c>
      <c r="H440" s="8" t="s">
        <v>1883</v>
      </c>
      <c r="I440" s="6" t="s">
        <v>1843</v>
      </c>
      <c r="J440" s="6" t="s">
        <v>115</v>
      </c>
      <c r="K440" s="6" t="s">
        <v>363</v>
      </c>
      <c r="L440" s="6" t="s">
        <v>1884</v>
      </c>
      <c r="M440" s="6" t="s">
        <v>253</v>
      </c>
      <c r="N440" s="6" t="s">
        <v>60</v>
      </c>
      <c r="O440" t="s">
        <v>125</v>
      </c>
      <c r="P440" s="25" t="s">
        <v>2112</v>
      </c>
    </row>
    <row r="441" spans="1:18" ht="14.4" x14ac:dyDescent="0.3">
      <c r="A441" s="5">
        <v>434</v>
      </c>
      <c r="B441" s="24" t="s">
        <v>1885</v>
      </c>
      <c r="C441" s="13">
        <v>1018501304</v>
      </c>
      <c r="D441" s="13">
        <v>3215215543</v>
      </c>
      <c r="E441" s="6" t="s">
        <v>1886</v>
      </c>
      <c r="F441" s="7">
        <v>46050</v>
      </c>
      <c r="G441" s="7">
        <v>46387</v>
      </c>
      <c r="H441" s="8" t="s">
        <v>1887</v>
      </c>
      <c r="I441" s="6" t="s">
        <v>500</v>
      </c>
      <c r="J441" s="6" t="s">
        <v>155</v>
      </c>
      <c r="K441" s="6" t="s">
        <v>1298</v>
      </c>
      <c r="L441" s="6" t="s">
        <v>20</v>
      </c>
      <c r="M441" s="6" t="s">
        <v>129</v>
      </c>
      <c r="N441" s="6" t="s">
        <v>1888</v>
      </c>
      <c r="O441" t="s">
        <v>125</v>
      </c>
      <c r="P441" s="25" t="s">
        <v>2112</v>
      </c>
    </row>
    <row r="442" spans="1:18" ht="14.4" x14ac:dyDescent="0.3">
      <c r="A442" s="5">
        <v>435</v>
      </c>
      <c r="B442" s="24" t="s">
        <v>1889</v>
      </c>
      <c r="C442" s="13">
        <v>1023890368</v>
      </c>
      <c r="D442" s="13">
        <v>3142722271</v>
      </c>
      <c r="E442" s="6" t="s">
        <v>1890</v>
      </c>
      <c r="F442" s="7">
        <v>46042</v>
      </c>
      <c r="G442" s="7">
        <v>46345</v>
      </c>
      <c r="H442" s="8" t="s">
        <v>1891</v>
      </c>
      <c r="I442" s="6" t="s">
        <v>256</v>
      </c>
      <c r="J442" s="6" t="s">
        <v>106</v>
      </c>
      <c r="K442" s="6" t="s">
        <v>701</v>
      </c>
      <c r="L442" s="6" t="s">
        <v>1892</v>
      </c>
      <c r="M442" s="6" t="s">
        <v>17</v>
      </c>
      <c r="N442" s="6" t="s">
        <v>1893</v>
      </c>
      <c r="O442" t="s">
        <v>125</v>
      </c>
      <c r="P442" s="25" t="s">
        <v>2112</v>
      </c>
    </row>
    <row r="443" spans="1:18" ht="14.4" x14ac:dyDescent="0.3">
      <c r="A443" s="16">
        <v>436</v>
      </c>
      <c r="B443" s="24" t="s">
        <v>1894</v>
      </c>
      <c r="C443" s="24">
        <v>1014260067</v>
      </c>
      <c r="D443" s="24">
        <v>3057090104</v>
      </c>
      <c r="E443" s="17" t="s">
        <v>1895</v>
      </c>
      <c r="F443" s="18">
        <v>46051</v>
      </c>
      <c r="G443" s="18">
        <v>46231</v>
      </c>
      <c r="H443" s="8" t="s">
        <v>1896</v>
      </c>
      <c r="I443" s="17" t="s">
        <v>1041</v>
      </c>
      <c r="J443" s="6" t="s">
        <v>106</v>
      </c>
      <c r="K443" s="17" t="s">
        <v>1897</v>
      </c>
      <c r="L443" s="17" t="s">
        <v>20</v>
      </c>
      <c r="M443" s="6" t="s">
        <v>129</v>
      </c>
      <c r="N443" s="17" t="s">
        <v>24</v>
      </c>
      <c r="O443" s="19" t="s">
        <v>125</v>
      </c>
      <c r="P443" s="22" t="s">
        <v>2098</v>
      </c>
      <c r="Q443" s="20"/>
      <c r="R443" s="20"/>
    </row>
    <row r="444" spans="1:18" ht="14.4" x14ac:dyDescent="0.3">
      <c r="A444" s="5">
        <v>437</v>
      </c>
      <c r="B444" s="24" t="s">
        <v>1898</v>
      </c>
      <c r="C444" s="13">
        <v>52961559</v>
      </c>
      <c r="D444" s="13">
        <v>3184016976</v>
      </c>
      <c r="E444" s="6" t="s">
        <v>1899</v>
      </c>
      <c r="F444" s="7">
        <v>46055</v>
      </c>
      <c r="G444" s="7">
        <v>46387</v>
      </c>
      <c r="H444" s="8" t="s">
        <v>1900</v>
      </c>
      <c r="I444" s="6" t="s">
        <v>1825</v>
      </c>
      <c r="J444" s="6" t="s">
        <v>143</v>
      </c>
      <c r="K444" s="6" t="s">
        <v>1200</v>
      </c>
      <c r="L444" s="6" t="s">
        <v>1901</v>
      </c>
      <c r="M444" s="6" t="s">
        <v>17</v>
      </c>
      <c r="N444" s="6" t="s">
        <v>52</v>
      </c>
      <c r="O444" t="s">
        <v>125</v>
      </c>
      <c r="P444" s="25" t="s">
        <v>2112</v>
      </c>
    </row>
    <row r="445" spans="1:18" ht="14.4" x14ac:dyDescent="0.3">
      <c r="A445" s="5">
        <v>438</v>
      </c>
      <c r="B445" s="24" t="s">
        <v>1902</v>
      </c>
      <c r="C445" s="13">
        <v>1000522089</v>
      </c>
      <c r="D445" s="13">
        <v>3204810462</v>
      </c>
      <c r="E445" s="6" t="s">
        <v>1903</v>
      </c>
      <c r="F445" s="7">
        <v>46031</v>
      </c>
      <c r="G445" s="7">
        <v>46364</v>
      </c>
      <c r="H445" s="8" t="s">
        <v>1904</v>
      </c>
      <c r="I445" s="6" t="s">
        <v>1905</v>
      </c>
      <c r="J445" s="6" t="s">
        <v>143</v>
      </c>
      <c r="K445" s="6" t="s">
        <v>75</v>
      </c>
      <c r="L445" s="6" t="s">
        <v>1906</v>
      </c>
      <c r="M445" s="6" t="s">
        <v>17</v>
      </c>
      <c r="N445" s="6" t="s">
        <v>52</v>
      </c>
      <c r="O445" t="s">
        <v>125</v>
      </c>
      <c r="P445" s="25" t="s">
        <v>2112</v>
      </c>
    </row>
    <row r="446" spans="1:18" ht="14.4" x14ac:dyDescent="0.3">
      <c r="A446" s="5">
        <v>439</v>
      </c>
      <c r="B446" s="17" t="s">
        <v>832</v>
      </c>
      <c r="C446" s="6">
        <v>1030579980</v>
      </c>
      <c r="D446" s="6">
        <v>3112350620</v>
      </c>
      <c r="E446" s="12" t="s">
        <v>833</v>
      </c>
      <c r="F446" s="7">
        <v>46042</v>
      </c>
      <c r="G446" s="7">
        <v>46387</v>
      </c>
      <c r="H446" s="8" t="s">
        <v>834</v>
      </c>
      <c r="I446" s="6" t="s">
        <v>2109</v>
      </c>
      <c r="J446" s="6" t="s">
        <v>143</v>
      </c>
      <c r="K446" s="6" t="s">
        <v>1127</v>
      </c>
      <c r="L446" s="6" t="s">
        <v>1907</v>
      </c>
      <c r="M446" s="6" t="s">
        <v>17</v>
      </c>
      <c r="N446" s="6" t="s">
        <v>60</v>
      </c>
      <c r="O446" t="s">
        <v>125</v>
      </c>
      <c r="P446" s="25" t="s">
        <v>2112</v>
      </c>
    </row>
    <row r="447" spans="1:18" ht="14.4" x14ac:dyDescent="0.3">
      <c r="A447" s="16">
        <v>440</v>
      </c>
      <c r="B447" s="17" t="s">
        <v>1908</v>
      </c>
      <c r="C447" s="6">
        <v>1016008161</v>
      </c>
      <c r="D447" s="6">
        <v>3103430417</v>
      </c>
      <c r="E447" s="12" t="s">
        <v>1909</v>
      </c>
      <c r="F447" s="7">
        <v>46042</v>
      </c>
      <c r="G447" s="7">
        <v>46387</v>
      </c>
      <c r="H447" s="8" t="s">
        <v>1910</v>
      </c>
      <c r="I447" s="6" t="s">
        <v>500</v>
      </c>
      <c r="J447" s="6" t="s">
        <v>143</v>
      </c>
      <c r="K447" s="6" t="s">
        <v>64</v>
      </c>
      <c r="L447" s="6" t="s">
        <v>1911</v>
      </c>
      <c r="M447" s="6" t="s">
        <v>253</v>
      </c>
      <c r="N447" s="6" t="s">
        <v>60</v>
      </c>
      <c r="O447" t="s">
        <v>125</v>
      </c>
      <c r="P447" s="25" t="s">
        <v>2112</v>
      </c>
    </row>
    <row r="448" spans="1:18" ht="14.4" x14ac:dyDescent="0.3">
      <c r="A448" s="5">
        <v>441</v>
      </c>
      <c r="B448" s="17" t="s">
        <v>1912</v>
      </c>
      <c r="C448" s="6">
        <v>1022329322</v>
      </c>
      <c r="D448" s="6">
        <v>3112413007</v>
      </c>
      <c r="E448" s="12" t="s">
        <v>1913</v>
      </c>
      <c r="F448" s="7">
        <v>46030</v>
      </c>
      <c r="G448" s="7">
        <v>46387</v>
      </c>
      <c r="H448" s="8" t="s">
        <v>1914</v>
      </c>
      <c r="I448" s="6" t="s">
        <v>500</v>
      </c>
      <c r="J448" s="6" t="s">
        <v>115</v>
      </c>
      <c r="K448" s="6" t="s">
        <v>75</v>
      </c>
      <c r="L448" s="6" t="s">
        <v>1915</v>
      </c>
      <c r="M448" s="6" t="s">
        <v>17</v>
      </c>
      <c r="N448" s="6" t="s">
        <v>60</v>
      </c>
      <c r="O448" t="s">
        <v>125</v>
      </c>
      <c r="P448" s="25" t="s">
        <v>2112</v>
      </c>
    </row>
    <row r="449" spans="1:18" ht="14.4" x14ac:dyDescent="0.3">
      <c r="A449" s="5">
        <v>442</v>
      </c>
      <c r="B449" s="17" t="s">
        <v>1916</v>
      </c>
      <c r="C449" s="6">
        <v>1233512206</v>
      </c>
      <c r="D449" s="6">
        <v>3222171182</v>
      </c>
      <c r="E449" s="12" t="s">
        <v>20</v>
      </c>
      <c r="F449" s="7" t="s">
        <v>20</v>
      </c>
      <c r="G449" s="7" t="s">
        <v>20</v>
      </c>
      <c r="H449" s="8" t="s">
        <v>1917</v>
      </c>
      <c r="I449" s="6" t="s">
        <v>434</v>
      </c>
      <c r="J449" s="6" t="s">
        <v>106</v>
      </c>
      <c r="K449" s="6" t="s">
        <v>363</v>
      </c>
      <c r="L449" s="6" t="s">
        <v>1918</v>
      </c>
      <c r="M449" s="6" t="s">
        <v>17</v>
      </c>
      <c r="N449" s="6" t="s">
        <v>316</v>
      </c>
      <c r="O449" t="s">
        <v>119</v>
      </c>
      <c r="P449" s="25" t="s">
        <v>2112</v>
      </c>
    </row>
    <row r="450" spans="1:18" ht="14.4" x14ac:dyDescent="0.3">
      <c r="A450" s="5">
        <v>443</v>
      </c>
      <c r="B450" s="17" t="s">
        <v>1748</v>
      </c>
      <c r="C450" s="17">
        <v>1000284442</v>
      </c>
      <c r="D450" s="17">
        <v>3058723948</v>
      </c>
      <c r="E450" s="17" t="s">
        <v>1749</v>
      </c>
      <c r="F450" s="18">
        <v>46048</v>
      </c>
      <c r="G450" s="18">
        <v>46229</v>
      </c>
      <c r="H450" s="8" t="s">
        <v>1750</v>
      </c>
      <c r="I450" s="17" t="s">
        <v>1395</v>
      </c>
      <c r="J450" s="17" t="s">
        <v>155</v>
      </c>
      <c r="K450" s="17" t="s">
        <v>1461</v>
      </c>
      <c r="L450" s="17" t="s">
        <v>20</v>
      </c>
      <c r="M450" s="6" t="s">
        <v>129</v>
      </c>
      <c r="N450" s="17" t="s">
        <v>24</v>
      </c>
      <c r="O450" s="19" t="s">
        <v>125</v>
      </c>
      <c r="P450" s="21" t="s">
        <v>2098</v>
      </c>
      <c r="Q450" s="20"/>
      <c r="R450" s="20"/>
    </row>
    <row r="451" spans="1:18" ht="14.4" x14ac:dyDescent="0.3">
      <c r="A451" s="16">
        <v>444</v>
      </c>
      <c r="B451" s="17" t="s">
        <v>1433</v>
      </c>
      <c r="C451" s="6">
        <v>79595346</v>
      </c>
      <c r="D451" s="6">
        <v>3174775688</v>
      </c>
      <c r="E451" s="6" t="s">
        <v>1434</v>
      </c>
      <c r="F451" s="7">
        <v>46055</v>
      </c>
      <c r="G451" s="7">
        <v>46387</v>
      </c>
      <c r="H451" s="8" t="s">
        <v>1435</v>
      </c>
      <c r="I451" s="6" t="s">
        <v>500</v>
      </c>
      <c r="J451" s="6" t="s">
        <v>80</v>
      </c>
      <c r="K451" s="6" t="s">
        <v>550</v>
      </c>
      <c r="L451" s="6" t="s">
        <v>20</v>
      </c>
      <c r="M451" s="6" t="s">
        <v>80</v>
      </c>
      <c r="N451" s="6" t="s">
        <v>1919</v>
      </c>
      <c r="O451" t="s">
        <v>125</v>
      </c>
      <c r="P451" s="25" t="s">
        <v>2112</v>
      </c>
    </row>
    <row r="452" spans="1:18" ht="14.4" x14ac:dyDescent="0.3">
      <c r="A452" s="5">
        <v>445</v>
      </c>
      <c r="B452" s="17" t="s">
        <v>1920</v>
      </c>
      <c r="C452" s="17">
        <v>80061648</v>
      </c>
      <c r="D452" s="17">
        <v>3103076693</v>
      </c>
      <c r="E452" s="17" t="s">
        <v>1518</v>
      </c>
      <c r="F452" s="18">
        <v>46045</v>
      </c>
      <c r="G452" s="18">
        <v>46226</v>
      </c>
      <c r="H452" s="8" t="s">
        <v>1519</v>
      </c>
      <c r="I452" s="6" t="s">
        <v>270</v>
      </c>
      <c r="J452" s="6" t="s">
        <v>143</v>
      </c>
      <c r="K452" s="17" t="s">
        <v>1921</v>
      </c>
      <c r="L452" s="17" t="s">
        <v>1922</v>
      </c>
      <c r="M452" s="6" t="s">
        <v>253</v>
      </c>
      <c r="N452" s="17" t="s">
        <v>1923</v>
      </c>
      <c r="O452" s="19" t="s">
        <v>125</v>
      </c>
      <c r="P452" s="21" t="s">
        <v>2098</v>
      </c>
      <c r="Q452" s="20"/>
      <c r="R452" s="20"/>
    </row>
    <row r="453" spans="1:18" ht="14.4" x14ac:dyDescent="0.3">
      <c r="A453" s="5">
        <v>446</v>
      </c>
      <c r="B453" s="17" t="s">
        <v>584</v>
      </c>
      <c r="C453" s="6">
        <v>1001090013</v>
      </c>
      <c r="D453" s="6">
        <v>3214308705</v>
      </c>
      <c r="E453" s="12" t="s">
        <v>585</v>
      </c>
      <c r="F453" s="7">
        <v>46041</v>
      </c>
      <c r="G453" s="7">
        <v>46374</v>
      </c>
      <c r="H453" s="8" t="s">
        <v>586</v>
      </c>
      <c r="I453" s="6" t="s">
        <v>587</v>
      </c>
      <c r="J453" s="6" t="s">
        <v>143</v>
      </c>
      <c r="K453" s="6" t="s">
        <v>1924</v>
      </c>
      <c r="L453" s="6" t="s">
        <v>1925</v>
      </c>
      <c r="M453" s="6" t="s">
        <v>253</v>
      </c>
      <c r="N453" s="6" t="s">
        <v>60</v>
      </c>
      <c r="O453" t="s">
        <v>125</v>
      </c>
      <c r="P453" s="25" t="s">
        <v>2112</v>
      </c>
    </row>
    <row r="454" spans="1:18" ht="14.4" x14ac:dyDescent="0.3">
      <c r="A454" s="5">
        <v>447</v>
      </c>
      <c r="B454" s="17" t="s">
        <v>1926</v>
      </c>
      <c r="C454" s="6">
        <v>1121886960</v>
      </c>
      <c r="D454" s="6">
        <v>3102403763</v>
      </c>
      <c r="E454" s="12" t="s">
        <v>1927</v>
      </c>
      <c r="F454" s="7">
        <v>46036</v>
      </c>
      <c r="G454" s="7">
        <v>46387</v>
      </c>
      <c r="H454" s="8" t="s">
        <v>1928</v>
      </c>
      <c r="I454" s="6" t="s">
        <v>325</v>
      </c>
      <c r="J454" s="6" t="s">
        <v>143</v>
      </c>
      <c r="K454" s="6" t="s">
        <v>75</v>
      </c>
      <c r="L454" s="6" t="s">
        <v>1929</v>
      </c>
      <c r="M454" s="6" t="s">
        <v>253</v>
      </c>
      <c r="N454" s="6" t="s">
        <v>60</v>
      </c>
      <c r="O454" t="s">
        <v>125</v>
      </c>
      <c r="P454" s="25" t="s">
        <v>2112</v>
      </c>
    </row>
    <row r="455" spans="1:18" ht="14.4" x14ac:dyDescent="0.3">
      <c r="A455" s="16">
        <v>448</v>
      </c>
      <c r="B455" s="17" t="s">
        <v>1930</v>
      </c>
      <c r="C455" s="6">
        <v>1026264243</v>
      </c>
      <c r="D455" s="6">
        <v>3196783827</v>
      </c>
      <c r="E455" s="12" t="s">
        <v>1931</v>
      </c>
      <c r="F455" s="7">
        <v>46042</v>
      </c>
      <c r="G455" s="7">
        <v>46345</v>
      </c>
      <c r="H455" s="8" t="s">
        <v>1932</v>
      </c>
      <c r="I455" s="6" t="s">
        <v>256</v>
      </c>
      <c r="J455" s="6" t="s">
        <v>115</v>
      </c>
      <c r="K455" s="6" t="s">
        <v>1311</v>
      </c>
      <c r="L455" s="6" t="s">
        <v>1933</v>
      </c>
      <c r="M455" s="6" t="s">
        <v>17</v>
      </c>
      <c r="N455" s="6" t="s">
        <v>60</v>
      </c>
      <c r="O455" t="s">
        <v>125</v>
      </c>
      <c r="P455" s="25" t="s">
        <v>2112</v>
      </c>
    </row>
    <row r="456" spans="1:18" ht="14.4" x14ac:dyDescent="0.3">
      <c r="A456" s="5">
        <v>449</v>
      </c>
      <c r="B456" s="17" t="s">
        <v>1934</v>
      </c>
      <c r="C456" s="6">
        <v>51836043</v>
      </c>
      <c r="D456" s="6">
        <v>3123602046</v>
      </c>
      <c r="E456" s="12" t="s">
        <v>1935</v>
      </c>
      <c r="F456" s="7">
        <v>46048</v>
      </c>
      <c r="G456" s="7">
        <v>46228</v>
      </c>
      <c r="H456" s="8" t="s">
        <v>1936</v>
      </c>
      <c r="I456" s="6" t="s">
        <v>256</v>
      </c>
      <c r="J456" s="6" t="s">
        <v>106</v>
      </c>
      <c r="K456" s="6" t="s">
        <v>701</v>
      </c>
      <c r="L456" s="6" t="s">
        <v>1937</v>
      </c>
      <c r="M456" s="6" t="s">
        <v>17</v>
      </c>
      <c r="N456" s="6" t="s">
        <v>1938</v>
      </c>
      <c r="O456" t="s">
        <v>125</v>
      </c>
      <c r="P456" s="25" t="s">
        <v>2112</v>
      </c>
    </row>
    <row r="457" spans="1:18" ht="14.4" x14ac:dyDescent="0.3">
      <c r="A457" s="5">
        <v>450</v>
      </c>
      <c r="B457" s="17" t="s">
        <v>1462</v>
      </c>
      <c r="C457" s="6">
        <v>1022984445</v>
      </c>
      <c r="D457" s="6">
        <v>3053862189</v>
      </c>
      <c r="E457" s="6" t="s">
        <v>1463</v>
      </c>
      <c r="F457" s="7">
        <v>46048</v>
      </c>
      <c r="G457" s="7">
        <v>46199</v>
      </c>
      <c r="H457" s="8" t="s">
        <v>1464</v>
      </c>
      <c r="I457" s="6" t="s">
        <v>201</v>
      </c>
      <c r="J457" s="6" t="s">
        <v>80</v>
      </c>
      <c r="K457" s="6" t="s">
        <v>1939</v>
      </c>
      <c r="L457" s="6" t="s">
        <v>20</v>
      </c>
      <c r="M457" s="6" t="s">
        <v>129</v>
      </c>
      <c r="N457" s="6" t="s">
        <v>1940</v>
      </c>
      <c r="O457" t="s">
        <v>125</v>
      </c>
      <c r="P457" s="25" t="s">
        <v>2112</v>
      </c>
    </row>
    <row r="458" spans="1:18" ht="14.4" x14ac:dyDescent="0.3">
      <c r="A458" s="5">
        <v>451</v>
      </c>
      <c r="B458" s="17" t="s">
        <v>1941</v>
      </c>
      <c r="C458" s="17">
        <v>1051980148</v>
      </c>
      <c r="D458" s="17">
        <v>3188362196</v>
      </c>
      <c r="E458" s="17" t="s">
        <v>1942</v>
      </c>
      <c r="F458" s="18">
        <v>46041</v>
      </c>
      <c r="G458" s="18">
        <v>46375</v>
      </c>
      <c r="H458" s="8" t="s">
        <v>1943</v>
      </c>
      <c r="I458" s="6" t="s">
        <v>1229</v>
      </c>
      <c r="J458" s="6" t="s">
        <v>80</v>
      </c>
      <c r="K458" s="17" t="s">
        <v>81</v>
      </c>
      <c r="L458" s="17" t="s">
        <v>20</v>
      </c>
      <c r="M458" s="17" t="s">
        <v>80</v>
      </c>
      <c r="N458" s="17" t="s">
        <v>18</v>
      </c>
      <c r="O458" s="19" t="s">
        <v>125</v>
      </c>
      <c r="P458" s="22" t="s">
        <v>2098</v>
      </c>
      <c r="Q458" s="20"/>
      <c r="R458" s="20"/>
    </row>
    <row r="459" spans="1:18" ht="14.4" x14ac:dyDescent="0.3">
      <c r="A459" s="16">
        <v>452</v>
      </c>
      <c r="B459" s="17" t="s">
        <v>1944</v>
      </c>
      <c r="C459" s="6">
        <v>1106892760</v>
      </c>
      <c r="D459" s="6">
        <v>3015168315</v>
      </c>
      <c r="E459" s="12" t="s">
        <v>411</v>
      </c>
      <c r="F459" s="7">
        <v>46031</v>
      </c>
      <c r="G459" s="7">
        <v>46387</v>
      </c>
      <c r="H459" s="8" t="s">
        <v>412</v>
      </c>
      <c r="I459" s="17" t="s">
        <v>1667</v>
      </c>
      <c r="J459" s="6" t="s">
        <v>115</v>
      </c>
      <c r="K459" s="6" t="s">
        <v>22</v>
      </c>
      <c r="L459" s="6" t="s">
        <v>1945</v>
      </c>
      <c r="M459" s="6" t="s">
        <v>129</v>
      </c>
      <c r="N459" s="6" t="s">
        <v>18</v>
      </c>
      <c r="O459" t="s">
        <v>125</v>
      </c>
      <c r="P459" s="25" t="s">
        <v>2112</v>
      </c>
    </row>
    <row r="460" spans="1:18" ht="14.4" x14ac:dyDescent="0.3">
      <c r="A460" s="5">
        <v>453</v>
      </c>
      <c r="B460" s="17" t="s">
        <v>1946</v>
      </c>
      <c r="C460" s="6">
        <v>1032444607</v>
      </c>
      <c r="D460" s="6" t="s">
        <v>20</v>
      </c>
      <c r="E460" s="12" t="s">
        <v>20</v>
      </c>
      <c r="F460" s="12" t="s">
        <v>20</v>
      </c>
      <c r="G460" s="12" t="s">
        <v>20</v>
      </c>
      <c r="H460" s="8" t="s">
        <v>1947</v>
      </c>
      <c r="I460" s="6" t="s">
        <v>1698</v>
      </c>
      <c r="J460" s="6" t="s">
        <v>115</v>
      </c>
      <c r="K460" s="6" t="s">
        <v>1948</v>
      </c>
      <c r="L460" s="6" t="s">
        <v>1949</v>
      </c>
      <c r="M460" s="6" t="s">
        <v>129</v>
      </c>
      <c r="N460" s="6" t="s">
        <v>60</v>
      </c>
      <c r="O460" t="s">
        <v>1280</v>
      </c>
      <c r="P460" s="25" t="s">
        <v>2112</v>
      </c>
    </row>
    <row r="461" spans="1:18" ht="14.4" x14ac:dyDescent="0.3">
      <c r="A461" s="5">
        <v>454</v>
      </c>
      <c r="B461" s="17" t="s">
        <v>1950</v>
      </c>
      <c r="C461" s="6">
        <v>1010235400</v>
      </c>
      <c r="D461" s="6">
        <v>155443425</v>
      </c>
      <c r="E461" s="12" t="s">
        <v>1951</v>
      </c>
      <c r="F461" s="12">
        <v>46055</v>
      </c>
      <c r="G461" s="12">
        <v>46387</v>
      </c>
      <c r="H461" s="8" t="s">
        <v>1952</v>
      </c>
      <c r="I461" s="6" t="s">
        <v>500</v>
      </c>
      <c r="J461" s="6" t="s">
        <v>80</v>
      </c>
      <c r="K461" s="6" t="s">
        <v>1953</v>
      </c>
      <c r="L461" s="6" t="s">
        <v>20</v>
      </c>
      <c r="M461" s="6" t="s">
        <v>129</v>
      </c>
      <c r="N461" s="6" t="s">
        <v>1893</v>
      </c>
      <c r="O461" t="s">
        <v>125</v>
      </c>
      <c r="P461" s="25" t="s">
        <v>2112</v>
      </c>
    </row>
    <row r="462" spans="1:18" ht="14.4" x14ac:dyDescent="0.3">
      <c r="A462" s="5">
        <v>455</v>
      </c>
      <c r="B462" s="17" t="s">
        <v>1954</v>
      </c>
      <c r="C462" s="6">
        <v>1090374848</v>
      </c>
      <c r="D462" s="6">
        <v>3133631892</v>
      </c>
      <c r="E462" s="12" t="s">
        <v>1955</v>
      </c>
      <c r="F462" s="12">
        <v>46041</v>
      </c>
      <c r="G462" s="12">
        <v>46387</v>
      </c>
      <c r="H462" s="8" t="s">
        <v>1956</v>
      </c>
      <c r="I462" s="6" t="s">
        <v>201</v>
      </c>
      <c r="J462" s="6" t="s">
        <v>155</v>
      </c>
      <c r="K462" s="6" t="s">
        <v>1481</v>
      </c>
      <c r="L462" s="6" t="s">
        <v>20</v>
      </c>
      <c r="M462" s="6" t="s">
        <v>129</v>
      </c>
      <c r="N462" s="6" t="s">
        <v>24</v>
      </c>
      <c r="O462" t="s">
        <v>125</v>
      </c>
      <c r="P462" s="25" t="s">
        <v>2112</v>
      </c>
    </row>
    <row r="463" spans="1:18" ht="14.4" x14ac:dyDescent="0.3">
      <c r="A463" s="16">
        <v>456</v>
      </c>
      <c r="B463" s="17" t="s">
        <v>1957</v>
      </c>
      <c r="C463" s="6">
        <v>1032406226</v>
      </c>
      <c r="D463" s="6">
        <v>3142744046</v>
      </c>
      <c r="E463" s="12" t="s">
        <v>1958</v>
      </c>
      <c r="F463" s="12">
        <v>46042</v>
      </c>
      <c r="G463" s="12">
        <v>46375</v>
      </c>
      <c r="H463" s="8" t="s">
        <v>1959</v>
      </c>
      <c r="I463" s="6" t="s">
        <v>1960</v>
      </c>
      <c r="J463" s="6" t="s">
        <v>80</v>
      </c>
      <c r="K463" s="6" t="s">
        <v>1961</v>
      </c>
      <c r="L463" s="6" t="s">
        <v>20</v>
      </c>
      <c r="M463" s="6" t="s">
        <v>80</v>
      </c>
      <c r="N463" s="6" t="s">
        <v>157</v>
      </c>
      <c r="O463" t="s">
        <v>125</v>
      </c>
      <c r="P463" s="25" t="s">
        <v>2112</v>
      </c>
    </row>
    <row r="464" spans="1:18" ht="14.4" x14ac:dyDescent="0.3">
      <c r="A464" s="5">
        <v>457</v>
      </c>
      <c r="B464" s="17" t="s">
        <v>1962</v>
      </c>
      <c r="C464" s="6">
        <v>80767685</v>
      </c>
      <c r="D464" s="6">
        <v>3114519936</v>
      </c>
      <c r="E464" s="12" t="s">
        <v>1963</v>
      </c>
      <c r="F464" s="12">
        <v>46038</v>
      </c>
      <c r="G464" s="12">
        <v>46387</v>
      </c>
      <c r="H464" s="8" t="s">
        <v>1964</v>
      </c>
      <c r="I464" s="6" t="s">
        <v>285</v>
      </c>
      <c r="J464" s="6" t="s">
        <v>80</v>
      </c>
      <c r="K464" s="6" t="s">
        <v>550</v>
      </c>
      <c r="L464" s="6" t="s">
        <v>20</v>
      </c>
      <c r="M464" s="6" t="s">
        <v>80</v>
      </c>
      <c r="N464" s="6" t="s">
        <v>157</v>
      </c>
      <c r="O464" t="s">
        <v>125</v>
      </c>
      <c r="P464" s="25" t="s">
        <v>2112</v>
      </c>
    </row>
    <row r="465" spans="1:18" ht="14.4" x14ac:dyDescent="0.3">
      <c r="A465" s="5">
        <v>458</v>
      </c>
      <c r="B465" s="17" t="s">
        <v>787</v>
      </c>
      <c r="C465" s="6">
        <v>80766953</v>
      </c>
      <c r="D465" s="6">
        <v>3124619148</v>
      </c>
      <c r="E465" s="12" t="s">
        <v>788</v>
      </c>
      <c r="F465" s="7">
        <v>46035</v>
      </c>
      <c r="G465" s="7">
        <v>46277</v>
      </c>
      <c r="H465" s="8" t="s">
        <v>789</v>
      </c>
      <c r="I465" s="6" t="s">
        <v>500</v>
      </c>
      <c r="J465" s="6" t="s">
        <v>80</v>
      </c>
      <c r="K465" s="6" t="s">
        <v>1756</v>
      </c>
      <c r="L465" s="6" t="s">
        <v>20</v>
      </c>
      <c r="M465" s="6" t="s">
        <v>80</v>
      </c>
      <c r="N465" s="6" t="s">
        <v>24</v>
      </c>
      <c r="O465" t="s">
        <v>125</v>
      </c>
      <c r="P465" s="25" t="s">
        <v>2112</v>
      </c>
    </row>
    <row r="466" spans="1:18" ht="14.4" x14ac:dyDescent="0.3">
      <c r="A466" s="5">
        <v>459</v>
      </c>
      <c r="B466" s="17" t="s">
        <v>1965</v>
      </c>
      <c r="C466" s="6">
        <v>79954325</v>
      </c>
      <c r="D466" s="6">
        <v>3142398567</v>
      </c>
      <c r="E466" s="12" t="s">
        <v>1966</v>
      </c>
      <c r="F466" s="7">
        <v>46031</v>
      </c>
      <c r="G466" s="7">
        <v>46387</v>
      </c>
      <c r="H466" s="8" t="s">
        <v>1967</v>
      </c>
      <c r="I466" s="6" t="s">
        <v>434</v>
      </c>
      <c r="J466" s="6" t="s">
        <v>80</v>
      </c>
      <c r="K466" s="6" t="s">
        <v>1647</v>
      </c>
      <c r="L466" s="6" t="s">
        <v>20</v>
      </c>
      <c r="M466" s="6" t="s">
        <v>80</v>
      </c>
      <c r="N466" s="6" t="s">
        <v>24</v>
      </c>
      <c r="O466" t="s">
        <v>125</v>
      </c>
      <c r="P466" s="25" t="s">
        <v>2112</v>
      </c>
    </row>
    <row r="467" spans="1:18" ht="14.4" x14ac:dyDescent="0.3">
      <c r="A467" s="16">
        <v>460</v>
      </c>
      <c r="B467" s="17" t="s">
        <v>1728</v>
      </c>
      <c r="C467" s="6">
        <v>1026261037</v>
      </c>
      <c r="D467" s="6">
        <v>3005775183</v>
      </c>
      <c r="E467" s="6" t="s">
        <v>1729</v>
      </c>
      <c r="F467" s="7">
        <v>46031</v>
      </c>
      <c r="G467" s="7">
        <v>46351</v>
      </c>
      <c r="H467" s="8" t="s">
        <v>1730</v>
      </c>
      <c r="I467" s="6" t="s">
        <v>1905</v>
      </c>
      <c r="J467" s="6" t="s">
        <v>115</v>
      </c>
      <c r="K467" s="6" t="s">
        <v>354</v>
      </c>
      <c r="L467" s="6" t="s">
        <v>1968</v>
      </c>
      <c r="M467" s="6" t="s">
        <v>17</v>
      </c>
      <c r="N467" s="6" t="s">
        <v>60</v>
      </c>
      <c r="O467" t="s">
        <v>125</v>
      </c>
      <c r="P467" s="25" t="s">
        <v>2112</v>
      </c>
    </row>
    <row r="468" spans="1:18" ht="14.4" x14ac:dyDescent="0.3">
      <c r="A468" s="5">
        <v>461</v>
      </c>
      <c r="B468" s="17" t="s">
        <v>1969</v>
      </c>
      <c r="C468" s="17">
        <v>1006881475</v>
      </c>
      <c r="D468" s="24">
        <v>3157187705</v>
      </c>
      <c r="E468" s="17" t="s">
        <v>1970</v>
      </c>
      <c r="F468" s="18">
        <v>46048</v>
      </c>
      <c r="G468" s="18">
        <v>46387</v>
      </c>
      <c r="H468" s="8" t="s">
        <v>1971</v>
      </c>
      <c r="I468" s="6" t="s">
        <v>1229</v>
      </c>
      <c r="J468" s="6" t="s">
        <v>80</v>
      </c>
      <c r="K468" s="17" t="s">
        <v>1972</v>
      </c>
      <c r="L468" s="17" t="s">
        <v>20</v>
      </c>
      <c r="M468" s="17" t="s">
        <v>80</v>
      </c>
      <c r="N468" s="17" t="s">
        <v>1856</v>
      </c>
      <c r="O468" s="19" t="s">
        <v>125</v>
      </c>
      <c r="P468" s="21" t="s">
        <v>2098</v>
      </c>
      <c r="Q468" s="20"/>
      <c r="R468" s="20"/>
    </row>
    <row r="469" spans="1:18" ht="14.4" x14ac:dyDescent="0.3">
      <c r="A469" s="5">
        <v>462</v>
      </c>
      <c r="B469" s="17" t="s">
        <v>1497</v>
      </c>
      <c r="C469" s="17">
        <v>80019944</v>
      </c>
      <c r="D469" s="17">
        <v>3015363830</v>
      </c>
      <c r="E469" s="23" t="s">
        <v>1498</v>
      </c>
      <c r="F469" s="18">
        <v>46038</v>
      </c>
      <c r="G469" s="18">
        <v>46387</v>
      </c>
      <c r="H469" s="8" t="s">
        <v>1499</v>
      </c>
      <c r="I469" s="6" t="s">
        <v>434</v>
      </c>
      <c r="J469" s="6" t="s">
        <v>143</v>
      </c>
      <c r="K469" s="17" t="s">
        <v>202</v>
      </c>
      <c r="L469" s="17" t="s">
        <v>1973</v>
      </c>
      <c r="M469" s="17" t="s">
        <v>17</v>
      </c>
      <c r="N469" s="17" t="s">
        <v>18</v>
      </c>
      <c r="O469" s="19" t="s">
        <v>125</v>
      </c>
      <c r="P469" s="22" t="s">
        <v>2098</v>
      </c>
      <c r="Q469" s="20"/>
      <c r="R469" s="20"/>
    </row>
    <row r="470" spans="1:18" ht="14.4" x14ac:dyDescent="0.3">
      <c r="A470" s="5">
        <v>463</v>
      </c>
      <c r="B470" s="17" t="s">
        <v>1974</v>
      </c>
      <c r="C470" s="17">
        <v>1032419051</v>
      </c>
      <c r="D470" s="17">
        <v>3167537379</v>
      </c>
      <c r="E470" s="17" t="s">
        <v>1975</v>
      </c>
      <c r="F470" s="18">
        <v>46101</v>
      </c>
      <c r="G470" s="18">
        <v>46387</v>
      </c>
      <c r="H470" s="8" t="s">
        <v>1976</v>
      </c>
      <c r="I470" s="6" t="s">
        <v>201</v>
      </c>
      <c r="J470" s="6" t="s">
        <v>143</v>
      </c>
      <c r="K470" s="17" t="s">
        <v>1977</v>
      </c>
      <c r="L470" s="17" t="s">
        <v>1978</v>
      </c>
      <c r="M470" s="6" t="s">
        <v>253</v>
      </c>
      <c r="N470" s="17" t="s">
        <v>18</v>
      </c>
      <c r="O470" s="19" t="s">
        <v>125</v>
      </c>
      <c r="P470" s="22" t="s">
        <v>2098</v>
      </c>
      <c r="Q470" s="20"/>
      <c r="R470" s="20"/>
    </row>
    <row r="471" spans="1:18" ht="14.4" x14ac:dyDescent="0.3">
      <c r="A471" s="16">
        <v>464</v>
      </c>
      <c r="B471" s="17" t="s">
        <v>1979</v>
      </c>
      <c r="C471" s="6">
        <v>1019007970</v>
      </c>
      <c r="D471" s="6">
        <v>3017193730</v>
      </c>
      <c r="E471" s="6" t="s">
        <v>20</v>
      </c>
      <c r="F471" s="7" t="s">
        <v>20</v>
      </c>
      <c r="G471" s="7" t="s">
        <v>20</v>
      </c>
      <c r="H471" s="8" t="s">
        <v>1268</v>
      </c>
      <c r="I471" s="6" t="s">
        <v>742</v>
      </c>
      <c r="J471" s="6" t="s">
        <v>80</v>
      </c>
      <c r="K471" s="6" t="s">
        <v>1980</v>
      </c>
      <c r="L471" s="6" t="s">
        <v>20</v>
      </c>
      <c r="M471" s="6" t="s">
        <v>80</v>
      </c>
      <c r="N471" s="6" t="s">
        <v>24</v>
      </c>
      <c r="O471" t="s">
        <v>1280</v>
      </c>
      <c r="P471" s="25" t="s">
        <v>2112</v>
      </c>
    </row>
    <row r="472" spans="1:18" ht="14.4" x14ac:dyDescent="0.3">
      <c r="A472" s="5">
        <v>465</v>
      </c>
      <c r="B472" s="17" t="s">
        <v>860</v>
      </c>
      <c r="C472" s="6">
        <v>29120343</v>
      </c>
      <c r="D472" s="6">
        <v>3017861952</v>
      </c>
      <c r="E472" s="12" t="s">
        <v>861</v>
      </c>
      <c r="F472" s="7">
        <v>46057</v>
      </c>
      <c r="G472" s="7">
        <v>46387</v>
      </c>
      <c r="H472" s="8" t="s">
        <v>862</v>
      </c>
      <c r="I472" s="6" t="s">
        <v>500</v>
      </c>
      <c r="J472" s="6" t="s">
        <v>143</v>
      </c>
      <c r="K472" s="6" t="s">
        <v>1921</v>
      </c>
      <c r="L472" s="6" t="s">
        <v>1981</v>
      </c>
      <c r="M472" s="6" t="s">
        <v>253</v>
      </c>
      <c r="N472" s="6" t="s">
        <v>60</v>
      </c>
      <c r="O472" t="s">
        <v>125</v>
      </c>
      <c r="P472" s="25" t="s">
        <v>2112</v>
      </c>
    </row>
    <row r="473" spans="1:18" ht="14.4" x14ac:dyDescent="0.3">
      <c r="A473" s="5">
        <v>466</v>
      </c>
      <c r="B473" s="17" t="s">
        <v>1982</v>
      </c>
      <c r="C473" s="6">
        <v>79786845</v>
      </c>
      <c r="D473" s="6">
        <v>3103097228</v>
      </c>
      <c r="E473" s="6" t="s">
        <v>1983</v>
      </c>
      <c r="F473" s="7">
        <v>46042</v>
      </c>
      <c r="G473" s="7">
        <v>46222</v>
      </c>
      <c r="H473" s="8" t="s">
        <v>1984</v>
      </c>
      <c r="I473" s="17" t="s">
        <v>1041</v>
      </c>
      <c r="J473" s="6" t="s">
        <v>143</v>
      </c>
      <c r="K473" s="6" t="s">
        <v>501</v>
      </c>
      <c r="L473" s="6" t="s">
        <v>1985</v>
      </c>
      <c r="M473" s="6" t="s">
        <v>17</v>
      </c>
      <c r="N473" s="6" t="s">
        <v>259</v>
      </c>
      <c r="O473" t="s">
        <v>125</v>
      </c>
      <c r="P473" s="25" t="s">
        <v>2112</v>
      </c>
    </row>
    <row r="474" spans="1:18" ht="14.4" x14ac:dyDescent="0.3">
      <c r="A474" s="5">
        <v>467</v>
      </c>
      <c r="B474" s="17" t="s">
        <v>1982</v>
      </c>
      <c r="C474" s="6">
        <v>79786845</v>
      </c>
      <c r="D474" s="6">
        <v>3103097228</v>
      </c>
      <c r="E474" s="6" t="s">
        <v>1983</v>
      </c>
      <c r="F474" s="7">
        <v>46042</v>
      </c>
      <c r="G474" s="7">
        <v>46222</v>
      </c>
      <c r="H474" s="8" t="s">
        <v>1984</v>
      </c>
      <c r="I474" s="17" t="s">
        <v>1041</v>
      </c>
      <c r="J474" s="6" t="s">
        <v>106</v>
      </c>
      <c r="K474" s="6" t="s">
        <v>132</v>
      </c>
      <c r="L474" s="6" t="s">
        <v>1986</v>
      </c>
      <c r="M474" s="6" t="s">
        <v>17</v>
      </c>
      <c r="N474" s="6" t="s">
        <v>157</v>
      </c>
      <c r="O474" t="s">
        <v>125</v>
      </c>
      <c r="P474" s="25" t="s">
        <v>2112</v>
      </c>
    </row>
    <row r="475" spans="1:18" ht="14.4" x14ac:dyDescent="0.3">
      <c r="A475" s="16">
        <v>468</v>
      </c>
      <c r="B475" s="17" t="s">
        <v>1982</v>
      </c>
      <c r="C475" s="6">
        <v>79786845</v>
      </c>
      <c r="D475" s="6">
        <v>3103097228</v>
      </c>
      <c r="E475" s="6" t="s">
        <v>1983</v>
      </c>
      <c r="F475" s="7">
        <v>46042</v>
      </c>
      <c r="G475" s="7">
        <v>46222</v>
      </c>
      <c r="H475" s="8" t="s">
        <v>1984</v>
      </c>
      <c r="I475" s="17" t="s">
        <v>1041</v>
      </c>
      <c r="J475" s="6" t="s">
        <v>155</v>
      </c>
      <c r="K475" s="6" t="s">
        <v>1987</v>
      </c>
      <c r="L475" s="6" t="s">
        <v>20</v>
      </c>
      <c r="M475" s="6" t="s">
        <v>129</v>
      </c>
      <c r="N475" s="6" t="s">
        <v>1988</v>
      </c>
      <c r="O475" t="s">
        <v>125</v>
      </c>
      <c r="P475" s="25" t="s">
        <v>2112</v>
      </c>
    </row>
    <row r="476" spans="1:18" ht="14.4" x14ac:dyDescent="0.3">
      <c r="A476" s="5">
        <v>469</v>
      </c>
      <c r="B476" s="17" t="s">
        <v>1482</v>
      </c>
      <c r="C476" s="6">
        <v>52883834</v>
      </c>
      <c r="D476" s="6">
        <v>3204174797</v>
      </c>
      <c r="E476" s="12" t="s">
        <v>1483</v>
      </c>
      <c r="F476" s="7">
        <v>46041</v>
      </c>
      <c r="G476" s="7">
        <v>46242</v>
      </c>
      <c r="H476" s="8" t="s">
        <v>1484</v>
      </c>
      <c r="I476" s="6" t="s">
        <v>1338</v>
      </c>
      <c r="J476" s="6" t="s">
        <v>115</v>
      </c>
      <c r="K476" s="6" t="s">
        <v>439</v>
      </c>
      <c r="L476" s="6" t="s">
        <v>1989</v>
      </c>
      <c r="M476" s="6" t="s">
        <v>17</v>
      </c>
      <c r="N476" s="6" t="s">
        <v>18</v>
      </c>
      <c r="O476" t="s">
        <v>125</v>
      </c>
      <c r="P476" s="25" t="s">
        <v>2112</v>
      </c>
    </row>
    <row r="477" spans="1:18" ht="14.4" x14ac:dyDescent="0.3">
      <c r="A477" s="5">
        <v>470</v>
      </c>
      <c r="B477" s="17" t="s">
        <v>1990</v>
      </c>
      <c r="C477" s="6">
        <v>84102209</v>
      </c>
      <c r="D477" s="6">
        <v>3013739116</v>
      </c>
      <c r="E477" s="6" t="s">
        <v>1991</v>
      </c>
      <c r="F477" s="7">
        <v>46045</v>
      </c>
      <c r="G477" s="7">
        <v>46387</v>
      </c>
      <c r="H477" s="8" t="s">
        <v>1992</v>
      </c>
      <c r="I477" s="6" t="s">
        <v>434</v>
      </c>
      <c r="J477" s="6" t="s">
        <v>115</v>
      </c>
      <c r="K477" s="6" t="s">
        <v>138</v>
      </c>
      <c r="L477" s="6" t="s">
        <v>1993</v>
      </c>
      <c r="M477" s="6" t="s">
        <v>17</v>
      </c>
      <c r="N477" s="6" t="s">
        <v>60</v>
      </c>
      <c r="O477" t="s">
        <v>125</v>
      </c>
      <c r="P477" s="25" t="s">
        <v>2112</v>
      </c>
    </row>
    <row r="478" spans="1:18" ht="14.4" x14ac:dyDescent="0.3">
      <c r="A478" s="5">
        <v>471</v>
      </c>
      <c r="B478" s="17" t="s">
        <v>1994</v>
      </c>
      <c r="C478" s="6">
        <v>1103095276</v>
      </c>
      <c r="D478" s="6">
        <v>3014977779</v>
      </c>
      <c r="E478" s="6" t="s">
        <v>88</v>
      </c>
      <c r="F478" s="7">
        <v>46142</v>
      </c>
      <c r="G478" s="7">
        <v>46255</v>
      </c>
      <c r="H478" s="8" t="s">
        <v>1995</v>
      </c>
      <c r="I478" s="6" t="s">
        <v>1905</v>
      </c>
      <c r="J478" s="6" t="s">
        <v>115</v>
      </c>
      <c r="K478" s="6" t="s">
        <v>501</v>
      </c>
      <c r="L478" s="6" t="s">
        <v>1996</v>
      </c>
      <c r="M478" s="6" t="s">
        <v>17</v>
      </c>
      <c r="N478" s="6" t="s">
        <v>60</v>
      </c>
      <c r="O478" t="s">
        <v>125</v>
      </c>
      <c r="P478" s="25" t="s">
        <v>2112</v>
      </c>
    </row>
    <row r="479" spans="1:18" ht="14.4" x14ac:dyDescent="0.3">
      <c r="A479" s="16">
        <v>472</v>
      </c>
      <c r="B479" s="17" t="s">
        <v>1994</v>
      </c>
      <c r="C479" s="6">
        <v>1103095276</v>
      </c>
      <c r="D479" s="6">
        <v>3014977779</v>
      </c>
      <c r="E479" s="6" t="s">
        <v>88</v>
      </c>
      <c r="F479" s="7">
        <v>46142</v>
      </c>
      <c r="G479" s="7">
        <v>46255</v>
      </c>
      <c r="H479" s="8" t="s">
        <v>1995</v>
      </c>
      <c r="I479" s="6" t="s">
        <v>1905</v>
      </c>
      <c r="J479" s="6" t="s">
        <v>106</v>
      </c>
      <c r="K479" s="6" t="s">
        <v>15</v>
      </c>
      <c r="L479" s="6" t="s">
        <v>1997</v>
      </c>
      <c r="M479" s="6" t="s">
        <v>17</v>
      </c>
      <c r="N479" s="6" t="s">
        <v>157</v>
      </c>
      <c r="O479" t="s">
        <v>125</v>
      </c>
      <c r="P479" s="25" t="s">
        <v>2112</v>
      </c>
    </row>
    <row r="480" spans="1:18" ht="14.4" x14ac:dyDescent="0.3">
      <c r="A480" s="5">
        <v>473</v>
      </c>
      <c r="B480" s="17" t="s">
        <v>1998</v>
      </c>
      <c r="C480" s="17">
        <v>80112042</v>
      </c>
      <c r="D480" s="17">
        <v>3178728376</v>
      </c>
      <c r="E480" s="17" t="s">
        <v>1999</v>
      </c>
      <c r="F480" s="18">
        <v>46041</v>
      </c>
      <c r="G480" s="18">
        <v>46221</v>
      </c>
      <c r="H480" s="8" t="s">
        <v>2000</v>
      </c>
      <c r="I480" s="6" t="s">
        <v>1229</v>
      </c>
      <c r="J480" s="6" t="s">
        <v>80</v>
      </c>
      <c r="K480" s="17" t="s">
        <v>2001</v>
      </c>
      <c r="L480" s="17" t="s">
        <v>20</v>
      </c>
      <c r="M480" s="17" t="s">
        <v>80</v>
      </c>
      <c r="N480" s="17" t="s">
        <v>60</v>
      </c>
      <c r="O480" s="19" t="s">
        <v>125</v>
      </c>
      <c r="P480" s="22" t="s">
        <v>2098</v>
      </c>
      <c r="Q480" s="20"/>
      <c r="R480" s="20"/>
    </row>
    <row r="481" spans="1:18" ht="14.4" x14ac:dyDescent="0.3">
      <c r="A481" s="5">
        <v>474</v>
      </c>
      <c r="B481" s="17" t="s">
        <v>2002</v>
      </c>
      <c r="C481" s="6">
        <v>80755333</v>
      </c>
      <c r="D481" s="6">
        <v>3115901496</v>
      </c>
      <c r="E481" s="12" t="s">
        <v>1237</v>
      </c>
      <c r="F481" s="7">
        <v>46049</v>
      </c>
      <c r="G481" s="7">
        <v>46230</v>
      </c>
      <c r="H481" s="8" t="s">
        <v>1238</v>
      </c>
      <c r="I481" s="6" t="s">
        <v>256</v>
      </c>
      <c r="J481" s="6" t="s">
        <v>106</v>
      </c>
      <c r="K481" s="6" t="s">
        <v>363</v>
      </c>
      <c r="L481" s="6" t="s">
        <v>2003</v>
      </c>
      <c r="M481" s="6" t="s">
        <v>17</v>
      </c>
      <c r="N481" s="6" t="s">
        <v>2004</v>
      </c>
      <c r="O481" t="s">
        <v>125</v>
      </c>
      <c r="P481" s="25" t="s">
        <v>2112</v>
      </c>
    </row>
    <row r="482" spans="1:18" ht="14.4" x14ac:dyDescent="0.3">
      <c r="A482" s="5">
        <v>475</v>
      </c>
      <c r="B482" s="17" t="s">
        <v>2005</v>
      </c>
      <c r="C482" s="6">
        <v>80504271</v>
      </c>
      <c r="D482" s="6">
        <v>3105507306</v>
      </c>
      <c r="E482" s="6" t="s">
        <v>20</v>
      </c>
      <c r="F482" s="6" t="s">
        <v>20</v>
      </c>
      <c r="G482" s="6" t="s">
        <v>20</v>
      </c>
      <c r="H482" s="8" t="s">
        <v>2006</v>
      </c>
      <c r="I482" s="6" t="s">
        <v>270</v>
      </c>
      <c r="J482" s="6" t="s">
        <v>115</v>
      </c>
      <c r="K482" s="6" t="s">
        <v>304</v>
      </c>
      <c r="L482" s="6" t="s">
        <v>2007</v>
      </c>
      <c r="M482" s="6" t="s">
        <v>17</v>
      </c>
      <c r="N482" s="6" t="s">
        <v>60</v>
      </c>
      <c r="O482" s="10" t="s">
        <v>119</v>
      </c>
      <c r="P482" s="25" t="s">
        <v>2112</v>
      </c>
    </row>
    <row r="483" spans="1:18" ht="14.4" x14ac:dyDescent="0.3">
      <c r="A483" s="16">
        <v>476</v>
      </c>
      <c r="B483" s="17" t="s">
        <v>2008</v>
      </c>
      <c r="C483" s="17">
        <v>91110560</v>
      </c>
      <c r="D483" s="24">
        <v>3168685422</v>
      </c>
      <c r="E483" s="23" t="s">
        <v>2009</v>
      </c>
      <c r="F483" s="18">
        <v>46030</v>
      </c>
      <c r="G483" s="18">
        <v>46387</v>
      </c>
      <c r="H483" s="8" t="s">
        <v>2010</v>
      </c>
      <c r="I483" s="17" t="s">
        <v>2011</v>
      </c>
      <c r="J483" s="6" t="s">
        <v>115</v>
      </c>
      <c r="K483" s="17" t="s">
        <v>75</v>
      </c>
      <c r="L483" s="17" t="s">
        <v>2012</v>
      </c>
      <c r="M483" s="17" t="s">
        <v>17</v>
      </c>
      <c r="N483" s="17" t="s">
        <v>2013</v>
      </c>
      <c r="O483" s="19" t="s">
        <v>125</v>
      </c>
      <c r="P483" s="22" t="s">
        <v>2098</v>
      </c>
      <c r="Q483" s="20"/>
      <c r="R483" s="20"/>
    </row>
    <row r="484" spans="1:18" ht="14.4" x14ac:dyDescent="0.3">
      <c r="A484" s="5">
        <v>477</v>
      </c>
      <c r="B484" s="17" t="s">
        <v>2014</v>
      </c>
      <c r="C484" s="6">
        <v>1023946531</v>
      </c>
      <c r="D484" s="6" t="s">
        <v>20</v>
      </c>
      <c r="E484" s="6" t="s">
        <v>20</v>
      </c>
      <c r="F484" s="7" t="s">
        <v>20</v>
      </c>
      <c r="G484" s="7" t="s">
        <v>20</v>
      </c>
      <c r="H484" s="7" t="s">
        <v>20</v>
      </c>
      <c r="I484" s="6" t="s">
        <v>1698</v>
      </c>
      <c r="J484" s="6" t="s">
        <v>115</v>
      </c>
      <c r="K484" s="6" t="s">
        <v>2015</v>
      </c>
      <c r="L484" s="6" t="s">
        <v>2016</v>
      </c>
      <c r="M484" s="6" t="s">
        <v>253</v>
      </c>
      <c r="N484" s="6" t="s">
        <v>60</v>
      </c>
      <c r="O484" t="s">
        <v>1280</v>
      </c>
      <c r="P484" s="25" t="s">
        <v>2112</v>
      </c>
    </row>
    <row r="485" spans="1:18" ht="14.4" x14ac:dyDescent="0.3">
      <c r="A485" s="5">
        <v>478</v>
      </c>
      <c r="B485" s="17" t="s">
        <v>783</v>
      </c>
      <c r="C485" s="17">
        <v>1020716220</v>
      </c>
      <c r="D485" s="17">
        <v>3103201521</v>
      </c>
      <c r="E485" s="17" t="s">
        <v>784</v>
      </c>
      <c r="F485" s="18">
        <v>46031</v>
      </c>
      <c r="G485" s="18">
        <v>46209</v>
      </c>
      <c r="H485" s="8" t="s">
        <v>785</v>
      </c>
      <c r="I485" s="17" t="s">
        <v>299</v>
      </c>
      <c r="J485" s="6" t="s">
        <v>143</v>
      </c>
      <c r="K485" s="17" t="s">
        <v>2017</v>
      </c>
      <c r="L485" s="17" t="s">
        <v>2018</v>
      </c>
      <c r="M485" s="6" t="s">
        <v>129</v>
      </c>
      <c r="N485" s="17" t="s">
        <v>52</v>
      </c>
      <c r="O485" s="19" t="s">
        <v>125</v>
      </c>
      <c r="P485" s="21" t="s">
        <v>2098</v>
      </c>
      <c r="Q485" s="20"/>
      <c r="R485" s="20"/>
    </row>
    <row r="486" spans="1:18" ht="14.4" x14ac:dyDescent="0.3">
      <c r="A486" s="5">
        <v>479</v>
      </c>
      <c r="B486" s="17" t="s">
        <v>2019</v>
      </c>
      <c r="C486" s="6">
        <v>79756851</v>
      </c>
      <c r="D486" s="6">
        <v>3108874878</v>
      </c>
      <c r="E486" s="6" t="s">
        <v>20</v>
      </c>
      <c r="F486" s="6" t="s">
        <v>20</v>
      </c>
      <c r="G486" s="6" t="s">
        <v>20</v>
      </c>
      <c r="H486" s="8" t="s">
        <v>2020</v>
      </c>
      <c r="I486" s="6" t="s">
        <v>500</v>
      </c>
      <c r="J486" s="6" t="s">
        <v>115</v>
      </c>
      <c r="K486" s="6" t="s">
        <v>116</v>
      </c>
      <c r="L486" s="6" t="s">
        <v>2021</v>
      </c>
      <c r="M486" s="6" t="s">
        <v>17</v>
      </c>
      <c r="N486" s="6" t="s">
        <v>60</v>
      </c>
      <c r="O486" s="10" t="s">
        <v>119</v>
      </c>
      <c r="P486" s="25" t="s">
        <v>2112</v>
      </c>
    </row>
    <row r="487" spans="1:18" ht="14.4" x14ac:dyDescent="0.3">
      <c r="A487" s="16">
        <v>480</v>
      </c>
      <c r="B487" s="17" t="s">
        <v>1222</v>
      </c>
      <c r="C487" s="6">
        <v>1012383494</v>
      </c>
      <c r="D487" s="6">
        <v>3124369221</v>
      </c>
      <c r="E487" s="12" t="s">
        <v>1223</v>
      </c>
      <c r="F487" s="7">
        <v>46029</v>
      </c>
      <c r="G487" s="7">
        <v>46387</v>
      </c>
      <c r="H487" s="8" t="s">
        <v>1224</v>
      </c>
      <c r="I487" s="6" t="s">
        <v>201</v>
      </c>
      <c r="J487" s="6" t="s">
        <v>115</v>
      </c>
      <c r="K487" s="6" t="s">
        <v>2022</v>
      </c>
      <c r="L487" s="6" t="s">
        <v>2023</v>
      </c>
      <c r="M487" s="6" t="s">
        <v>129</v>
      </c>
      <c r="N487" s="6" t="s">
        <v>24</v>
      </c>
      <c r="O487" t="s">
        <v>125</v>
      </c>
      <c r="P487" s="25" t="s">
        <v>2112</v>
      </c>
    </row>
    <row r="488" spans="1:18" ht="14.4" x14ac:dyDescent="0.3">
      <c r="A488" s="5">
        <v>481</v>
      </c>
      <c r="B488" s="17" t="s">
        <v>2024</v>
      </c>
      <c r="C488" s="6">
        <v>7725270</v>
      </c>
      <c r="D488" s="6">
        <v>3168321067</v>
      </c>
      <c r="E488" s="12" t="s">
        <v>757</v>
      </c>
      <c r="F488" s="7">
        <v>46048</v>
      </c>
      <c r="G488" s="7">
        <v>46290</v>
      </c>
      <c r="H488" s="8" t="s">
        <v>2025</v>
      </c>
      <c r="I488" s="6" t="s">
        <v>325</v>
      </c>
      <c r="J488" s="6" t="s">
        <v>155</v>
      </c>
      <c r="K488" s="6" t="s">
        <v>2026</v>
      </c>
      <c r="L488" s="6" t="s">
        <v>20</v>
      </c>
      <c r="M488" s="6" t="s">
        <v>129</v>
      </c>
      <c r="N488" s="6" t="s">
        <v>24</v>
      </c>
      <c r="O488" t="s">
        <v>125</v>
      </c>
      <c r="P488" s="25" t="s">
        <v>2112</v>
      </c>
    </row>
    <row r="489" spans="1:18" ht="14.4" x14ac:dyDescent="0.3">
      <c r="A489" s="5">
        <v>482</v>
      </c>
      <c r="B489" s="17" t="s">
        <v>543</v>
      </c>
      <c r="C489" s="6">
        <v>13741047</v>
      </c>
      <c r="D489" s="6">
        <v>3108128412</v>
      </c>
      <c r="E489" s="12" t="s">
        <v>544</v>
      </c>
      <c r="F489" s="7">
        <v>46029</v>
      </c>
      <c r="G489" s="7">
        <v>46363</v>
      </c>
      <c r="H489" s="8" t="s">
        <v>545</v>
      </c>
      <c r="I489" s="6" t="s">
        <v>1905</v>
      </c>
      <c r="J489" s="6" t="s">
        <v>115</v>
      </c>
      <c r="K489" s="6" t="s">
        <v>2017</v>
      </c>
      <c r="L489" s="6" t="s">
        <v>2027</v>
      </c>
      <c r="M489" s="6" t="s">
        <v>129</v>
      </c>
      <c r="N489" s="6" t="s">
        <v>52</v>
      </c>
      <c r="O489" t="s">
        <v>125</v>
      </c>
      <c r="P489" s="25" t="s">
        <v>2112</v>
      </c>
    </row>
    <row r="490" spans="1:18" ht="14.4" x14ac:dyDescent="0.3">
      <c r="A490" s="5">
        <v>483</v>
      </c>
      <c r="B490" s="17" t="s">
        <v>2028</v>
      </c>
      <c r="C490" s="6">
        <v>79979024</v>
      </c>
      <c r="D490" s="6">
        <v>3133627940</v>
      </c>
      <c r="E490" s="12" t="s">
        <v>20</v>
      </c>
      <c r="F490" s="6" t="s">
        <v>20</v>
      </c>
      <c r="G490" s="6" t="s">
        <v>20</v>
      </c>
      <c r="H490" s="8" t="s">
        <v>1268</v>
      </c>
      <c r="I490" s="6" t="s">
        <v>742</v>
      </c>
      <c r="J490" s="6" t="s">
        <v>106</v>
      </c>
      <c r="K490" s="6" t="s">
        <v>2029</v>
      </c>
      <c r="L490" s="6" t="s">
        <v>2030</v>
      </c>
      <c r="M490" s="6" t="s">
        <v>17</v>
      </c>
      <c r="N490" s="6" t="s">
        <v>2031</v>
      </c>
      <c r="O490" t="s">
        <v>1280</v>
      </c>
      <c r="P490" s="25" t="s">
        <v>2112</v>
      </c>
    </row>
    <row r="491" spans="1:18" ht="14.4" x14ac:dyDescent="0.3">
      <c r="A491" s="16">
        <v>484</v>
      </c>
      <c r="B491" s="17" t="s">
        <v>2032</v>
      </c>
      <c r="C491" s="6">
        <v>1030615542</v>
      </c>
      <c r="D491" s="6">
        <v>3196819874</v>
      </c>
      <c r="E491" s="12" t="s">
        <v>20</v>
      </c>
      <c r="F491" s="6" t="s">
        <v>20</v>
      </c>
      <c r="G491" s="6" t="s">
        <v>20</v>
      </c>
      <c r="H491" s="8" t="s">
        <v>1268</v>
      </c>
      <c r="I491" s="6" t="s">
        <v>742</v>
      </c>
      <c r="J491" s="6" t="s">
        <v>106</v>
      </c>
      <c r="K491" s="6" t="s">
        <v>175</v>
      </c>
      <c r="L491" s="6" t="s">
        <v>2033</v>
      </c>
      <c r="M491" s="6" t="s">
        <v>17</v>
      </c>
      <c r="N491" s="6" t="s">
        <v>66</v>
      </c>
      <c r="O491" t="s">
        <v>1280</v>
      </c>
      <c r="P491" s="25" t="s">
        <v>2112</v>
      </c>
    </row>
    <row r="492" spans="1:18" ht="14.4" x14ac:dyDescent="0.3">
      <c r="A492" s="5">
        <v>485</v>
      </c>
      <c r="B492" s="24" t="s">
        <v>1847</v>
      </c>
      <c r="C492" s="24">
        <v>45361037</v>
      </c>
      <c r="D492" s="24">
        <v>3015351260</v>
      </c>
      <c r="E492" s="17" t="s">
        <v>1848</v>
      </c>
      <c r="F492" s="18">
        <v>46048</v>
      </c>
      <c r="G492" s="18">
        <v>46198</v>
      </c>
      <c r="H492" s="8" t="s">
        <v>1849</v>
      </c>
      <c r="I492" s="6" t="s">
        <v>434</v>
      </c>
      <c r="J492" s="6" t="s">
        <v>115</v>
      </c>
      <c r="K492" s="17" t="s">
        <v>1948</v>
      </c>
      <c r="L492" s="17" t="s">
        <v>2034</v>
      </c>
      <c r="M492" s="6" t="s">
        <v>129</v>
      </c>
      <c r="N492" s="17" t="s">
        <v>18</v>
      </c>
      <c r="O492" s="19" t="s">
        <v>125</v>
      </c>
      <c r="P492" s="21" t="s">
        <v>2098</v>
      </c>
      <c r="Q492" s="20"/>
      <c r="R492" s="20"/>
    </row>
    <row r="493" spans="1:18" ht="14.4" x14ac:dyDescent="0.3">
      <c r="A493" s="5">
        <v>486</v>
      </c>
      <c r="B493" s="17" t="s">
        <v>1728</v>
      </c>
      <c r="C493" s="6">
        <v>1026261037</v>
      </c>
      <c r="D493" s="6">
        <v>3005775183</v>
      </c>
      <c r="E493" s="6" t="s">
        <v>1729</v>
      </c>
      <c r="F493" s="7">
        <v>46031</v>
      </c>
      <c r="G493" s="7">
        <v>46351</v>
      </c>
      <c r="H493" s="8" t="s">
        <v>1730</v>
      </c>
      <c r="I493" s="6" t="s">
        <v>1905</v>
      </c>
      <c r="J493" s="6" t="s">
        <v>115</v>
      </c>
      <c r="K493" s="6" t="s">
        <v>354</v>
      </c>
      <c r="L493" s="6" t="s">
        <v>2035</v>
      </c>
      <c r="M493" s="6" t="s">
        <v>17</v>
      </c>
      <c r="N493" s="6" t="s">
        <v>18</v>
      </c>
      <c r="O493" t="s">
        <v>125</v>
      </c>
      <c r="P493" s="25" t="s">
        <v>2112</v>
      </c>
    </row>
    <row r="494" spans="1:18" ht="14.4" x14ac:dyDescent="0.3">
      <c r="A494" s="5">
        <v>487</v>
      </c>
      <c r="B494" s="17" t="s">
        <v>2036</v>
      </c>
      <c r="C494" s="6">
        <v>79737240</v>
      </c>
      <c r="D494" s="6">
        <v>3044423154</v>
      </c>
      <c r="E494" s="6" t="s">
        <v>2037</v>
      </c>
      <c r="F494" s="7">
        <v>46045</v>
      </c>
      <c r="G494" s="7">
        <v>46387</v>
      </c>
      <c r="H494" s="8" t="s">
        <v>2038</v>
      </c>
      <c r="I494" s="17" t="s">
        <v>1667</v>
      </c>
      <c r="J494" s="6" t="s">
        <v>115</v>
      </c>
      <c r="K494" s="6" t="s">
        <v>22</v>
      </c>
      <c r="L494" s="6" t="s">
        <v>2039</v>
      </c>
      <c r="M494" s="6" t="s">
        <v>129</v>
      </c>
      <c r="N494" s="6" t="s">
        <v>66</v>
      </c>
      <c r="O494" t="s">
        <v>125</v>
      </c>
      <c r="P494" s="25" t="s">
        <v>2112</v>
      </c>
    </row>
    <row r="495" spans="1:18" ht="14.4" x14ac:dyDescent="0.3">
      <c r="A495" s="16">
        <v>488</v>
      </c>
      <c r="B495" s="17" t="s">
        <v>2040</v>
      </c>
      <c r="C495" s="6">
        <v>1018493388</v>
      </c>
      <c r="D495" s="6">
        <v>3102507006</v>
      </c>
      <c r="E495" s="6" t="s">
        <v>2041</v>
      </c>
      <c r="F495" s="7">
        <v>46050</v>
      </c>
      <c r="G495" s="7">
        <v>46261</v>
      </c>
      <c r="H495" s="8" t="s">
        <v>2042</v>
      </c>
      <c r="I495" s="6" t="s">
        <v>1338</v>
      </c>
      <c r="J495" s="6" t="s">
        <v>106</v>
      </c>
      <c r="K495" s="6" t="s">
        <v>2043</v>
      </c>
      <c r="L495" s="6" t="s">
        <v>2044</v>
      </c>
      <c r="M495" s="6" t="s">
        <v>17</v>
      </c>
      <c r="N495" s="6" t="s">
        <v>157</v>
      </c>
      <c r="O495" t="s">
        <v>125</v>
      </c>
      <c r="P495" s="25" t="s">
        <v>2112</v>
      </c>
    </row>
    <row r="496" spans="1:18" ht="14.4" x14ac:dyDescent="0.3">
      <c r="A496" s="5">
        <v>489</v>
      </c>
      <c r="B496" s="17" t="s">
        <v>2045</v>
      </c>
      <c r="C496" s="17">
        <v>1120747558</v>
      </c>
      <c r="D496" s="17">
        <v>3216992593</v>
      </c>
      <c r="E496" s="17" t="s">
        <v>2046</v>
      </c>
      <c r="F496" s="18">
        <v>46048</v>
      </c>
      <c r="G496" s="18">
        <v>46229</v>
      </c>
      <c r="H496" s="8" t="s">
        <v>2047</v>
      </c>
      <c r="I496" s="17" t="s">
        <v>1395</v>
      </c>
      <c r="J496" s="6" t="s">
        <v>143</v>
      </c>
      <c r="K496" s="17" t="s">
        <v>2048</v>
      </c>
      <c r="L496" s="17" t="s">
        <v>2049</v>
      </c>
      <c r="M496" s="6" t="s">
        <v>129</v>
      </c>
      <c r="N496" s="17" t="s">
        <v>52</v>
      </c>
      <c r="O496" s="19" t="s">
        <v>125</v>
      </c>
      <c r="P496" s="22" t="s">
        <v>2098</v>
      </c>
      <c r="Q496" s="20"/>
      <c r="R496" s="20"/>
    </row>
    <row r="497" spans="1:18" ht="14.4" x14ac:dyDescent="0.3">
      <c r="A497" s="5">
        <v>490</v>
      </c>
      <c r="B497" s="17" t="s">
        <v>2050</v>
      </c>
      <c r="C497" s="6">
        <v>1026273797</v>
      </c>
      <c r="D497" s="6">
        <v>3014965324</v>
      </c>
      <c r="E497" s="6" t="s">
        <v>2051</v>
      </c>
      <c r="F497" s="7">
        <v>46055</v>
      </c>
      <c r="G497" s="7">
        <v>46235</v>
      </c>
      <c r="H497" s="8" t="s">
        <v>2052</v>
      </c>
      <c r="I497" s="6" t="s">
        <v>1843</v>
      </c>
      <c r="J497" s="6" t="s">
        <v>106</v>
      </c>
      <c r="K497" s="6" t="s">
        <v>1953</v>
      </c>
      <c r="L497" s="6" t="s">
        <v>20</v>
      </c>
      <c r="M497" s="6" t="s">
        <v>129</v>
      </c>
      <c r="N497" s="6" t="s">
        <v>44</v>
      </c>
      <c r="O497" t="s">
        <v>125</v>
      </c>
      <c r="P497" s="25" t="s">
        <v>2112</v>
      </c>
    </row>
    <row r="498" spans="1:18" ht="14.4" x14ac:dyDescent="0.3">
      <c r="A498" s="5">
        <v>491</v>
      </c>
      <c r="B498" s="17" t="s">
        <v>1526</v>
      </c>
      <c r="C498" s="6">
        <v>4228842</v>
      </c>
      <c r="D498" s="6">
        <v>3045528065</v>
      </c>
      <c r="E498" s="6" t="s">
        <v>20</v>
      </c>
      <c r="F498" s="7" t="s">
        <v>20</v>
      </c>
      <c r="G498" s="7" t="s">
        <v>20</v>
      </c>
      <c r="H498" s="8" t="s">
        <v>1527</v>
      </c>
      <c r="I498" s="6" t="s">
        <v>1562</v>
      </c>
      <c r="J498" s="6" t="s">
        <v>143</v>
      </c>
      <c r="K498" s="6" t="s">
        <v>75</v>
      </c>
      <c r="L498" s="6" t="s">
        <v>2053</v>
      </c>
      <c r="M498" s="6" t="s">
        <v>17</v>
      </c>
      <c r="N498" s="6" t="s">
        <v>60</v>
      </c>
      <c r="O498" t="s">
        <v>119</v>
      </c>
      <c r="P498" s="25" t="s">
        <v>2112</v>
      </c>
    </row>
    <row r="499" spans="1:18" ht="14.4" x14ac:dyDescent="0.3">
      <c r="A499" s="16">
        <v>492</v>
      </c>
      <c r="B499" s="17" t="s">
        <v>2054</v>
      </c>
      <c r="C499" s="6">
        <v>1136879147</v>
      </c>
      <c r="D499" s="6">
        <v>3183907063</v>
      </c>
      <c r="E499" s="6" t="s">
        <v>2055</v>
      </c>
      <c r="F499" s="7">
        <v>46174</v>
      </c>
      <c r="G499" s="7">
        <v>46387</v>
      </c>
      <c r="H499" s="8" t="s">
        <v>2056</v>
      </c>
      <c r="I499" s="6" t="s">
        <v>500</v>
      </c>
      <c r="J499" s="6" t="s">
        <v>143</v>
      </c>
      <c r="K499" s="6" t="s">
        <v>354</v>
      </c>
      <c r="L499" s="6" t="s">
        <v>2057</v>
      </c>
      <c r="M499" s="6" t="s">
        <v>17</v>
      </c>
      <c r="N499" s="6" t="s">
        <v>60</v>
      </c>
      <c r="O499" t="s">
        <v>125</v>
      </c>
      <c r="P499" s="25" t="s">
        <v>2112</v>
      </c>
    </row>
    <row r="500" spans="1:18" ht="14.4" x14ac:dyDescent="0.3">
      <c r="A500" s="5">
        <v>493</v>
      </c>
      <c r="B500" s="17" t="s">
        <v>2058</v>
      </c>
      <c r="C500" s="6">
        <v>13499548</v>
      </c>
      <c r="D500" s="6">
        <v>3124473029</v>
      </c>
      <c r="E500" s="12" t="s">
        <v>20</v>
      </c>
      <c r="F500" s="12" t="s">
        <v>20</v>
      </c>
      <c r="G500" s="12" t="s">
        <v>20</v>
      </c>
      <c r="H500" s="8" t="s">
        <v>2059</v>
      </c>
      <c r="I500" s="6" t="s">
        <v>270</v>
      </c>
      <c r="J500" s="6" t="s">
        <v>115</v>
      </c>
      <c r="K500" s="6" t="s">
        <v>1348</v>
      </c>
      <c r="L500" s="6" t="s">
        <v>2060</v>
      </c>
      <c r="M500" s="6" t="s">
        <v>17</v>
      </c>
      <c r="N500" s="6" t="s">
        <v>66</v>
      </c>
      <c r="O500" t="s">
        <v>119</v>
      </c>
      <c r="P500" s="25" t="s">
        <v>2112</v>
      </c>
    </row>
    <row r="501" spans="1:18" ht="14.4" x14ac:dyDescent="0.3">
      <c r="A501" s="5">
        <v>494</v>
      </c>
      <c r="B501" s="17" t="s">
        <v>2061</v>
      </c>
      <c r="C501" s="6">
        <v>1118649429</v>
      </c>
      <c r="D501" s="6">
        <v>3142416752</v>
      </c>
      <c r="E501" s="12" t="s">
        <v>20</v>
      </c>
      <c r="F501" s="12" t="s">
        <v>20</v>
      </c>
      <c r="G501" s="12" t="s">
        <v>20</v>
      </c>
      <c r="H501" s="8" t="s">
        <v>2062</v>
      </c>
      <c r="I501" s="6" t="s">
        <v>285</v>
      </c>
      <c r="J501" s="6" t="s">
        <v>115</v>
      </c>
      <c r="K501" s="6" t="s">
        <v>202</v>
      </c>
      <c r="L501" s="6" t="s">
        <v>2063</v>
      </c>
      <c r="M501" s="6" t="s">
        <v>17</v>
      </c>
      <c r="N501" s="6" t="s">
        <v>248</v>
      </c>
      <c r="O501" t="s">
        <v>119</v>
      </c>
      <c r="P501" s="25" t="s">
        <v>2112</v>
      </c>
    </row>
    <row r="502" spans="1:18" ht="14.4" x14ac:dyDescent="0.3">
      <c r="A502" s="5">
        <v>495</v>
      </c>
      <c r="B502" s="17" t="s">
        <v>2064</v>
      </c>
      <c r="C502" s="6">
        <v>1140882040</v>
      </c>
      <c r="D502" s="6">
        <v>3016863440</v>
      </c>
      <c r="E502" s="12" t="s">
        <v>2065</v>
      </c>
      <c r="F502" s="12">
        <v>46013</v>
      </c>
      <c r="G502" s="12">
        <v>46255</v>
      </c>
      <c r="H502" s="8" t="s">
        <v>2066</v>
      </c>
      <c r="I502" s="6" t="s">
        <v>1905</v>
      </c>
      <c r="J502" s="6" t="s">
        <v>106</v>
      </c>
      <c r="K502" s="6" t="s">
        <v>175</v>
      </c>
      <c r="L502" s="6" t="s">
        <v>2067</v>
      </c>
      <c r="M502" s="6" t="s">
        <v>17</v>
      </c>
      <c r="N502" s="6" t="s">
        <v>316</v>
      </c>
      <c r="O502" t="s">
        <v>125</v>
      </c>
      <c r="P502" s="25" t="s">
        <v>2112</v>
      </c>
    </row>
    <row r="503" spans="1:18" ht="14.4" x14ac:dyDescent="0.3">
      <c r="A503" s="16">
        <v>496</v>
      </c>
      <c r="B503" s="17" t="s">
        <v>2064</v>
      </c>
      <c r="C503" s="6">
        <v>1140882040</v>
      </c>
      <c r="D503" s="6">
        <v>3016863440</v>
      </c>
      <c r="E503" s="12" t="s">
        <v>2065</v>
      </c>
      <c r="F503" s="12">
        <v>46013</v>
      </c>
      <c r="G503" s="12">
        <v>46255</v>
      </c>
      <c r="H503" s="8" t="s">
        <v>2066</v>
      </c>
      <c r="I503" s="6" t="s">
        <v>1905</v>
      </c>
      <c r="J503" s="6" t="s">
        <v>155</v>
      </c>
      <c r="K503" s="6" t="s">
        <v>2068</v>
      </c>
      <c r="L503" s="6" t="s">
        <v>20</v>
      </c>
      <c r="M503" s="6" t="s">
        <v>129</v>
      </c>
      <c r="N503" s="6" t="s">
        <v>60</v>
      </c>
      <c r="O503" t="s">
        <v>125</v>
      </c>
      <c r="P503" s="25" t="s">
        <v>2112</v>
      </c>
    </row>
    <row r="504" spans="1:18" ht="14.4" x14ac:dyDescent="0.3">
      <c r="A504" s="5">
        <v>497</v>
      </c>
      <c r="B504" s="17" t="s">
        <v>2069</v>
      </c>
      <c r="C504" s="6">
        <v>1026578164</v>
      </c>
      <c r="D504" s="6">
        <v>3192601606</v>
      </c>
      <c r="E504" s="12" t="s">
        <v>1227</v>
      </c>
      <c r="F504" s="7">
        <v>46042</v>
      </c>
      <c r="G504" s="7">
        <v>46314</v>
      </c>
      <c r="H504" s="8" t="s">
        <v>1228</v>
      </c>
      <c r="I504" s="6" t="s">
        <v>1229</v>
      </c>
      <c r="J504" s="6" t="s">
        <v>106</v>
      </c>
      <c r="K504" s="6" t="s">
        <v>363</v>
      </c>
      <c r="L504" s="6" t="s">
        <v>2070</v>
      </c>
      <c r="M504" s="6" t="s">
        <v>17</v>
      </c>
      <c r="N504" s="6" t="s">
        <v>374</v>
      </c>
      <c r="O504" t="s">
        <v>125</v>
      </c>
      <c r="P504" s="25" t="s">
        <v>2112</v>
      </c>
    </row>
    <row r="505" spans="1:18" ht="14.4" x14ac:dyDescent="0.3">
      <c r="A505" s="5">
        <v>498</v>
      </c>
      <c r="B505" s="17" t="s">
        <v>2071</v>
      </c>
      <c r="C505" s="6">
        <v>1026274713</v>
      </c>
      <c r="D505" s="6">
        <v>3043783737</v>
      </c>
      <c r="E505" s="12" t="s">
        <v>297</v>
      </c>
      <c r="F505" s="7">
        <v>46226</v>
      </c>
      <c r="G505" s="7">
        <v>46387</v>
      </c>
      <c r="H505" s="8" t="s">
        <v>2072</v>
      </c>
      <c r="I505" s="6" t="s">
        <v>500</v>
      </c>
      <c r="J505" s="6" t="s">
        <v>80</v>
      </c>
      <c r="K505" s="6" t="s">
        <v>2073</v>
      </c>
      <c r="L505" s="6" t="s">
        <v>20</v>
      </c>
      <c r="M505" s="6" t="s">
        <v>129</v>
      </c>
      <c r="N505" s="6" t="s">
        <v>66</v>
      </c>
      <c r="O505" t="s">
        <v>125</v>
      </c>
      <c r="P505" s="25" t="s">
        <v>2112</v>
      </c>
    </row>
    <row r="506" spans="1:18" ht="14.4" x14ac:dyDescent="0.3">
      <c r="A506" s="5">
        <v>499</v>
      </c>
      <c r="B506" s="17" t="s">
        <v>2074</v>
      </c>
      <c r="C506" s="6">
        <v>79698622</v>
      </c>
      <c r="D506" s="6">
        <v>3168952676</v>
      </c>
      <c r="E506" s="12" t="s">
        <v>20</v>
      </c>
      <c r="F506" s="12" t="s">
        <v>20</v>
      </c>
      <c r="G506" s="12" t="s">
        <v>20</v>
      </c>
      <c r="H506" s="8" t="s">
        <v>1268</v>
      </c>
      <c r="I506" s="6" t="s">
        <v>742</v>
      </c>
      <c r="J506" s="6" t="s">
        <v>106</v>
      </c>
      <c r="K506" s="6" t="s">
        <v>2075</v>
      </c>
      <c r="L506" s="6" t="s">
        <v>2076</v>
      </c>
      <c r="M506" s="6" t="s">
        <v>17</v>
      </c>
      <c r="N506" s="6" t="s">
        <v>316</v>
      </c>
      <c r="O506" s="10" t="s">
        <v>1280</v>
      </c>
      <c r="P506" s="25" t="s">
        <v>2112</v>
      </c>
    </row>
    <row r="507" spans="1:18" ht="14.4" x14ac:dyDescent="0.3">
      <c r="A507" s="16">
        <v>500</v>
      </c>
      <c r="B507" s="17" t="s">
        <v>2077</v>
      </c>
      <c r="C507" s="6">
        <v>79637566</v>
      </c>
      <c r="D507" s="6">
        <v>3132375796</v>
      </c>
      <c r="E507" s="12" t="s">
        <v>20</v>
      </c>
      <c r="F507" s="12" t="s">
        <v>20</v>
      </c>
      <c r="G507" s="12" t="s">
        <v>20</v>
      </c>
      <c r="H507" s="8" t="s">
        <v>1268</v>
      </c>
      <c r="I507" s="6" t="s">
        <v>742</v>
      </c>
      <c r="J507" s="6" t="s">
        <v>106</v>
      </c>
      <c r="K507" s="6" t="s">
        <v>2078</v>
      </c>
      <c r="L507" s="6" t="s">
        <v>2079</v>
      </c>
      <c r="M507" s="6" t="s">
        <v>17</v>
      </c>
      <c r="N507" s="6" t="s">
        <v>2080</v>
      </c>
      <c r="O507" s="10" t="s">
        <v>1280</v>
      </c>
      <c r="P507" s="25" t="s">
        <v>2112</v>
      </c>
    </row>
    <row r="508" spans="1:18" ht="14.4" x14ac:dyDescent="0.3">
      <c r="A508" s="5">
        <v>501</v>
      </c>
      <c r="B508" s="17" t="s">
        <v>1044</v>
      </c>
      <c r="C508" s="17">
        <v>1075257769</v>
      </c>
      <c r="D508" s="17">
        <v>3002962851</v>
      </c>
      <c r="E508" s="17" t="s">
        <v>1045</v>
      </c>
      <c r="F508" s="18">
        <v>46051</v>
      </c>
      <c r="G508" s="18">
        <v>46232</v>
      </c>
      <c r="H508" s="8" t="s">
        <v>1046</v>
      </c>
      <c r="I508" s="17" t="s">
        <v>1041</v>
      </c>
      <c r="J508" s="6" t="s">
        <v>115</v>
      </c>
      <c r="K508" s="17" t="s">
        <v>320</v>
      </c>
      <c r="L508" s="17" t="s">
        <v>2081</v>
      </c>
      <c r="M508" s="17" t="s">
        <v>17</v>
      </c>
      <c r="N508" s="17" t="s">
        <v>60</v>
      </c>
      <c r="O508" s="19" t="s">
        <v>125</v>
      </c>
      <c r="P508" s="22" t="s">
        <v>2098</v>
      </c>
      <c r="Q508" s="20"/>
      <c r="R508" s="20"/>
    </row>
    <row r="509" spans="1:18" ht="14.4" x14ac:dyDescent="0.3">
      <c r="A509" s="5">
        <v>502</v>
      </c>
      <c r="B509" s="17" t="s">
        <v>2082</v>
      </c>
      <c r="C509" s="6">
        <v>19226003</v>
      </c>
      <c r="D509" s="6">
        <v>3107778371</v>
      </c>
      <c r="E509" s="6" t="s">
        <v>2083</v>
      </c>
      <c r="F509" s="12" t="s">
        <v>20</v>
      </c>
      <c r="G509" s="12" t="s">
        <v>20</v>
      </c>
      <c r="H509" s="8" t="s">
        <v>2084</v>
      </c>
      <c r="I509" s="6" t="s">
        <v>1006</v>
      </c>
      <c r="J509" s="6" t="s">
        <v>143</v>
      </c>
      <c r="K509" s="6" t="s">
        <v>2085</v>
      </c>
      <c r="L509" s="6" t="s">
        <v>2086</v>
      </c>
      <c r="M509" s="6" t="s">
        <v>17</v>
      </c>
      <c r="N509" s="6" t="s">
        <v>238</v>
      </c>
      <c r="O509" t="s">
        <v>125</v>
      </c>
      <c r="P509" s="25" t="s">
        <v>2112</v>
      </c>
    </row>
    <row r="510" spans="1:18" ht="14.4" x14ac:dyDescent="0.3">
      <c r="A510" s="5">
        <v>503</v>
      </c>
      <c r="B510" s="17" t="s">
        <v>2082</v>
      </c>
      <c r="C510" s="6">
        <v>19226003</v>
      </c>
      <c r="D510" s="6">
        <v>3107778371</v>
      </c>
      <c r="E510" s="6" t="s">
        <v>2083</v>
      </c>
      <c r="F510" s="12" t="s">
        <v>20</v>
      </c>
      <c r="G510" s="12" t="s">
        <v>20</v>
      </c>
      <c r="H510" s="8" t="s">
        <v>2084</v>
      </c>
      <c r="I510" s="6" t="s">
        <v>1006</v>
      </c>
      <c r="J510" s="6" t="s">
        <v>143</v>
      </c>
      <c r="K510" s="6" t="s">
        <v>2048</v>
      </c>
      <c r="L510" s="6" t="s">
        <v>2087</v>
      </c>
      <c r="M510" s="6" t="s">
        <v>129</v>
      </c>
      <c r="N510" s="6" t="s">
        <v>60</v>
      </c>
      <c r="O510" t="s">
        <v>125</v>
      </c>
      <c r="P510" s="25" t="s">
        <v>2112</v>
      </c>
    </row>
    <row r="511" spans="1:18" ht="14.4" x14ac:dyDescent="0.3">
      <c r="A511" s="16">
        <v>504</v>
      </c>
      <c r="B511" s="17" t="s">
        <v>2088</v>
      </c>
      <c r="C511" s="6">
        <v>1020789222</v>
      </c>
      <c r="D511" s="6">
        <v>3116441544</v>
      </c>
      <c r="E511" s="12" t="s">
        <v>20</v>
      </c>
      <c r="F511" s="12" t="s">
        <v>20</v>
      </c>
      <c r="G511" s="12" t="s">
        <v>20</v>
      </c>
      <c r="H511" s="8" t="s">
        <v>2089</v>
      </c>
      <c r="I511" s="6" t="s">
        <v>1960</v>
      </c>
      <c r="J511" s="6" t="s">
        <v>115</v>
      </c>
      <c r="K511" s="6" t="s">
        <v>337</v>
      </c>
      <c r="L511" s="6" t="s">
        <v>2090</v>
      </c>
      <c r="M511" s="6" t="s">
        <v>17</v>
      </c>
      <c r="N511" s="6" t="s">
        <v>60</v>
      </c>
      <c r="O511" t="s">
        <v>119</v>
      </c>
      <c r="P511" s="25" t="s">
        <v>2112</v>
      </c>
    </row>
    <row r="512" spans="1:18" ht="14.4" x14ac:dyDescent="0.3">
      <c r="A512" s="5">
        <v>505</v>
      </c>
      <c r="B512" s="17" t="s">
        <v>978</v>
      </c>
      <c r="C512" s="6">
        <v>1020806493</v>
      </c>
      <c r="D512" s="6">
        <v>3115008521</v>
      </c>
      <c r="E512" s="12" t="s">
        <v>979</v>
      </c>
      <c r="F512" s="7">
        <v>46041</v>
      </c>
      <c r="G512" s="7">
        <v>46387</v>
      </c>
      <c r="H512" s="8" t="s">
        <v>980</v>
      </c>
      <c r="I512" s="6" t="s">
        <v>201</v>
      </c>
      <c r="J512" s="6" t="s">
        <v>143</v>
      </c>
      <c r="K512" s="6" t="s">
        <v>2091</v>
      </c>
      <c r="L512" s="6" t="s">
        <v>2092</v>
      </c>
      <c r="M512" s="6" t="s">
        <v>17</v>
      </c>
      <c r="N512" s="6" t="s">
        <v>66</v>
      </c>
      <c r="O512" s="10" t="s">
        <v>125</v>
      </c>
      <c r="P512" s="25" t="s">
        <v>2112</v>
      </c>
    </row>
    <row r="513" spans="1:16" ht="14.4" x14ac:dyDescent="0.3">
      <c r="A513" s="5">
        <v>506</v>
      </c>
      <c r="B513" s="17" t="s">
        <v>2093</v>
      </c>
      <c r="C513" s="6">
        <v>52454937</v>
      </c>
      <c r="D513" s="6">
        <v>3124328572</v>
      </c>
      <c r="E513" s="12" t="s">
        <v>2094</v>
      </c>
      <c r="F513" s="7">
        <v>46055</v>
      </c>
      <c r="G513" s="7">
        <v>46387</v>
      </c>
      <c r="H513" s="8" t="s">
        <v>2095</v>
      </c>
      <c r="I513" s="6" t="s">
        <v>325</v>
      </c>
      <c r="J513" s="6" t="s">
        <v>143</v>
      </c>
      <c r="K513" s="6" t="s">
        <v>363</v>
      </c>
      <c r="L513" s="6" t="s">
        <v>2096</v>
      </c>
      <c r="M513" s="6" t="s">
        <v>253</v>
      </c>
      <c r="N513" s="6" t="s">
        <v>18</v>
      </c>
      <c r="O513" s="10" t="s">
        <v>125</v>
      </c>
      <c r="P513" s="25" t="s">
        <v>2112</v>
      </c>
    </row>
    <row r="514" spans="1:16" ht="14.4" x14ac:dyDescent="0.3">
      <c r="A514" s="5">
        <v>507</v>
      </c>
      <c r="B514" s="17" t="s">
        <v>1497</v>
      </c>
      <c r="C514" s="6">
        <v>80019944</v>
      </c>
      <c r="D514" s="6">
        <v>3015363830</v>
      </c>
      <c r="E514" s="12" t="s">
        <v>1498</v>
      </c>
      <c r="F514" s="7">
        <v>46038</v>
      </c>
      <c r="G514" s="7">
        <v>46387</v>
      </c>
      <c r="H514" s="8" t="s">
        <v>1499</v>
      </c>
      <c r="I514" s="6" t="s">
        <v>434</v>
      </c>
      <c r="J514" s="6" t="s">
        <v>115</v>
      </c>
      <c r="K514" s="6" t="s">
        <v>681</v>
      </c>
      <c r="L514" s="6" t="s">
        <v>2097</v>
      </c>
      <c r="M514" s="6" t="s">
        <v>17</v>
      </c>
      <c r="N514" s="6" t="s">
        <v>60</v>
      </c>
      <c r="O514" t="s">
        <v>125</v>
      </c>
      <c r="P514" s="25" t="s">
        <v>2112</v>
      </c>
    </row>
  </sheetData>
  <autoFilter ref="A7:R514"/>
  <mergeCells count="1">
    <mergeCell ref="A3:P4"/>
  </mergeCells>
  <conditionalFormatting sqref="C1:C2 C5:C1048576">
    <cfRule type="duplicateValues" dxfId="6" priority="1"/>
  </conditionalFormatting>
  <conditionalFormatting sqref="L500:L1048576 L7:L498">
    <cfRule type="duplicateValues" dxfId="5" priority="2"/>
  </conditionalFormatting>
  <hyperlinks>
    <hyperlink ref="H9" r:id="rId1"/>
    <hyperlink ref="H10" r:id="rId2"/>
    <hyperlink ref="H11" r:id="rId3"/>
    <hyperlink ref="H12" r:id="rId4"/>
    <hyperlink ref="H13" r:id="rId5"/>
    <hyperlink ref="H16" r:id="rId6"/>
    <hyperlink ref="H17" r:id="rId7"/>
    <hyperlink ref="H18" r:id="rId8"/>
    <hyperlink ref="H19" r:id="rId9"/>
    <hyperlink ref="H20" r:id="rId10"/>
    <hyperlink ref="H21" r:id="rId11"/>
    <hyperlink ref="H22" r:id="rId12"/>
    <hyperlink ref="H23" r:id="rId13"/>
    <hyperlink ref="H24" r:id="rId14"/>
    <hyperlink ref="H25" r:id="rId15"/>
    <hyperlink ref="H26" r:id="rId16"/>
    <hyperlink ref="H27" r:id="rId17"/>
    <hyperlink ref="H390" r:id="rId18"/>
    <hyperlink ref="H382" r:id="rId19"/>
    <hyperlink ref="H383" r:id="rId20"/>
    <hyperlink ref="H384" r:id="rId21"/>
    <hyperlink ref="H385" r:id="rId22"/>
    <hyperlink ref="H392" r:id="rId23"/>
    <hyperlink ref="H393" r:id="rId24"/>
    <hyperlink ref="H396" r:id="rId25"/>
    <hyperlink ref="H429" r:id="rId26"/>
    <hyperlink ref="H397" r:id="rId27"/>
    <hyperlink ref="H398" r:id="rId28"/>
    <hyperlink ref="H399" r:id="rId29"/>
    <hyperlink ref="H401" r:id="rId30"/>
    <hyperlink ref="H402" r:id="rId31"/>
    <hyperlink ref="H408" r:id="rId32"/>
    <hyperlink ref="H409" r:id="rId33"/>
    <hyperlink ref="H415" r:id="rId34"/>
    <hyperlink ref="H414" r:id="rId35"/>
    <hyperlink ref="H413" r:id="rId36"/>
    <hyperlink ref="H412" r:id="rId37"/>
    <hyperlink ref="H411" r:id="rId38"/>
    <hyperlink ref="H410" r:id="rId39"/>
    <hyperlink ref="H416" r:id="rId40"/>
    <hyperlink ref="H417" r:id="rId41"/>
    <hyperlink ref="H418" r:id="rId42"/>
    <hyperlink ref="H419" r:id="rId43"/>
    <hyperlink ref="H420" r:id="rId44"/>
    <hyperlink ref="H421" r:id="rId45"/>
    <hyperlink ref="H422" r:id="rId46"/>
    <hyperlink ref="H423" r:id="rId47"/>
    <hyperlink ref="H424" r:id="rId48"/>
    <hyperlink ref="H427" r:id="rId49"/>
    <hyperlink ref="H428" r:id="rId50"/>
    <hyperlink ref="H430" r:id="rId51" display="yulli.cardenas@contraloriabogota.gov.co"/>
    <hyperlink ref="H431" r:id="rId52" display="adriana.bello@contraloriabogota.gov.co"/>
    <hyperlink ref="H432" r:id="rId53" display="jeison.santos@contraloriabogota.gov.co"/>
    <hyperlink ref="H433" r:id="rId54" display="cindy.valderrama@contraloriabogota.gov.co"/>
    <hyperlink ref="H434" r:id="rId55"/>
    <hyperlink ref="H435" r:id="rId56"/>
    <hyperlink ref="H436" r:id="rId57"/>
    <hyperlink ref="H438" r:id="rId58"/>
    <hyperlink ref="H441" r:id="rId59"/>
    <hyperlink ref="H442" r:id="rId60"/>
    <hyperlink ref="H443" r:id="rId61"/>
    <hyperlink ref="H444" r:id="rId62"/>
    <hyperlink ref="H445" r:id="rId63"/>
    <hyperlink ref="H447" r:id="rId64"/>
    <hyperlink ref="H448" r:id="rId65"/>
    <hyperlink ref="H449" r:id="rId66"/>
    <hyperlink ref="H450" r:id="rId67"/>
    <hyperlink ref="H454" r:id="rId68"/>
    <hyperlink ref="H455" r:id="rId69"/>
    <hyperlink ref="H456" r:id="rId70"/>
    <hyperlink ref="H458" r:id="rId71"/>
    <hyperlink ref="H460" r:id="rId72"/>
    <hyperlink ref="H461" r:id="rId73"/>
    <hyperlink ref="H462" r:id="rId74"/>
    <hyperlink ref="H463" r:id="rId75"/>
    <hyperlink ref="H464" r:id="rId76"/>
    <hyperlink ref="H466" r:id="rId77"/>
    <hyperlink ref="H492" r:id="rId78" display="adriana.bello@contraloriabogota.gov.co"/>
    <hyperlink ref="H495" r:id="rId79"/>
    <hyperlink ref="H513" r:id="rId80"/>
    <hyperlink ref="H8" r:id="rId81"/>
  </hyperlinks>
  <pageMargins left="0.7" right="0.7" top="0.75" bottom="0.75" header="0.3" footer="0.3"/>
  <pageSetup paperSize="9" orientation="portrait" r:id="rId8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89"/>
  <sheetViews>
    <sheetView tabSelected="1" zoomScale="70" zoomScaleNormal="70" workbookViewId="0">
      <pane ySplit="7" topLeftCell="A8" activePane="bottomLeft" state="frozen"/>
      <selection pane="bottomLeft" activeCell="D33" sqref="D33"/>
    </sheetView>
  </sheetViews>
  <sheetFormatPr baseColWidth="10" defaultColWidth="9.109375" defaultRowHeight="13.8" x14ac:dyDescent="0.25"/>
  <cols>
    <col min="1" max="1" width="8.44140625" style="14" customWidth="1"/>
    <col min="2" max="2" width="15.21875" style="14" bestFit="1" customWidth="1"/>
    <col min="3" max="3" width="51.5546875" style="11" bestFit="1" customWidth="1"/>
    <col min="4" max="4" width="58.33203125" style="11" bestFit="1" customWidth="1"/>
    <col min="5" max="5" width="10.77734375" style="11" bestFit="1" customWidth="1"/>
    <col min="6" max="6" width="20" style="9" customWidth="1"/>
    <col min="7" max="7" width="39.77734375" style="9" bestFit="1" customWidth="1"/>
    <col min="8" max="8" width="39.77734375" style="9" customWidth="1"/>
    <col min="9" max="9" width="232.77734375" style="11" bestFit="1" customWidth="1"/>
    <col min="10" max="16384" width="9.109375" style="11"/>
  </cols>
  <sheetData>
    <row r="3" spans="1:9" customFormat="1" ht="17.399999999999999" x14ac:dyDescent="0.3">
      <c r="A3" s="42" t="s">
        <v>2147</v>
      </c>
      <c r="B3" s="42"/>
      <c r="C3" s="42"/>
      <c r="D3" s="42"/>
      <c r="E3" s="42"/>
      <c r="F3" s="42"/>
      <c r="G3" s="42"/>
      <c r="H3" s="36"/>
    </row>
    <row r="4" spans="1:9" ht="17.399999999999999" x14ac:dyDescent="0.25">
      <c r="A4" s="42"/>
      <c r="B4" s="42"/>
      <c r="C4" s="42"/>
      <c r="D4" s="42"/>
      <c r="E4" s="42"/>
      <c r="F4" s="42"/>
      <c r="G4" s="42"/>
      <c r="H4" s="36"/>
    </row>
    <row r="7" spans="1:9" customFormat="1" ht="14.4" x14ac:dyDescent="0.3">
      <c r="A7" s="1" t="s">
        <v>2116</v>
      </c>
      <c r="B7" s="1" t="s">
        <v>2121</v>
      </c>
      <c r="C7" s="1" t="s">
        <v>2143</v>
      </c>
      <c r="D7" s="1" t="s">
        <v>2144</v>
      </c>
      <c r="E7" s="40" t="s">
        <v>2196</v>
      </c>
      <c r="F7" s="33" t="s">
        <v>2145</v>
      </c>
      <c r="G7" s="3" t="s">
        <v>2146</v>
      </c>
      <c r="H7" s="39" t="s">
        <v>2197</v>
      </c>
      <c r="I7" s="38" t="s">
        <v>2148</v>
      </c>
    </row>
    <row r="8" spans="1:9" customFormat="1" ht="17.25" customHeight="1" x14ac:dyDescent="0.3">
      <c r="A8" s="16">
        <f t="shared" ref="A8:A71" si="0">ROW()-7</f>
        <v>1</v>
      </c>
      <c r="B8" s="24">
        <v>45361037</v>
      </c>
      <c r="C8" s="24" t="s">
        <v>1847</v>
      </c>
      <c r="D8" s="6" t="s">
        <v>434</v>
      </c>
      <c r="E8" s="6" t="s">
        <v>2198</v>
      </c>
      <c r="F8" s="24">
        <v>3015351260</v>
      </c>
      <c r="G8" s="8" t="s">
        <v>1849</v>
      </c>
      <c r="H8" s="24" t="s">
        <v>2209</v>
      </c>
      <c r="I8" s="37" t="str">
        <f t="shared" ref="I8:I71" si="1">CONCATENATE("INSERT INTO `parqueadero`.`conductor` (`",$A$7,"`, `",$B$7,"`, `",$C$7,"`, `",$D$7,"`, `",$E$7,"`, `",$F$7,"`, `",$G$7,"`, `",$H$7,"`) VALUES ('",A8,"','",B8,"','",C8,"','",D8,"','",E8,"','",F8,"','",G8,"','",H8,"');" )</f>
        <v>INSERT INTO `parqueadero`.`conductor` (`Oid`, `IdConductor`, `Nombre`, `Area`, `Piso`, `Celular`, `correo`, `Vinculacion`) VALUES ('1','45361037','ADRIANA BELLO LEÓN','Dirección Administrativa','Piso 12','3015351260','adriana.bello@habitatbogota.gov.co','CONTRATISTA');</v>
      </c>
    </row>
    <row r="9" spans="1:9" customFormat="1" ht="14.4" x14ac:dyDescent="0.3">
      <c r="A9" s="16">
        <f t="shared" si="0"/>
        <v>2</v>
      </c>
      <c r="B9" s="6">
        <v>53006917</v>
      </c>
      <c r="C9" s="17" t="s">
        <v>130</v>
      </c>
      <c r="D9" s="6" t="s">
        <v>1229</v>
      </c>
      <c r="E9" s="6"/>
      <c r="F9" s="6">
        <v>3124527312</v>
      </c>
      <c r="G9" s="8" t="s">
        <v>131</v>
      </c>
      <c r="H9" s="24" t="s">
        <v>119</v>
      </c>
      <c r="I9" s="37" t="str">
        <f t="shared" si="1"/>
        <v>INSERT INTO `parqueadero`.`conductor` (`Oid`, `IdConductor`, `Nombre`, `Area`, `Piso`, `Celular`, `correo`, `Vinculacion`) VALUES ('2','53006917','ADRIANA IVONNE CÁRDENAS','Dirección de Información de Políticas Públicas','','3124527312','ivonne.cardenas@habitatbogota.gov.co','FUNCIONARIO');</v>
      </c>
    </row>
    <row r="10" spans="1:9" customFormat="1" ht="15" customHeight="1" x14ac:dyDescent="0.3">
      <c r="A10" s="16">
        <f t="shared" si="0"/>
        <v>3</v>
      </c>
      <c r="B10" s="6">
        <v>39698825</v>
      </c>
      <c r="C10" s="17" t="s">
        <v>613</v>
      </c>
      <c r="D10" s="6" t="s">
        <v>2149</v>
      </c>
      <c r="E10" s="6"/>
      <c r="F10" s="6">
        <v>3103341145</v>
      </c>
      <c r="G10" s="8" t="s">
        <v>615</v>
      </c>
      <c r="H10" s="24" t="s">
        <v>2209</v>
      </c>
      <c r="I10" s="37" t="str">
        <f t="shared" si="1"/>
        <v>INSERT INTO `parqueadero`.`conductor` (`Oid`, `IdConductor`, `Nombre`, `Area`, `Piso`, `Celular`, `correo`, `Vinculacion`) VALUES ('3','39698825','ADRIANA MORENO CHAVES','Subsecretaría de Inspección Vigilancia y Control de Vivienda','','3103341145','adriana.moreno@habitatbogota.gov.co','CONTRATISTA');</v>
      </c>
    </row>
    <row r="11" spans="1:9" customFormat="1" ht="14.4" x14ac:dyDescent="0.3">
      <c r="A11" s="16">
        <f t="shared" si="0"/>
        <v>4</v>
      </c>
      <c r="B11" s="17">
        <v>37396460</v>
      </c>
      <c r="C11" s="17" t="s">
        <v>39</v>
      </c>
      <c r="D11" s="6" t="s">
        <v>2150</v>
      </c>
      <c r="E11" s="6"/>
      <c r="F11" s="17">
        <v>3045452585</v>
      </c>
      <c r="G11" s="8" t="s">
        <v>41</v>
      </c>
      <c r="H11" s="24" t="s">
        <v>2209</v>
      </c>
      <c r="I11" s="37" t="str">
        <f t="shared" si="1"/>
        <v>INSERT INTO `parqueadero`.`conductor` (`Oid`, `IdConductor`, `Nombre`, `Area`, `Piso`, `Celular`, `correo`, `Vinculacion`) VALUES ('4','37396460','ADRIANA VILLANEDA URIBE','Dirección de Prevención Arrendamiento y Control de Enajenación','','3045452585','adriana.villaneda@habitatbogota.gov.co','CONTRATISTA');</v>
      </c>
    </row>
    <row r="12" spans="1:9" customFormat="1" ht="14.4" x14ac:dyDescent="0.3">
      <c r="A12" s="16">
        <f t="shared" si="0"/>
        <v>5</v>
      </c>
      <c r="B12" s="6">
        <v>5770982</v>
      </c>
      <c r="C12" s="17" t="s">
        <v>798</v>
      </c>
      <c r="D12" s="17" t="s">
        <v>1667</v>
      </c>
      <c r="E12" s="17"/>
      <c r="F12" s="6">
        <v>3164707235</v>
      </c>
      <c r="G12" s="8" t="s">
        <v>800</v>
      </c>
      <c r="H12" s="24" t="s">
        <v>2209</v>
      </c>
      <c r="I12" s="37" t="str">
        <f t="shared" si="1"/>
        <v>INSERT INTO `parqueadero`.`conductor` (`Oid`, `IdConductor`, `Nombre`, `Area`, `Piso`, `Celular`, `correo`, `Vinculacion`) VALUES ('5','5770982','ALDEMAR CASTILLO ARIZA','Oficina de Tecnología y Transformación Digital','','3164707235','aldemar.castillo@habitatbogota.gov.co','CONTRATISTA');</v>
      </c>
    </row>
    <row r="13" spans="1:9" ht="14.4" x14ac:dyDescent="0.3">
      <c r="A13" s="16">
        <f t="shared" si="0"/>
        <v>6</v>
      </c>
      <c r="B13" s="6">
        <v>1020789222</v>
      </c>
      <c r="C13" s="17" t="s">
        <v>2088</v>
      </c>
      <c r="D13" s="6" t="s">
        <v>1960</v>
      </c>
      <c r="E13" s="6"/>
      <c r="F13" s="6">
        <v>3116441544</v>
      </c>
      <c r="G13" s="8" t="s">
        <v>2089</v>
      </c>
      <c r="H13" s="24" t="s">
        <v>119</v>
      </c>
      <c r="I13" s="37" t="str">
        <f t="shared" si="1"/>
        <v>INSERT INTO `parqueadero`.`conductor` (`Oid`, `IdConductor`, `Nombre`, `Area`, `Piso`, `Celular`, `correo`, `Vinculacion`) VALUES ('6','1020789222','ALEJANDRA FORERO GONZÁLEZ','Subsecretaría de Planeación y Políticas','','3116441544','alejandra.forero@habitatbogota.gov.co','FUNCIONARIO');</v>
      </c>
    </row>
    <row r="14" spans="1:9" ht="14.4" x14ac:dyDescent="0.3">
      <c r="A14" s="16">
        <f t="shared" si="0"/>
        <v>7</v>
      </c>
      <c r="B14" s="17">
        <v>1019025949</v>
      </c>
      <c r="C14" s="17" t="s">
        <v>1197</v>
      </c>
      <c r="D14" s="17" t="s">
        <v>299</v>
      </c>
      <c r="E14" s="17"/>
      <c r="F14" s="17">
        <v>3134801116</v>
      </c>
      <c r="G14" s="8" t="s">
        <v>1199</v>
      </c>
      <c r="H14" s="24" t="s">
        <v>2209</v>
      </c>
      <c r="I14" s="37" t="str">
        <f t="shared" si="1"/>
        <v>INSERT INTO `parqueadero`.`conductor` (`Oid`, `IdConductor`, `Nombre`, `Area`, `Piso`, `Celular`, `correo`, `Vinculacion`) VALUES ('7','1019025949','ALEJANDRA LONDOÑO REYES','Despacho','','3134801116','alondono@habitatbogota.gov.co','CONTRATISTA');</v>
      </c>
    </row>
    <row r="15" spans="1:9" ht="14.4" x14ac:dyDescent="0.3">
      <c r="A15" s="16">
        <f t="shared" si="0"/>
        <v>8</v>
      </c>
      <c r="B15" s="6">
        <v>52963778</v>
      </c>
      <c r="C15" s="17" t="s">
        <v>1713</v>
      </c>
      <c r="D15" s="6" t="s">
        <v>1716</v>
      </c>
      <c r="E15" s="6"/>
      <c r="F15" s="6">
        <v>3118530471</v>
      </c>
      <c r="G15" s="8" t="s">
        <v>1715</v>
      </c>
      <c r="H15" s="24" t="s">
        <v>2209</v>
      </c>
      <c r="I15" s="37" t="str">
        <f t="shared" si="1"/>
        <v>INSERT INTO `parqueadero`.`conductor` (`Oid`, `IdConductor`, `Nombre`, `Area`, `Piso`, `Celular`, `correo`, `Vinculacion`) VALUES ('8','52963778','ALEJANDRA NEISSA LANCHEROS','Subsecretaría Corporativa','','3118530471','noraya.neissa@habitatbogota.gov.co','CONTRATISTA');</v>
      </c>
    </row>
    <row r="16" spans="1:9" ht="14.4" x14ac:dyDescent="0.3">
      <c r="A16" s="16">
        <f t="shared" si="0"/>
        <v>9</v>
      </c>
      <c r="B16" s="6">
        <v>1017140531</v>
      </c>
      <c r="C16" s="17" t="s">
        <v>370</v>
      </c>
      <c r="D16" s="6" t="s">
        <v>325</v>
      </c>
      <c r="E16" s="6"/>
      <c r="F16" s="6">
        <v>3006972526</v>
      </c>
      <c r="G16" s="8" t="s">
        <v>372</v>
      </c>
      <c r="H16" s="24" t="s">
        <v>2209</v>
      </c>
      <c r="I16" s="37" t="str">
        <f t="shared" si="1"/>
        <v>INSERT INTO `parqueadero`.`conductor` (`Oid`, `IdConductor`, `Nombre`, `Area`, `Piso`, `Celular`, `correo`, `Vinculacion`) VALUES ('9','1017140531','ALEX CORREA','Dirección de Operaciones','','3006972526','alex.correa@habitatbogota.gov.co','CONTRATISTA');</v>
      </c>
    </row>
    <row r="17" spans="1:9" ht="14.4" x14ac:dyDescent="0.3">
      <c r="A17" s="16">
        <f t="shared" si="0"/>
        <v>10</v>
      </c>
      <c r="B17" s="6">
        <v>79756851</v>
      </c>
      <c r="C17" s="17" t="s">
        <v>2019</v>
      </c>
      <c r="D17" s="6" t="s">
        <v>500</v>
      </c>
      <c r="E17" s="6"/>
      <c r="F17" s="6">
        <v>3108874878</v>
      </c>
      <c r="G17" s="8" t="s">
        <v>2020</v>
      </c>
      <c r="H17" s="24" t="s">
        <v>119</v>
      </c>
      <c r="I17" s="37" t="str">
        <f t="shared" si="1"/>
        <v>INSERT INTO `parqueadero`.`conductor` (`Oid`, `IdConductor`, `Nombre`, `Area`, `Piso`, `Celular`, `correo`, `Vinculacion`) VALUES ('10','79756851','ALEXANDER PRIETO MUÑOZ','Dirección de Financiación de Vivienda','','3108874878','alexander.prieto@habitatbogota.gov.co','FUNCIONARIO');</v>
      </c>
    </row>
    <row r="18" spans="1:9" ht="14.4" x14ac:dyDescent="0.3">
      <c r="A18" s="16">
        <f t="shared" si="0"/>
        <v>11</v>
      </c>
      <c r="B18" s="6">
        <v>1014230598</v>
      </c>
      <c r="C18" s="17" t="s">
        <v>375</v>
      </c>
      <c r="D18" s="6" t="s">
        <v>325</v>
      </c>
      <c r="E18" s="6"/>
      <c r="F18" s="6">
        <v>3114873933</v>
      </c>
      <c r="G18" s="8" t="s">
        <v>377</v>
      </c>
      <c r="H18" s="24" t="s">
        <v>2209</v>
      </c>
      <c r="I18" s="37" t="str">
        <f t="shared" si="1"/>
        <v>INSERT INTO `parqueadero`.`conductor` (`Oid`, `IdConductor`, `Nombre`, `Area`, `Piso`, `Celular`, `correo`, `Vinculacion`) VALUES ('11','1014230598','ALFONSO MORENO BUITRAGO','Dirección de Operaciones','','3114873933','alfonso.moreno@habitatbogota.gov.co','CONTRATISTA');</v>
      </c>
    </row>
    <row r="19" spans="1:9" ht="14.4" x14ac:dyDescent="0.3">
      <c r="A19" s="16">
        <f t="shared" si="0"/>
        <v>12</v>
      </c>
      <c r="B19" s="6">
        <v>10288931</v>
      </c>
      <c r="C19" s="17" t="s">
        <v>684</v>
      </c>
      <c r="D19" s="6" t="s">
        <v>1716</v>
      </c>
      <c r="E19" s="6"/>
      <c r="F19" s="6">
        <v>3176767882</v>
      </c>
      <c r="G19" s="8" t="s">
        <v>686</v>
      </c>
      <c r="H19" s="24" t="s">
        <v>2209</v>
      </c>
      <c r="I19" s="37" t="str">
        <f t="shared" si="1"/>
        <v>INSERT INTO `parqueadero`.`conductor` (`Oid`, `IdConductor`, `Nombre`, `Area`, `Piso`, `Celular`, `correo`, `Vinculacion`) VALUES ('12','10288931','ALFREDO GOMEZ ARBOLEDA','Subsecretaría Corporativa','','3176767882','alfredo.gomez@habitatbogota.gov.co','CONTRATISTA');</v>
      </c>
    </row>
    <row r="20" spans="1:9" ht="14.4" x14ac:dyDescent="0.3">
      <c r="A20" s="16">
        <f t="shared" si="0"/>
        <v>13</v>
      </c>
      <c r="B20" s="6">
        <v>15958519</v>
      </c>
      <c r="C20" s="17" t="s">
        <v>1533</v>
      </c>
      <c r="D20" s="6" t="s">
        <v>270</v>
      </c>
      <c r="E20" s="6"/>
      <c r="F20" s="6">
        <v>3102286082</v>
      </c>
      <c r="G20" s="8" t="s">
        <v>1534</v>
      </c>
      <c r="H20" s="24" t="s">
        <v>119</v>
      </c>
      <c r="I20" s="37" t="str">
        <f t="shared" si="1"/>
        <v>INSERT INTO `parqueadero`.`conductor` (`Oid`, `IdConductor`, `Nombre`, `Area`, `Piso`, `Celular`, `correo`, `Vinculacion`) VALUES ('13','15958519','ALONSO MARIN CARDONA','Dirección de Investigaciones y Control de Vivienda','','3102286082','alonso.marin@habitatbogota.gov.co','FUNCIONARIO');</v>
      </c>
    </row>
    <row r="21" spans="1:9" ht="14.4" x14ac:dyDescent="0.3">
      <c r="A21" s="16">
        <f t="shared" si="0"/>
        <v>14</v>
      </c>
      <c r="B21" s="6">
        <v>80268446</v>
      </c>
      <c r="C21" s="17" t="s">
        <v>1079</v>
      </c>
      <c r="D21" s="6" t="s">
        <v>2110</v>
      </c>
      <c r="E21" s="6"/>
      <c r="F21" s="6">
        <v>3157902737</v>
      </c>
      <c r="G21" s="8" t="s">
        <v>1081</v>
      </c>
      <c r="H21" s="24" t="s">
        <v>2209</v>
      </c>
      <c r="I21" s="37" t="str">
        <f t="shared" si="1"/>
        <v>INSERT INTO `parqueadero`.`conductor` (`Oid`, `IdConductor`, `Nombre`, `Area`, `Piso`, `Celular`, `correo`, `Vinculacion`) VALUES ('14','80268446','ALVARO BARRETO LUGO','Subsecretaría de Vivienda','','3157902737','alvaro.barreto@habitatbogota.gov.co','CONTRATISTA');</v>
      </c>
    </row>
    <row r="22" spans="1:9" ht="14.4" x14ac:dyDescent="0.3">
      <c r="A22" s="16">
        <f t="shared" si="0"/>
        <v>15</v>
      </c>
      <c r="B22" s="6">
        <v>1020767847</v>
      </c>
      <c r="C22" s="17" t="s">
        <v>2210</v>
      </c>
      <c r="D22" s="6" t="s">
        <v>325</v>
      </c>
      <c r="E22" s="6"/>
      <c r="F22" s="6">
        <v>3213712008</v>
      </c>
      <c r="G22" s="8" t="s">
        <v>347</v>
      </c>
      <c r="H22" s="24" t="s">
        <v>2209</v>
      </c>
      <c r="I22" s="37" t="str">
        <f t="shared" si="1"/>
        <v>INSERT INTO `parqueadero`.`conductor` (`Oid`, `IdConductor`, `Nombre`, `Area`, `Piso`, `Celular`, `correo`, `Vinculacion`) VALUES ('15','1020767847','AMMY JULIETH MORA PARRALES','Dirección de Operaciones','','3213712008','ammy.mora@habitatbogota.gov.co','CONTRATISTA');</v>
      </c>
    </row>
    <row r="23" spans="1:9" ht="14.4" x14ac:dyDescent="0.3">
      <c r="A23" s="16">
        <f t="shared" si="0"/>
        <v>16</v>
      </c>
      <c r="B23" s="17">
        <v>52883834</v>
      </c>
      <c r="C23" s="17" t="s">
        <v>2211</v>
      </c>
      <c r="D23" s="6" t="s">
        <v>1338</v>
      </c>
      <c r="E23" s="6"/>
      <c r="F23" s="17">
        <v>3204174797</v>
      </c>
      <c r="G23" s="8" t="s">
        <v>1484</v>
      </c>
      <c r="H23" s="24" t="s">
        <v>2209</v>
      </c>
      <c r="I23" s="37" t="str">
        <f t="shared" si="1"/>
        <v>INSERT INTO `parqueadero`.`conductor` (`Oid`, `IdConductor`, `Nombre`, `Area`, `Piso`, `Celular`, `correo`, `Vinculacion`) VALUES ('16','52883834','ANA AMELIA AVILA PALACIOS','Oficina de Participación y Relacionamiento con la Ciudadanía','','3204174797','ana.avila@habitatbogota.gov.co','CONTRATISTA');</v>
      </c>
    </row>
    <row r="24" spans="1:9" ht="14.4" x14ac:dyDescent="0.3">
      <c r="A24" s="16">
        <f t="shared" si="0"/>
        <v>17</v>
      </c>
      <c r="B24" s="17">
        <v>49606615</v>
      </c>
      <c r="C24" s="17" t="s">
        <v>2212</v>
      </c>
      <c r="D24" s="6" t="s">
        <v>270</v>
      </c>
      <c r="E24" s="6"/>
      <c r="F24" s="17">
        <v>3017008600</v>
      </c>
      <c r="G24" s="8" t="s">
        <v>456</v>
      </c>
      <c r="H24" s="24" t="s">
        <v>2209</v>
      </c>
      <c r="I24" s="37" t="str">
        <f t="shared" si="1"/>
        <v>INSERT INTO `parqueadero`.`conductor` (`Oid`, `IdConductor`, `Nombre`, `Area`, `Piso`, `Celular`, `correo`, `Vinculacion`) VALUES ('17','49606615','ANA CAROLINA ARAÚJO CHÁVEZ','Dirección de Investigaciones y Control de Vivienda','','3017008600','ana.araujo@habitatbogota.gov.co','CONTRATISTA');</v>
      </c>
    </row>
    <row r="25" spans="1:9" ht="14.4" x14ac:dyDescent="0.3">
      <c r="A25" s="16">
        <f t="shared" si="0"/>
        <v>18</v>
      </c>
      <c r="B25" s="6">
        <v>52226898</v>
      </c>
      <c r="C25" s="17" t="s">
        <v>2213</v>
      </c>
      <c r="D25" s="6" t="s">
        <v>587</v>
      </c>
      <c r="E25" s="6"/>
      <c r="F25" s="6">
        <v>3112818293</v>
      </c>
      <c r="G25" s="8" t="s">
        <v>1145</v>
      </c>
      <c r="H25" s="24" t="s">
        <v>2209</v>
      </c>
      <c r="I25" s="37" t="str">
        <f t="shared" si="1"/>
        <v>INSERT INTO `parqueadero`.`conductor` (`Oid`, `IdConductor`, `Nombre`, `Area`, `Piso`, `Celular`, `correo`, `Vinculacion`) VALUES ('18','52226898','ANA JUDITH ABREU MURCIA','Dirección de Apoyo a la Contrucción','','3112818293','ana.abreu@habitatbogota.gov.co','CONTRATISTA');</v>
      </c>
    </row>
    <row r="26" spans="1:9" ht="14.4" x14ac:dyDescent="0.3">
      <c r="A26" s="16">
        <f t="shared" si="0"/>
        <v>19</v>
      </c>
      <c r="B26" s="6">
        <v>52454937</v>
      </c>
      <c r="C26" s="17" t="s">
        <v>2093</v>
      </c>
      <c r="D26" s="6" t="s">
        <v>325</v>
      </c>
      <c r="E26" s="6"/>
      <c r="F26" s="6">
        <v>3124328572</v>
      </c>
      <c r="G26" s="8" t="s">
        <v>2095</v>
      </c>
      <c r="H26" s="24" t="s">
        <v>2209</v>
      </c>
      <c r="I26" s="37" t="str">
        <f t="shared" si="1"/>
        <v>INSERT INTO `parqueadero`.`conductor` (`Oid`, `IdConductor`, `Nombre`, `Area`, `Piso`, `Celular`, `correo`, `Vinculacion`) VALUES ('19','52454937','ANA MARIA PATIÑO DURÁN','Dirección de Operaciones','','3124328572','ana.patino@habitatbogota.gov.co','CONTRATISTA');</v>
      </c>
    </row>
    <row r="27" spans="1:9" ht="14.4" x14ac:dyDescent="0.3">
      <c r="A27" s="16">
        <f t="shared" si="0"/>
        <v>20</v>
      </c>
      <c r="B27" s="6">
        <v>1014307682</v>
      </c>
      <c r="C27" s="17" t="s">
        <v>1651</v>
      </c>
      <c r="D27" s="6" t="s">
        <v>201</v>
      </c>
      <c r="E27" s="6"/>
      <c r="F27" s="6">
        <v>3044372347</v>
      </c>
      <c r="G27" s="8" t="s">
        <v>1653</v>
      </c>
      <c r="H27" s="24" t="s">
        <v>2209</v>
      </c>
      <c r="I27" s="37" t="str">
        <f t="shared" si="1"/>
        <v>INSERT INTO `parqueadero`.`conductor` (`Oid`, `IdConductor`, `Nombre`, `Area`, `Piso`, `Celular`, `correo`, `Vinculacion`) VALUES ('20','1014307682','ANA SOFÍA RODRÍGUEZ GONZÁLEZ','Dirección de Mejoramiento Habitacional','','3044372347','sofiarodriguez258@gmail.com','CONTRATISTA');</v>
      </c>
    </row>
    <row r="28" spans="1:9" ht="14.4" x14ac:dyDescent="0.3">
      <c r="A28" s="16">
        <f t="shared" si="0"/>
        <v>21</v>
      </c>
      <c r="B28" s="6">
        <v>1013579971</v>
      </c>
      <c r="C28" s="17" t="s">
        <v>1345</v>
      </c>
      <c r="D28" s="17" t="s">
        <v>1041</v>
      </c>
      <c r="E28" s="17"/>
      <c r="F28" s="6">
        <v>3017566072</v>
      </c>
      <c r="G28" s="8" t="s">
        <v>1347</v>
      </c>
      <c r="H28" s="24" t="s">
        <v>2209</v>
      </c>
      <c r="I28" s="37" t="str">
        <f t="shared" si="1"/>
        <v>INSERT INTO `parqueadero`.`conductor` (`Oid`, `IdConductor`, `Nombre`, `Area`, `Piso`, `Celular`, `correo`, `Vinculacion`) VALUES ('21','1013579971','ANA ZULEIMA BARRERO RODRIGUEZ','Dirección de Hábitat y Entorno','','3017566072','ana.barrero@habitatbogota.gov.co','CONTRATISTA');</v>
      </c>
    </row>
    <row r="29" spans="1:9" ht="14.4" x14ac:dyDescent="0.3">
      <c r="A29" s="16">
        <f t="shared" si="0"/>
        <v>22</v>
      </c>
      <c r="B29" s="17">
        <v>1032419051</v>
      </c>
      <c r="C29" s="17" t="s">
        <v>1974</v>
      </c>
      <c r="D29" s="6" t="s">
        <v>201</v>
      </c>
      <c r="E29" s="6"/>
      <c r="F29" s="17">
        <v>3167537379</v>
      </c>
      <c r="G29" s="8" t="s">
        <v>1976</v>
      </c>
      <c r="H29" s="24" t="s">
        <v>2209</v>
      </c>
      <c r="I29" s="37" t="str">
        <f t="shared" si="1"/>
        <v>INSERT INTO `parqueadero`.`conductor` (`Oid`, `IdConductor`, `Nombre`, `Area`, `Piso`, `Celular`, `correo`, `Vinculacion`) VALUES ('22','1032419051','ANDREA CAROLINA TORRES LEÓN','Dirección de Mejoramiento Habitacional','','3167537379','andrea.torres@habitatbogota.gov.co','CONTRATISTA');</v>
      </c>
    </row>
    <row r="30" spans="1:9" ht="14.4" x14ac:dyDescent="0.3">
      <c r="A30" s="16">
        <f t="shared" si="0"/>
        <v>23</v>
      </c>
      <c r="B30" s="6">
        <v>52387578</v>
      </c>
      <c r="C30" s="17" t="s">
        <v>390</v>
      </c>
      <c r="D30" s="6" t="s">
        <v>325</v>
      </c>
      <c r="E30" s="6"/>
      <c r="F30" s="6">
        <v>3208638990</v>
      </c>
      <c r="G30" s="8" t="s">
        <v>392</v>
      </c>
      <c r="H30" s="24" t="s">
        <v>2209</v>
      </c>
      <c r="I30" s="37" t="str">
        <f t="shared" si="1"/>
        <v>INSERT INTO `parqueadero`.`conductor` (`Oid`, `IdConductor`, `Nombre`, `Area`, `Piso`, `Celular`, `correo`, `Vinculacion`) VALUES ('23','52387578','ANDREA FERNANDA GUZMAN RAMOS','Dirección de Operaciones','','3208638990','andrea.guzman@habitatbogota.gov.co','CONTRATISTA');</v>
      </c>
    </row>
    <row r="31" spans="1:9" ht="14.4" x14ac:dyDescent="0.3">
      <c r="A31" s="16">
        <f t="shared" si="0"/>
        <v>24</v>
      </c>
      <c r="B31" s="6">
        <v>1018455944</v>
      </c>
      <c r="C31" s="17" t="s">
        <v>1732</v>
      </c>
      <c r="D31" s="17" t="s">
        <v>1041</v>
      </c>
      <c r="E31" s="17"/>
      <c r="F31" s="6">
        <v>3208010259</v>
      </c>
      <c r="G31" s="8" t="s">
        <v>1734</v>
      </c>
      <c r="H31" s="24" t="s">
        <v>2209</v>
      </c>
      <c r="I31" s="37" t="str">
        <f t="shared" si="1"/>
        <v>INSERT INTO `parqueadero`.`conductor` (`Oid`, `IdConductor`, `Nombre`, `Area`, `Piso`, `Celular`, `correo`, `Vinculacion`) VALUES ('24','1018455944','ANDREA JULIETH PAVA GOMEZ','Dirección de Hábitat y Entorno','','3208010259','andrea.pava@habitatbogota.gov.co','CONTRATISTA');</v>
      </c>
    </row>
    <row r="32" spans="1:9" ht="14.4" x14ac:dyDescent="0.3">
      <c r="A32" s="16">
        <f t="shared" si="0"/>
        <v>25</v>
      </c>
      <c r="B32" s="6">
        <v>52212145</v>
      </c>
      <c r="C32" s="17" t="s">
        <v>216</v>
      </c>
      <c r="D32" s="6" t="s">
        <v>201</v>
      </c>
      <c r="E32" s="6"/>
      <c r="F32" s="6">
        <v>3195138463</v>
      </c>
      <c r="G32" s="8" t="s">
        <v>218</v>
      </c>
      <c r="H32" s="24" t="s">
        <v>2209</v>
      </c>
      <c r="I32" s="37" t="str">
        <f t="shared" si="1"/>
        <v>INSERT INTO `parqueadero`.`conductor` (`Oid`, `IdConductor`, `Nombre`, `Area`, `Piso`, `Celular`, `correo`, `Vinculacion`) VALUES ('25','52212145','ANDREA PAOLA CORTES CARVAJALINO','Dirección de Mejoramiento Habitacional','','3195138463','andrea.cortes@habitatbogota.gov.co','CONTRATISTA');</v>
      </c>
    </row>
    <row r="33" spans="1:9" ht="14.4" x14ac:dyDescent="0.3">
      <c r="A33" s="16">
        <f t="shared" si="0"/>
        <v>26</v>
      </c>
      <c r="B33" s="6">
        <v>1010187540</v>
      </c>
      <c r="C33" s="17" t="s">
        <v>254</v>
      </c>
      <c r="D33" s="6" t="s">
        <v>2150</v>
      </c>
      <c r="E33" s="6"/>
      <c r="F33" s="6">
        <v>3118045214</v>
      </c>
      <c r="G33" s="8" t="s">
        <v>255</v>
      </c>
      <c r="H33" s="24" t="s">
        <v>119</v>
      </c>
      <c r="I33" s="37" t="str">
        <f t="shared" si="1"/>
        <v>INSERT INTO `parqueadero`.`conductor` (`Oid`, `IdConductor`, `Nombre`, `Area`, `Piso`, `Celular`, `correo`, `Vinculacion`) VALUES ('26','1010187540','ANDRES FAID GARZON APONTE','Dirección de Prevención Arrendamiento y Control de Enajenación','','3118045214','andres.garzon@habitatbogota.gov.co','FUNCIONARIO');</v>
      </c>
    </row>
    <row r="34" spans="1:9" ht="14.4" x14ac:dyDescent="0.3">
      <c r="A34" s="16">
        <f t="shared" si="0"/>
        <v>27</v>
      </c>
      <c r="B34" s="6">
        <v>80136470</v>
      </c>
      <c r="C34" s="17" t="s">
        <v>395</v>
      </c>
      <c r="D34" s="6" t="s">
        <v>500</v>
      </c>
      <c r="E34" s="6"/>
      <c r="F34" s="6">
        <v>3008532732</v>
      </c>
      <c r="G34" s="8" t="s">
        <v>397</v>
      </c>
      <c r="H34" s="24" t="s">
        <v>2209</v>
      </c>
      <c r="I34" s="37" t="str">
        <f t="shared" si="1"/>
        <v>INSERT INTO `parqueadero`.`conductor` (`Oid`, `IdConductor`, `Nombre`, `Area`, `Piso`, `Celular`, `correo`, `Vinculacion`) VALUES ('27','80136470','ANDRES FARFAN','Dirección de Financiación de Vivienda','','3008532732','victor.farfan@habitatbogota.gov.co','CONTRATISTA');</v>
      </c>
    </row>
    <row r="35" spans="1:9" ht="14.4" x14ac:dyDescent="0.3">
      <c r="A35" s="16">
        <f t="shared" si="0"/>
        <v>28</v>
      </c>
      <c r="B35" s="6">
        <v>1010033134</v>
      </c>
      <c r="C35" s="17" t="s">
        <v>991</v>
      </c>
      <c r="D35" s="6" t="s">
        <v>325</v>
      </c>
      <c r="E35" s="6"/>
      <c r="F35" s="6">
        <v>3184658662</v>
      </c>
      <c r="G35" s="8" t="s">
        <v>993</v>
      </c>
      <c r="H35" s="24" t="s">
        <v>2209</v>
      </c>
      <c r="I35" s="37" t="str">
        <f t="shared" si="1"/>
        <v>INSERT INTO `parqueadero`.`conductor` (`Oid`, `IdConductor`, `Nombre`, `Area`, `Piso`, `Celular`, `correo`, `Vinculacion`) VALUES ('28','1010033134','ANDRES FELIPE LEGUIZAMO SANCHEZ','Dirección de Operaciones','','3184658662','andres.leguizamon@habitatbogota.gov.co','CONTRATISTA');</v>
      </c>
    </row>
    <row r="36" spans="1:9" ht="14.4" x14ac:dyDescent="0.3">
      <c r="A36" s="16">
        <f t="shared" si="0"/>
        <v>29</v>
      </c>
      <c r="B36" s="6">
        <v>1018492612</v>
      </c>
      <c r="C36" s="17" t="s">
        <v>1138</v>
      </c>
      <c r="D36" s="6" t="s">
        <v>2149</v>
      </c>
      <c r="E36" s="6"/>
      <c r="F36" s="6">
        <v>3213001212</v>
      </c>
      <c r="G36" s="8" t="s">
        <v>1140</v>
      </c>
      <c r="H36" s="24" t="s">
        <v>2209</v>
      </c>
      <c r="I36" s="37" t="str">
        <f t="shared" si="1"/>
        <v>INSERT INTO `parqueadero`.`conductor` (`Oid`, `IdConductor`, `Nombre`, `Area`, `Piso`, `Celular`, `correo`, `Vinculacion`) VALUES ('29','1018492612','ANDRÉS FELIPE MONROY GUALTERO','Subsecretaría de Inspección Vigilancia y Control de Vivienda','','3213001212','andres.monroy@habitatbogota.gov.co','CONTRATISTA');</v>
      </c>
    </row>
    <row r="37" spans="1:9" ht="14.4" x14ac:dyDescent="0.3">
      <c r="A37" s="16">
        <f t="shared" si="0"/>
        <v>30</v>
      </c>
      <c r="B37" s="13">
        <v>1012453976</v>
      </c>
      <c r="C37" s="24" t="s">
        <v>1822</v>
      </c>
      <c r="D37" s="6" t="s">
        <v>1825</v>
      </c>
      <c r="E37" s="6"/>
      <c r="F37" s="13">
        <v>3016500846</v>
      </c>
      <c r="G37" s="8" t="s">
        <v>1824</v>
      </c>
      <c r="H37" s="24" t="s">
        <v>2209</v>
      </c>
      <c r="I37" s="37" t="str">
        <f t="shared" si="1"/>
        <v>INSERT INTO `parqueadero`.`conductor` (`Oid`, `IdConductor`, `Nombre`, `Area`, `Piso`, `Celular`, `correo`, `Vinculacion`) VALUES ('30','1012453976','ANDRÉS FELIPE PARRA AVENDAÑO','Oficina de Control Interno','','3016500846','andres.parra@habitatbogota.gov.co','CONTRATISTA');</v>
      </c>
    </row>
    <row r="38" spans="1:9" ht="14.4" x14ac:dyDescent="0.3">
      <c r="A38" s="16">
        <f t="shared" si="0"/>
        <v>31</v>
      </c>
      <c r="B38" s="6">
        <v>80206130</v>
      </c>
      <c r="C38" s="17" t="s">
        <v>1486</v>
      </c>
      <c r="D38" s="6" t="s">
        <v>1562</v>
      </c>
      <c r="E38" s="6" t="s">
        <v>2200</v>
      </c>
      <c r="F38" s="6">
        <v>3208732659</v>
      </c>
      <c r="G38" s="8" t="s">
        <v>1488</v>
      </c>
      <c r="H38" s="24" t="s">
        <v>2209</v>
      </c>
      <c r="I38" s="37" t="str">
        <f t="shared" si="1"/>
        <v>INSERT INTO `parqueadero`.`conductor` (`Oid`, `IdConductor`, `Nombre`, `Area`, `Piso`, `Celular`, `correo`, `Vinculacion`) VALUES ('31','80206130','ANDRES FELIPE VILLAMIL CASTRO','Dirección Financiera','Piso 11','3208732659','andres.villamilc@habotatbogota.gov.co','CONTRATISTA');</v>
      </c>
    </row>
    <row r="39" spans="1:9" ht="14.4" x14ac:dyDescent="0.3">
      <c r="A39" s="16">
        <f t="shared" si="0"/>
        <v>32</v>
      </c>
      <c r="B39" s="6">
        <v>1918513898</v>
      </c>
      <c r="C39" s="17" t="s">
        <v>101</v>
      </c>
      <c r="D39" s="6" t="s">
        <v>1338</v>
      </c>
      <c r="E39" s="6"/>
      <c r="F39" s="6">
        <v>3102710234</v>
      </c>
      <c r="G39" s="8" t="s">
        <v>103</v>
      </c>
      <c r="H39" s="24" t="s">
        <v>2209</v>
      </c>
      <c r="I39" s="37" t="str">
        <f t="shared" si="1"/>
        <v>INSERT INTO `parqueadero`.`conductor` (`Oid`, `IdConductor`, `Nombre`, `Area`, `Piso`, `Celular`, `correo`, `Vinculacion`) VALUES ('32','1918513898','ANDRES FERNANDO CARDOZO RATIVA','Oficina de Participación y Relacionamiento con la Ciudadanía','','3102710234','andres.cardozo45@gmail.com','CONTRATISTA');</v>
      </c>
    </row>
    <row r="40" spans="1:9" ht="14.4" x14ac:dyDescent="0.3">
      <c r="A40" s="16">
        <f t="shared" si="0"/>
        <v>33</v>
      </c>
      <c r="B40" s="17">
        <v>1026578164</v>
      </c>
      <c r="C40" s="17" t="s">
        <v>1226</v>
      </c>
      <c r="D40" s="6" t="s">
        <v>1229</v>
      </c>
      <c r="E40" s="6"/>
      <c r="F40" s="17">
        <v>3192601606</v>
      </c>
      <c r="G40" s="8" t="s">
        <v>1228</v>
      </c>
      <c r="H40" s="24" t="s">
        <v>2209</v>
      </c>
      <c r="I40" s="37" t="str">
        <f t="shared" si="1"/>
        <v>INSERT INTO `parqueadero`.`conductor` (`Oid`, `IdConductor`, `Nombre`, `Area`, `Piso`, `Celular`, `correo`, `Vinculacion`) VALUES ('33','1026578164','ANDRES FERNEY ARROYO HERRERA','Dirección de Información de Políticas Públicas','','3192601606','andres.arroyo@habitatbogota.gov.co','CONTRATISTA');</v>
      </c>
    </row>
    <row r="41" spans="1:9" ht="14.4" x14ac:dyDescent="0.3">
      <c r="A41" s="16">
        <f t="shared" si="0"/>
        <v>34</v>
      </c>
      <c r="B41" s="6">
        <v>79867029</v>
      </c>
      <c r="C41" s="17" t="s">
        <v>1103</v>
      </c>
      <c r="D41" s="6" t="s">
        <v>1006</v>
      </c>
      <c r="E41" s="6"/>
      <c r="F41" s="6">
        <v>3157310092</v>
      </c>
      <c r="G41" s="8" t="s">
        <v>1105</v>
      </c>
      <c r="H41" s="24" t="s">
        <v>2209</v>
      </c>
      <c r="I41" s="37" t="str">
        <f t="shared" si="1"/>
        <v>INSERT INTO `parqueadero`.`conductor` (`Oid`, `IdConductor`, `Nombre`, `Area`, `Piso`, `Celular`, `correo`, `Vinculacion`) VALUES ('34','79867029','ANDRES TRUJILLO MAZA','Subsecretaría Jurídica','','3157310092','andres.trujillo@habitatbogota.gov.co','CONTRATISTA');</v>
      </c>
    </row>
    <row r="42" spans="1:9" ht="14.4" x14ac:dyDescent="0.3">
      <c r="A42" s="16">
        <f t="shared" si="0"/>
        <v>35</v>
      </c>
      <c r="B42" s="6">
        <v>52243622</v>
      </c>
      <c r="C42" s="17" t="s">
        <v>1330</v>
      </c>
      <c r="D42" s="6" t="s">
        <v>500</v>
      </c>
      <c r="E42" s="6"/>
      <c r="F42" s="6">
        <v>3108833639</v>
      </c>
      <c r="G42" s="8" t="s">
        <v>1332</v>
      </c>
      <c r="H42" s="24" t="s">
        <v>2209</v>
      </c>
      <c r="I42" s="37" t="str">
        <f t="shared" si="1"/>
        <v>INSERT INTO `parqueadero`.`conductor` (`Oid`, `IdConductor`, `Nombre`, `Area`, `Piso`, `Celular`, `correo`, `Vinculacion`) VALUES ('35','52243622','ANGELA JANNETH CASTIBLANCO PIÑEROS','Dirección de Financiación de Vivienda','','3108833639','angela.castiblanco@habitatbogota.gov.co','CONTRATISTA');</v>
      </c>
    </row>
    <row r="43" spans="1:9" ht="14.4" x14ac:dyDescent="0.3">
      <c r="A43" s="16">
        <f t="shared" si="0"/>
        <v>36</v>
      </c>
      <c r="B43" s="6">
        <v>52918998</v>
      </c>
      <c r="C43" s="17" t="s">
        <v>2214</v>
      </c>
      <c r="D43" s="6" t="s">
        <v>500</v>
      </c>
      <c r="E43" s="6"/>
      <c r="F43" s="6">
        <v>3118191247</v>
      </c>
      <c r="G43" s="8" t="s">
        <v>149</v>
      </c>
      <c r="H43" s="24" t="s">
        <v>2209</v>
      </c>
      <c r="I43" s="37" t="str">
        <f t="shared" si="1"/>
        <v>INSERT INTO `parqueadero`.`conductor` (`Oid`, `IdConductor`, `Nombre`, `Area`, `Piso`, `Celular`, `correo`, `Vinculacion`) VALUES ('36','52918998','ANGELA MILENA LATORRE RODRÍGUEZ','Dirección de Financiación de Vivienda','','3118191247','angela.latorre@habitatbogota.gov.co','CONTRATISTA');</v>
      </c>
    </row>
    <row r="44" spans="1:9" ht="14.4" x14ac:dyDescent="0.3">
      <c r="A44" s="16">
        <f t="shared" si="0"/>
        <v>37</v>
      </c>
      <c r="B44" s="6">
        <v>1022360944</v>
      </c>
      <c r="C44" s="17" t="s">
        <v>1066</v>
      </c>
      <c r="D44" s="6" t="s">
        <v>2109</v>
      </c>
      <c r="E44" s="6"/>
      <c r="F44" s="6">
        <v>3208648492</v>
      </c>
      <c r="G44" s="8" t="s">
        <v>1068</v>
      </c>
      <c r="H44" s="24" t="s">
        <v>2209</v>
      </c>
      <c r="I44" s="37" t="str">
        <f t="shared" si="1"/>
        <v>INSERT INTO `parqueadero`.`conductor` (`Oid`, `IdConductor`, `Nombre`, `Area`, `Piso`, `Celular`, `correo`, `Vinculacion`) VALUES ('37','1022360944','ANGELICA MARCELA LOPEZ CUBILLOS','Dirección de Estructuracion de Proyectos','','3208648492','angelica.lopez@habitatbogota.gov.co','CONTRATISTA');</v>
      </c>
    </row>
    <row r="45" spans="1:9" ht="14.4" x14ac:dyDescent="0.3">
      <c r="A45" s="16">
        <f t="shared" si="0"/>
        <v>38</v>
      </c>
      <c r="B45" s="6">
        <v>1032400206</v>
      </c>
      <c r="C45" s="17" t="s">
        <v>598</v>
      </c>
      <c r="D45" s="6" t="s">
        <v>2149</v>
      </c>
      <c r="E45" s="6"/>
      <c r="F45" s="6">
        <v>1032400206</v>
      </c>
      <c r="G45" s="8" t="s">
        <v>600</v>
      </c>
      <c r="H45" s="24" t="s">
        <v>2209</v>
      </c>
      <c r="I45" s="37" t="str">
        <f t="shared" si="1"/>
        <v>INSERT INTO `parqueadero`.`conductor` (`Oid`, `IdConductor`, `Nombre`, `Area`, `Piso`, `Celular`, `correo`, `Vinculacion`) VALUES ('38','1032400206','ANGELICA MARIA ANTOLINEZ TIUSABA','Subsecretaría de Inspección Vigilancia y Control de Vivienda','','1032400206','angelica.antolinez@habitatbogota.gov.co','CONTRATISTA');</v>
      </c>
    </row>
    <row r="46" spans="1:9" ht="14.4" x14ac:dyDescent="0.3">
      <c r="A46" s="16">
        <f t="shared" si="0"/>
        <v>39</v>
      </c>
      <c r="B46" s="6">
        <v>1026302501</v>
      </c>
      <c r="C46" s="17" t="s">
        <v>1119</v>
      </c>
      <c r="D46" s="6" t="s">
        <v>270</v>
      </c>
      <c r="E46" s="6"/>
      <c r="F46" s="6">
        <v>3164900097</v>
      </c>
      <c r="G46" s="8" t="s">
        <v>1121</v>
      </c>
      <c r="H46" s="24" t="s">
        <v>2209</v>
      </c>
      <c r="I46" s="37" t="str">
        <f t="shared" si="1"/>
        <v>INSERT INTO `parqueadero`.`conductor` (`Oid`, `IdConductor`, `Nombre`, `Area`, `Piso`, `Celular`, `correo`, `Vinculacion`) VALUES ('39','1026302501','ANGELICA PAOLA LUNA TORRES','Dirección de Investigaciones y Control de Vivienda','','3164900097','angelica.luna@habitatbogota.gov.co','CONTRATISTA');</v>
      </c>
    </row>
    <row r="47" spans="1:9" ht="14.4" x14ac:dyDescent="0.3">
      <c r="A47" s="16">
        <f t="shared" si="0"/>
        <v>40</v>
      </c>
      <c r="B47" s="6">
        <v>1030623723</v>
      </c>
      <c r="C47" s="17" t="s">
        <v>2215</v>
      </c>
      <c r="D47" s="6" t="s">
        <v>325</v>
      </c>
      <c r="E47" s="6"/>
      <c r="F47" s="6">
        <v>3118427497</v>
      </c>
      <c r="G47" s="8" t="s">
        <v>1366</v>
      </c>
      <c r="H47" s="24" t="s">
        <v>2209</v>
      </c>
      <c r="I47" s="37" t="str">
        <f t="shared" si="1"/>
        <v>INSERT INTO `parqueadero`.`conductor` (`Oid`, `IdConductor`, `Nombre`, `Area`, `Piso`, `Celular`, `correo`, `Vinculacion`) VALUES ('40','1030623723','ANGELICA QUIÑONES CARRILLO','Dirección de Operaciones','','3118427497','angelica.quinones@habitatbogota.gov.co','CONTRATISTA');</v>
      </c>
    </row>
    <row r="48" spans="1:9" ht="14.4" x14ac:dyDescent="0.3">
      <c r="A48" s="16">
        <f t="shared" si="0"/>
        <v>41</v>
      </c>
      <c r="B48" s="6">
        <v>1015444843</v>
      </c>
      <c r="C48" s="17" t="s">
        <v>609</v>
      </c>
      <c r="D48" s="6" t="s">
        <v>587</v>
      </c>
      <c r="E48" s="6"/>
      <c r="F48" s="6">
        <v>3104810937</v>
      </c>
      <c r="G48" s="8" t="s">
        <v>611</v>
      </c>
      <c r="H48" s="24" t="s">
        <v>2209</v>
      </c>
      <c r="I48" s="37" t="str">
        <f t="shared" si="1"/>
        <v>INSERT INTO `parqueadero`.`conductor` (`Oid`, `IdConductor`, `Nombre`, `Area`, `Piso`, `Celular`, `correo`, `Vinculacion`) VALUES ('41','1015444843','ANGIE DANIELA TIRANO MARTINEZ','Dirección de Apoyo a la Contrucción','','3104810937','angie.tirano@habitatbogota.gov.co','CONTRATISTA');</v>
      </c>
    </row>
    <row r="49" spans="1:9" ht="14.4" x14ac:dyDescent="0.3">
      <c r="A49" s="16">
        <f t="shared" si="0"/>
        <v>42</v>
      </c>
      <c r="B49" s="6">
        <v>1024568532</v>
      </c>
      <c r="C49" s="17" t="s">
        <v>1341</v>
      </c>
      <c r="D49" s="6" t="s">
        <v>2109</v>
      </c>
      <c r="E49" s="6"/>
      <c r="F49" s="6">
        <v>3124438269</v>
      </c>
      <c r="G49" s="8" t="s">
        <v>1343</v>
      </c>
      <c r="H49" s="24" t="s">
        <v>2209</v>
      </c>
      <c r="I49" s="37" t="str">
        <f t="shared" si="1"/>
        <v>INSERT INTO `parqueadero`.`conductor` (`Oid`, `IdConductor`, `Nombre`, `Area`, `Piso`, `Celular`, `correo`, `Vinculacion`) VALUES ('42','1024568532','ANGIE DAYANNA GUILLEN AVILA','Dirección de Estructuracion de Proyectos','','3124438269','angie.guillen@habitatbogota.gov.co','CONTRATISTA');</v>
      </c>
    </row>
    <row r="50" spans="1:9" ht="14.4" x14ac:dyDescent="0.3">
      <c r="A50" s="16">
        <f t="shared" si="0"/>
        <v>43</v>
      </c>
      <c r="B50" s="13">
        <v>1070977964</v>
      </c>
      <c r="C50" s="24" t="s">
        <v>1867</v>
      </c>
      <c r="D50" s="6" t="s">
        <v>434</v>
      </c>
      <c r="E50" s="6" t="s">
        <v>2198</v>
      </c>
      <c r="F50" s="13">
        <v>3209654372</v>
      </c>
      <c r="G50" s="8" t="s">
        <v>1869</v>
      </c>
      <c r="H50" s="24" t="s">
        <v>2209</v>
      </c>
      <c r="I50" s="37" t="str">
        <f t="shared" si="1"/>
        <v>INSERT INTO `parqueadero`.`conductor` (`Oid`, `IdConductor`, `Nombre`, `Area`, `Piso`, `Celular`, `correo`, `Vinculacion`) VALUES ('43','1070977964','ANGIE TATIANA SUTA PARDO','Dirección Administrativa','Piso 12','3209654372','angie.suta@habitatbogota.gov.co','CONTRATISTA');</v>
      </c>
    </row>
    <row r="51" spans="1:9" ht="14.4" x14ac:dyDescent="0.3">
      <c r="A51" s="16">
        <f t="shared" si="0"/>
        <v>44</v>
      </c>
      <c r="B51" s="6">
        <v>1140847934</v>
      </c>
      <c r="C51" s="17" t="s">
        <v>2216</v>
      </c>
      <c r="D51" s="6" t="s">
        <v>1338</v>
      </c>
      <c r="E51" s="6"/>
      <c r="F51" s="6">
        <v>3002719624</v>
      </c>
      <c r="G51" s="8" t="s">
        <v>941</v>
      </c>
      <c r="H51" s="24" t="s">
        <v>2209</v>
      </c>
      <c r="I51" s="37" t="str">
        <f t="shared" si="1"/>
        <v>INSERT INTO `parqueadero`.`conductor` (`Oid`, `IdConductor`, `Nombre`, `Area`, `Piso`, `Celular`, `correo`, `Vinculacion`) VALUES ('44','1140847934','ANTONIO DAVID MARTINEZ VARGAS','Oficina de Participación y Relacionamiento con la Ciudadanía','','3002719624','antonio.martinez@habitatbogota.gov.co','CONTRATISTA');</v>
      </c>
    </row>
    <row r="52" spans="1:9" ht="14.4" x14ac:dyDescent="0.3">
      <c r="A52" s="16">
        <f t="shared" si="0"/>
        <v>45</v>
      </c>
      <c r="B52" s="6">
        <v>52086502</v>
      </c>
      <c r="C52" s="17" t="s">
        <v>1308</v>
      </c>
      <c r="D52" s="6" t="s">
        <v>2149</v>
      </c>
      <c r="E52" s="6"/>
      <c r="F52" s="6">
        <v>3006008179</v>
      </c>
      <c r="G52" s="8" t="s">
        <v>1310</v>
      </c>
      <c r="H52" s="24" t="s">
        <v>2209</v>
      </c>
      <c r="I52" s="37" t="str">
        <f t="shared" si="1"/>
        <v>INSERT INTO `parqueadero`.`conductor` (`Oid`, `IdConductor`, `Nombre`, `Area`, `Piso`, `Celular`, `correo`, `Vinculacion`) VALUES ('45','52086502','BELLANITH PAULINA VARGAS GARZON','Subsecretaría de Inspección Vigilancia y Control de Vivienda','','3006008179','bellanith.vargas@habitatbogota.gov.co','CONTRATISTA');</v>
      </c>
    </row>
    <row r="53" spans="1:9" ht="14.4" x14ac:dyDescent="0.3">
      <c r="A53" s="16">
        <f t="shared" si="0"/>
        <v>46</v>
      </c>
      <c r="B53" s="6">
        <v>1018482735</v>
      </c>
      <c r="C53" s="17" t="s">
        <v>1012</v>
      </c>
      <c r="D53" s="6" t="s">
        <v>2111</v>
      </c>
      <c r="E53" s="6"/>
      <c r="F53" s="6">
        <v>3125685518</v>
      </c>
      <c r="G53" s="8" t="s">
        <v>1014</v>
      </c>
      <c r="H53" s="24" t="s">
        <v>2209</v>
      </c>
      <c r="I53" s="37" t="str">
        <f t="shared" si="1"/>
        <v>INSERT INTO `parqueadero`.`conductor` (`Oid`, `IdConductor`, `Nombre`, `Area`, `Piso`, `Celular`, `correo`, `Vinculacion`) VALUES ('46','1018482735','BRAHAM STUART HERNANDEZ GONZALEZ','Subsecretaría de Intervenciones Integrales','','3125685518','bhernandezg3@gmail.com','CONTRATISTA');</v>
      </c>
    </row>
    <row r="54" spans="1:9" ht="14.4" x14ac:dyDescent="0.3">
      <c r="A54" s="16">
        <f t="shared" si="0"/>
        <v>47</v>
      </c>
      <c r="B54" s="6">
        <v>1012397431</v>
      </c>
      <c r="C54" s="17" t="s">
        <v>1271</v>
      </c>
      <c r="D54" s="6" t="s">
        <v>742</v>
      </c>
      <c r="E54" s="6"/>
      <c r="F54" s="6">
        <v>3024240848</v>
      </c>
      <c r="G54" s="8" t="s">
        <v>1268</v>
      </c>
      <c r="H54" s="24" t="s">
        <v>1280</v>
      </c>
      <c r="I54" s="37" t="str">
        <f t="shared" si="1"/>
        <v>INSERT INTO `parqueadero`.`conductor` (`Oid`, `IdConductor`, `Nombre`, `Area`, `Piso`, `Celular`, `correo`, `Vinculacion`) VALUES ('47','1012397431','BRANDON STEVEN PACHON','Gestión Documental','','3024240848','correspondenciasdht@habitatbogota.gov.co','EXTERNO');</v>
      </c>
    </row>
    <row r="55" spans="1:9" ht="14.4" x14ac:dyDescent="0.3">
      <c r="A55" s="16">
        <f t="shared" si="0"/>
        <v>48</v>
      </c>
      <c r="B55" s="6">
        <v>1233895766</v>
      </c>
      <c r="C55" s="17" t="s">
        <v>2217</v>
      </c>
      <c r="D55" s="6" t="s">
        <v>500</v>
      </c>
      <c r="E55" s="6"/>
      <c r="F55" s="6">
        <v>3013641971</v>
      </c>
      <c r="G55" s="8" t="s">
        <v>680</v>
      </c>
      <c r="H55" s="24" t="s">
        <v>2209</v>
      </c>
      <c r="I55" s="37" t="str">
        <f t="shared" si="1"/>
        <v>INSERT INTO `parqueadero`.`conductor` (`Oid`, `IdConductor`, `Nombre`, `Area`, `Piso`, `Celular`, `correo`, `Vinculacion`) VALUES ('48','1233895766','BRIAN FELIPE PINILLA GARZÓN','Dirección de Financiación de Vivienda','','3013641971','brian.pinilla@habitatbogota.gov.co','CONTRATISTA');</v>
      </c>
    </row>
    <row r="56" spans="1:9" ht="14.4" x14ac:dyDescent="0.3">
      <c r="A56" s="16">
        <f t="shared" si="0"/>
        <v>49</v>
      </c>
      <c r="B56" s="6">
        <v>80084377</v>
      </c>
      <c r="C56" s="17" t="s">
        <v>301</v>
      </c>
      <c r="D56" s="6" t="s">
        <v>201</v>
      </c>
      <c r="E56" s="6"/>
      <c r="F56" s="6">
        <v>3142180093</v>
      </c>
      <c r="G56" s="8" t="s">
        <v>303</v>
      </c>
      <c r="H56" s="24" t="s">
        <v>2209</v>
      </c>
      <c r="I56" s="37" t="str">
        <f t="shared" si="1"/>
        <v>INSERT INTO `parqueadero`.`conductor` (`Oid`, `IdConductor`, `Nombre`, `Area`, `Piso`, `Celular`, `correo`, `Vinculacion`) VALUES ('49','80084377','CAMILO AUGUSTO PARDO ROCHA','Dirección de Mejoramiento Habitacional','','3142180093','camilo.pardo@habitatbogota.gov.co','CONTRATISTA');</v>
      </c>
    </row>
    <row r="57" spans="1:9" ht="14.4" x14ac:dyDescent="0.3">
      <c r="A57" s="16">
        <f t="shared" si="0"/>
        <v>50</v>
      </c>
      <c r="B57" s="17">
        <v>1018466744</v>
      </c>
      <c r="C57" s="17" t="s">
        <v>1559</v>
      </c>
      <c r="D57" s="6" t="s">
        <v>1562</v>
      </c>
      <c r="E57" s="6" t="s">
        <v>2200</v>
      </c>
      <c r="F57" s="17">
        <v>3045210163</v>
      </c>
      <c r="G57" s="8" t="s">
        <v>1561</v>
      </c>
      <c r="H57" s="24" t="s">
        <v>2209</v>
      </c>
      <c r="I57" s="37" t="str">
        <f t="shared" si="1"/>
        <v>INSERT INTO `parqueadero`.`conductor` (`Oid`, `IdConductor`, `Nombre`, `Area`, `Piso`, `Celular`, `correo`, `Vinculacion`) VALUES ('50','1018466744','CAMILO IBARRA CUBILLOS','Dirección Financiera','Piso 11','3045210163','camilo.cubillos@habitatbogota.gov.co','CONTRATISTA');</v>
      </c>
    </row>
    <row r="58" spans="1:9" ht="14.4" x14ac:dyDescent="0.3">
      <c r="A58" s="16">
        <f t="shared" si="0"/>
        <v>51</v>
      </c>
      <c r="B58" s="6">
        <v>80135858</v>
      </c>
      <c r="C58" s="17" t="s">
        <v>1675</v>
      </c>
      <c r="D58" s="17" t="s">
        <v>299</v>
      </c>
      <c r="E58" s="17"/>
      <c r="F58" s="6">
        <v>3138863236</v>
      </c>
      <c r="G58" s="8" t="s">
        <v>1677</v>
      </c>
      <c r="H58" s="24" t="s">
        <v>2209</v>
      </c>
      <c r="I58" s="37" t="str">
        <f t="shared" si="1"/>
        <v>INSERT INTO `parqueadero`.`conductor` (`Oid`, `IdConductor`, `Nombre`, `Area`, `Piso`, `Celular`, `correo`, `Vinculacion`) VALUES ('51','80135858','CAMILO MORALES MOSQUERA','Despacho','','3138863236','camilo.morales@habitatbogota.gov.co','CONTRATISTA');</v>
      </c>
    </row>
    <row r="59" spans="1:9" ht="14.4" x14ac:dyDescent="0.3">
      <c r="A59" s="16">
        <f t="shared" si="0"/>
        <v>52</v>
      </c>
      <c r="B59" s="6">
        <v>79316881</v>
      </c>
      <c r="C59" s="17" t="s">
        <v>1685</v>
      </c>
      <c r="D59" s="6" t="s">
        <v>434</v>
      </c>
      <c r="E59" s="6" t="s">
        <v>2198</v>
      </c>
      <c r="F59" s="6">
        <v>3158688113</v>
      </c>
      <c r="G59" s="8" t="s">
        <v>1686</v>
      </c>
      <c r="H59" s="24" t="s">
        <v>2209</v>
      </c>
      <c r="I59" s="37" t="str">
        <f t="shared" si="1"/>
        <v>INSERT INTO `parqueadero`.`conductor` (`Oid`, `IdConductor`, `Nombre`, `Area`, `Piso`, `Celular`, `correo`, `Vinculacion`) VALUES ('52','79316881','CAMILO SARMIENTO GARZÓN','Dirección Administrativa','Piso 12','3158688113','camilo.sarmiento@habitatbogota.gov.co','CONTRATISTA');</v>
      </c>
    </row>
    <row r="60" spans="1:9" ht="14.4" x14ac:dyDescent="0.3">
      <c r="A60" s="16">
        <f t="shared" si="0"/>
        <v>53</v>
      </c>
      <c r="B60" s="6">
        <v>79383437</v>
      </c>
      <c r="C60" s="17" t="s">
        <v>335</v>
      </c>
      <c r="D60" s="6" t="s">
        <v>325</v>
      </c>
      <c r="E60" s="6"/>
      <c r="F60" s="6">
        <v>3156440350</v>
      </c>
      <c r="G60" s="8" t="s">
        <v>336</v>
      </c>
      <c r="H60" s="24" t="s">
        <v>119</v>
      </c>
      <c r="I60" s="37" t="str">
        <f t="shared" si="1"/>
        <v>INSERT INTO `parqueadero`.`conductor` (`Oid`, `IdConductor`, `Nombre`, `Area`, `Piso`, `Celular`, `correo`, `Vinculacion`) VALUES ('53','79383437','CAMILO TORRES','Dirección de Operaciones','','3156440350','camilo.torres@habitatbogota.gov.co','FUNCIONARIO');</v>
      </c>
    </row>
    <row r="61" spans="1:9" ht="14.4" x14ac:dyDescent="0.3">
      <c r="A61" s="16">
        <f t="shared" si="0"/>
        <v>54</v>
      </c>
      <c r="B61" s="17">
        <v>1051980148</v>
      </c>
      <c r="C61" s="17" t="s">
        <v>1941</v>
      </c>
      <c r="D61" s="6" t="s">
        <v>1229</v>
      </c>
      <c r="E61" s="6"/>
      <c r="F61" s="17">
        <v>3188362196</v>
      </c>
      <c r="G61" s="8" t="s">
        <v>1943</v>
      </c>
      <c r="H61" s="24" t="s">
        <v>2209</v>
      </c>
      <c r="I61" s="37" t="str">
        <f t="shared" si="1"/>
        <v>INSERT INTO `parqueadero`.`conductor` (`Oid`, `IdConductor`, `Nombre`, `Area`, `Piso`, `Celular`, `correo`, `Vinculacion`) VALUES ('54','1051980148','CARLOS ALBERTO HERRERA CELY','Dirección de Información de Políticas Públicas','','3188362196','carlos.herrera@habitatbogota.gov.co','CONTRATISTA');</v>
      </c>
    </row>
    <row r="62" spans="1:9" ht="14.4" x14ac:dyDescent="0.3">
      <c r="A62" s="16">
        <f t="shared" si="0"/>
        <v>55</v>
      </c>
      <c r="B62" s="6">
        <v>80154998</v>
      </c>
      <c r="C62" s="17" t="s">
        <v>698</v>
      </c>
      <c r="D62" s="6" t="s">
        <v>1006</v>
      </c>
      <c r="E62" s="6"/>
      <c r="F62" s="6">
        <v>3102136875</v>
      </c>
      <c r="G62" s="8" t="s">
        <v>700</v>
      </c>
      <c r="H62" s="24" t="s">
        <v>2209</v>
      </c>
      <c r="I62" s="37" t="str">
        <f t="shared" si="1"/>
        <v>INSERT INTO `parqueadero`.`conductor` (`Oid`, `IdConductor`, `Nombre`, `Area`, `Piso`, `Celular`, `correo`, `Vinculacion`) VALUES ('55','80154998','CARLOS ALBERTO ZULUAGA BARRERO','Subsecretaría Jurídica','','3102136875','carlos.zuluaga@habitatbogota.gov.co','CONTRATISTA');</v>
      </c>
    </row>
    <row r="63" spans="1:9" ht="14.4" x14ac:dyDescent="0.3">
      <c r="A63" s="16">
        <f t="shared" si="0"/>
        <v>56</v>
      </c>
      <c r="B63" s="6">
        <v>79920331</v>
      </c>
      <c r="C63" s="17" t="s">
        <v>1295</v>
      </c>
      <c r="D63" s="6" t="s">
        <v>2150</v>
      </c>
      <c r="E63" s="6"/>
      <c r="F63" s="6">
        <v>3134028913</v>
      </c>
      <c r="G63" s="8" t="s">
        <v>1297</v>
      </c>
      <c r="H63" s="24" t="s">
        <v>2209</v>
      </c>
      <c r="I63" s="37" t="str">
        <f t="shared" si="1"/>
        <v>INSERT INTO `parqueadero`.`conductor` (`Oid`, `IdConductor`, `Nombre`, `Area`, `Piso`, `Celular`, `correo`, `Vinculacion`) VALUES ('56','79920331','CARLOS ANDRES BENAVIDES REYES','Dirección de Prevención Arrendamiento y Control de Enajenación','','3134028913','carlos.benavidesr@habitatbogota.gov.co','CONTRATISTA');</v>
      </c>
    </row>
    <row r="64" spans="1:9" ht="14.4" x14ac:dyDescent="0.3">
      <c r="A64" s="16">
        <f t="shared" si="0"/>
        <v>57</v>
      </c>
      <c r="B64" s="6">
        <v>80129534</v>
      </c>
      <c r="C64" s="17" t="s">
        <v>2218</v>
      </c>
      <c r="D64" s="6" t="s">
        <v>500</v>
      </c>
      <c r="E64" s="6"/>
      <c r="F64" s="6">
        <v>3212687523</v>
      </c>
      <c r="G64" s="8" t="s">
        <v>914</v>
      </c>
      <c r="H64" s="24" t="s">
        <v>2209</v>
      </c>
      <c r="I64" s="37" t="str">
        <f t="shared" si="1"/>
        <v>INSERT INTO `parqueadero`.`conductor` (`Oid`, `IdConductor`, `Nombre`, `Area`, `Piso`, `Celular`, `correo`, `Vinculacion`) VALUES ('57','80129534','CARLOS ANDRÉS MÉNDEZ MOJICA','Dirección de Financiación de Vivienda','','3212687523','carlos.mendez@habitatbogota.gov.co','CONTRATISTA');</v>
      </c>
    </row>
    <row r="65" spans="1:9" ht="14.4" x14ac:dyDescent="0.3">
      <c r="A65" s="16">
        <f t="shared" si="0"/>
        <v>58</v>
      </c>
      <c r="B65" s="6">
        <v>9975124</v>
      </c>
      <c r="C65" s="17" t="s">
        <v>2219</v>
      </c>
      <c r="D65" s="6" t="s">
        <v>1353</v>
      </c>
      <c r="E65" s="6"/>
      <c r="F65" s="6">
        <v>3164571547</v>
      </c>
      <c r="G65" s="8" t="s">
        <v>174</v>
      </c>
      <c r="H65" s="24" t="s">
        <v>2209</v>
      </c>
      <c r="I65" s="37" t="str">
        <f t="shared" si="1"/>
        <v>INSERT INTO `parqueadero`.`conductor` (`Oid`, `IdConductor`, `Nombre`, `Area`, `Piso`, `Celular`, `correo`, `Vinculacion`) VALUES ('58','9975124','CARLOS ANDRÉS RIVERA TRIVIÑO','Oficina Asesora de Comunicaciones','','3164571547','carlos.riverat@habitatbogota.gov.co','CONTRATISTA');</v>
      </c>
    </row>
    <row r="66" spans="1:9" ht="14.4" x14ac:dyDescent="0.3">
      <c r="A66" s="16">
        <f t="shared" si="0"/>
        <v>59</v>
      </c>
      <c r="B66" s="6">
        <v>1026277669</v>
      </c>
      <c r="C66" s="17" t="s">
        <v>1723</v>
      </c>
      <c r="D66" s="17" t="s">
        <v>1667</v>
      </c>
      <c r="E66" s="17"/>
      <c r="F66" s="6">
        <v>3177773377</v>
      </c>
      <c r="G66" s="8" t="s">
        <v>1725</v>
      </c>
      <c r="H66" s="24" t="s">
        <v>2209</v>
      </c>
      <c r="I66" s="37" t="str">
        <f t="shared" si="1"/>
        <v>INSERT INTO `parqueadero`.`conductor` (`Oid`, `IdConductor`, `Nombre`, `Area`, `Piso`, `Celular`, `correo`, `Vinculacion`) VALUES ('59','1026277669','CARLOS ARTURO VILLALOBOS IZQUIERDO','Oficina de Tecnología y Transformación Digital','','3177773377','carlos.villalobos@habitatbogota.gov.co','CONTRATISTA');</v>
      </c>
    </row>
    <row r="67" spans="1:9" ht="14.4" x14ac:dyDescent="0.3">
      <c r="A67" s="16">
        <f t="shared" si="0"/>
        <v>60</v>
      </c>
      <c r="B67" s="6">
        <v>91238271</v>
      </c>
      <c r="C67" s="17" t="s">
        <v>414</v>
      </c>
      <c r="D67" s="17" t="s">
        <v>1667</v>
      </c>
      <c r="E67" s="17"/>
      <c r="F67" s="6">
        <v>3002000265</v>
      </c>
      <c r="G67" s="8" t="s">
        <v>416</v>
      </c>
      <c r="H67" s="24" t="s">
        <v>2209</v>
      </c>
      <c r="I67" s="37" t="str">
        <f t="shared" si="1"/>
        <v>INSERT INTO `parqueadero`.`conductor` (`Oid`, `IdConductor`, `Nombre`, `Area`, `Piso`, `Celular`, `correo`, `Vinculacion`) VALUES ('60','91238271','CARLOS AUGUSTO HERNANDEZ ZAMBRANO','Oficina de Tecnología y Transformación Digital','','3002000265','carlos.hernandezz@habitatbogota.gov.co','CONTRATISTA');</v>
      </c>
    </row>
    <row r="68" spans="1:9" ht="14.4" x14ac:dyDescent="0.3">
      <c r="A68" s="16">
        <f t="shared" si="0"/>
        <v>61</v>
      </c>
      <c r="B68" s="6">
        <v>79910378</v>
      </c>
      <c r="C68" s="17" t="s">
        <v>178</v>
      </c>
      <c r="D68" s="6" t="s">
        <v>1716</v>
      </c>
      <c r="E68" s="6"/>
      <c r="F68" s="6">
        <v>3016460457</v>
      </c>
      <c r="G68" s="8" t="s">
        <v>180</v>
      </c>
      <c r="H68" s="24" t="s">
        <v>2209</v>
      </c>
      <c r="I68" s="37" t="str">
        <f t="shared" si="1"/>
        <v>INSERT INTO `parqueadero`.`conductor` (`Oid`, `IdConductor`, `Nombre`, `Area`, `Piso`, `Celular`, `correo`, `Vinculacion`) VALUES ('61','79910378','CARLOS EDUARDO PINILLA HERNANDEZ','Subsecretaría Corporativa','','3016460457','carlos.pinilla@habitatbogota.gov.co','CONTRATISTA');</v>
      </c>
    </row>
    <row r="69" spans="1:9" ht="14.4" x14ac:dyDescent="0.3">
      <c r="A69" s="16">
        <f t="shared" si="0"/>
        <v>62</v>
      </c>
      <c r="B69" s="6">
        <v>7725270</v>
      </c>
      <c r="C69" s="17" t="s">
        <v>2024</v>
      </c>
      <c r="D69" s="6" t="s">
        <v>325</v>
      </c>
      <c r="E69" s="6"/>
      <c r="F69" s="6">
        <v>3168321067</v>
      </c>
      <c r="G69" s="8" t="s">
        <v>2025</v>
      </c>
      <c r="H69" s="24" t="s">
        <v>2209</v>
      </c>
      <c r="I69" s="37" t="str">
        <f t="shared" si="1"/>
        <v>INSERT INTO `parqueadero`.`conductor` (`Oid`, `IdConductor`, `Nombre`, `Area`, `Piso`, `Celular`, `correo`, `Vinculacion`) VALUES ('62','7725270','CARLOS ENRIQUE TAMAYO GÓMEZ','Dirección de Operaciones','','3168321067','carlos.tamayo@habitatbogota.gov.co','CONTRATISTA');</v>
      </c>
    </row>
    <row r="70" spans="1:9" ht="14.4" x14ac:dyDescent="0.3">
      <c r="A70" s="16">
        <f t="shared" si="0"/>
        <v>63</v>
      </c>
      <c r="B70" s="6">
        <v>1010196659</v>
      </c>
      <c r="C70" s="17" t="s">
        <v>2220</v>
      </c>
      <c r="D70" s="6" t="s">
        <v>500</v>
      </c>
      <c r="E70" s="6"/>
      <c r="F70" s="6">
        <v>3213057575</v>
      </c>
      <c r="G70" s="8" t="s">
        <v>866</v>
      </c>
      <c r="H70" s="24" t="s">
        <v>2209</v>
      </c>
      <c r="I70" s="37" t="str">
        <f t="shared" si="1"/>
        <v>INSERT INTO `parqueadero`.`conductor` (`Oid`, `IdConductor`, `Nombre`, `Area`, `Piso`, `Celular`, `correo`, `Vinculacion`) VALUES ('63','1010196659','CARLOS FABIÁN HAMON ALARCÓN','Dirección de Financiación de Vivienda','','3213057575','carlos.hamon@habitatbogota.goc.co','CONTRATISTA');</v>
      </c>
    </row>
    <row r="71" spans="1:9" ht="14.4" x14ac:dyDescent="0.3">
      <c r="A71" s="16">
        <f t="shared" si="0"/>
        <v>64</v>
      </c>
      <c r="B71" s="6">
        <v>1019005047</v>
      </c>
      <c r="C71" s="17" t="s">
        <v>1022</v>
      </c>
      <c r="D71" s="6" t="s">
        <v>325</v>
      </c>
      <c r="E71" s="6"/>
      <c r="F71" s="6">
        <v>3183890213</v>
      </c>
      <c r="G71" s="8" t="s">
        <v>1024</v>
      </c>
      <c r="H71" s="24" t="s">
        <v>2209</v>
      </c>
      <c r="I71" s="37" t="str">
        <f t="shared" si="1"/>
        <v>INSERT INTO `parqueadero`.`conductor` (`Oid`, `IdConductor`, `Nombre`, `Area`, `Piso`, `Celular`, `correo`, `Vinculacion`) VALUES ('64','1019005047','CARLOS FELIPE GARCÍA GIL','Dirección de Operaciones','','3183890213','carlos.garciag@habitatbogota.gov.co','CONTRATISTA');</v>
      </c>
    </row>
    <row r="72" spans="1:9" ht="14.4" x14ac:dyDescent="0.3">
      <c r="A72" s="16">
        <f t="shared" ref="A72:A135" si="2">ROW()-7</f>
        <v>65</v>
      </c>
      <c r="B72" s="6">
        <v>79553690</v>
      </c>
      <c r="C72" s="17" t="s">
        <v>1665</v>
      </c>
      <c r="D72" s="17" t="s">
        <v>1667</v>
      </c>
      <c r="E72" s="17"/>
      <c r="F72" s="6">
        <v>3164725782</v>
      </c>
      <c r="G72" s="8" t="s">
        <v>1666</v>
      </c>
      <c r="H72" s="24" t="s">
        <v>119</v>
      </c>
      <c r="I72" s="37" t="str">
        <f t="shared" ref="I72:I135" si="3">CONCATENATE("INSERT INTO `parqueadero`.`conductor` (`",$A$7,"`, `",$B$7,"`, `",$C$7,"`, `",$D$7,"`, `",$E$7,"`, `",$F$7,"`, `",$G$7,"`, `",$H$7,"`) VALUES ('",A72,"','",B72,"','",C72,"','",D72,"','",E72,"','",F72,"','",G72,"','",H72,"');" )</f>
        <v>INSERT INTO `parqueadero`.`conductor` (`Oid`, `IdConductor`, `Nombre`, `Area`, `Piso`, `Celular`, `correo`, `Vinculacion`) VALUES ('65','79553690','CARLOS GABRIEL GUTIERREZ PACHECO','Oficina de Tecnología y Transformación Digital','','3164725782','carlos.gutierrezp@habitatbogota.gov.co','FUNCIONARIO');</v>
      </c>
    </row>
    <row r="73" spans="1:9" ht="14.4" x14ac:dyDescent="0.3">
      <c r="A73" s="16">
        <f t="shared" si="2"/>
        <v>66</v>
      </c>
      <c r="B73" s="6">
        <v>79802867</v>
      </c>
      <c r="C73" s="17" t="s">
        <v>982</v>
      </c>
      <c r="D73" s="6" t="s">
        <v>285</v>
      </c>
      <c r="E73" s="6"/>
      <c r="F73" s="6">
        <v>3102412963</v>
      </c>
      <c r="G73" s="8" t="s">
        <v>983</v>
      </c>
      <c r="H73" s="24" t="s">
        <v>119</v>
      </c>
      <c r="I73" s="37" t="str">
        <f t="shared" si="3"/>
        <v>INSERT INTO `parqueadero`.`conductor` (`Oid`, `IdConductor`, `Nombre`, `Area`, `Piso`, `Celular`, `correo`, `Vinculacion`) VALUES ('66','79802867','CARLOS JAVIER CASTILLO ROMERO','Oficina Asesora de Planeación','','3102412963','carlos.castillo@habitatbogota.gov.co','FUNCIONARIO');</v>
      </c>
    </row>
    <row r="74" spans="1:9" ht="14.4" x14ac:dyDescent="0.3">
      <c r="A74" s="16">
        <f t="shared" si="2"/>
        <v>67</v>
      </c>
      <c r="B74" s="6">
        <v>1000180027</v>
      </c>
      <c r="C74" s="17" t="s">
        <v>1285</v>
      </c>
      <c r="D74" s="6" t="s">
        <v>742</v>
      </c>
      <c r="E74" s="6"/>
      <c r="F74" s="6">
        <v>3118228379</v>
      </c>
      <c r="G74" s="8" t="s">
        <v>1268</v>
      </c>
      <c r="H74" s="24" t="s">
        <v>1280</v>
      </c>
      <c r="I74" s="37" t="str">
        <f t="shared" si="3"/>
        <v>INSERT INTO `parqueadero`.`conductor` (`Oid`, `IdConductor`, `Nombre`, `Area`, `Piso`, `Celular`, `correo`, `Vinculacion`) VALUES ('67','1000180027','CARLOS MATEO CHAVES LASSO','Gestión Documental','','3118228379','correspondenciasdht@habitatbogota.gov.co','EXTERNO');</v>
      </c>
    </row>
    <row r="75" spans="1:9" ht="14.4" x14ac:dyDescent="0.3">
      <c r="A75" s="16">
        <f t="shared" si="2"/>
        <v>68</v>
      </c>
      <c r="B75" s="17">
        <v>74370778</v>
      </c>
      <c r="C75" s="17" t="s">
        <v>1207</v>
      </c>
      <c r="D75" s="6" t="s">
        <v>2150</v>
      </c>
      <c r="E75" s="6"/>
      <c r="F75" s="17">
        <v>3208290927</v>
      </c>
      <c r="G75" s="8" t="s">
        <v>1209</v>
      </c>
      <c r="H75" s="24" t="s">
        <v>2209</v>
      </c>
      <c r="I75" s="37" t="str">
        <f t="shared" si="3"/>
        <v>INSERT INTO `parqueadero`.`conductor` (`Oid`, `IdConductor`, `Nombre`, `Area`, `Piso`, `Celular`, `correo`, `Vinculacion`) VALUES ('68','74370778','CARLOS NICOLAS BRIJALD MICHAELS','Dirección de Prevención Arrendamiento y Control de Enajenación','','3208290927','carlos.brijaldo@habitatbogota.gov.co','CONTRATISTA');</v>
      </c>
    </row>
    <row r="76" spans="1:9" ht="14.4" x14ac:dyDescent="0.3">
      <c r="A76" s="16">
        <f t="shared" si="2"/>
        <v>69</v>
      </c>
      <c r="B76" s="6">
        <v>52517697</v>
      </c>
      <c r="C76" s="17" t="s">
        <v>273</v>
      </c>
      <c r="D76" s="6" t="s">
        <v>2150</v>
      </c>
      <c r="E76" s="6"/>
      <c r="F76" s="6">
        <v>3104971210</v>
      </c>
      <c r="G76" s="8" t="s">
        <v>275</v>
      </c>
      <c r="H76" s="24" t="s">
        <v>2209</v>
      </c>
      <c r="I76" s="37" t="str">
        <f t="shared" si="3"/>
        <v>INSERT INTO `parqueadero`.`conductor` (`Oid`, `IdConductor`, `Nombre`, `Area`, `Piso`, `Celular`, `correo`, `Vinculacion`) VALUES ('69','52517697','CARMEN ELENA CASTAÑEDA RINCÓN','Dirección de Prevención Arrendamiento y Control de Enajenación','','3104971210','carmen.castaneda@habitatbogota.gov.co','CONTRATISTA');</v>
      </c>
    </row>
    <row r="77" spans="1:9" ht="14.4" x14ac:dyDescent="0.3">
      <c r="A77" s="16">
        <f t="shared" si="2"/>
        <v>70</v>
      </c>
      <c r="B77" s="17">
        <v>52494966</v>
      </c>
      <c r="C77" s="17" t="s">
        <v>2221</v>
      </c>
      <c r="D77" s="6" t="s">
        <v>270</v>
      </c>
      <c r="E77" s="6"/>
      <c r="F77" s="17">
        <v>3132523070</v>
      </c>
      <c r="G77" s="8" t="s">
        <v>804</v>
      </c>
      <c r="H77" s="24" t="s">
        <v>2209</v>
      </c>
      <c r="I77" s="37" t="str">
        <f t="shared" si="3"/>
        <v>INSERT INTO `parqueadero`.`conductor` (`Oid`, `IdConductor`, `Nombre`, `Area`, `Piso`, `Celular`, `correo`, `Vinculacion`) VALUES ('70','52494966','CAROL ANDREA GARCÍA GARZÓN','Dirección de Investigaciones y Control de Vivienda','','3132523070','carol.garcia@habitatbogota.gov.co','CONTRATISTA');</v>
      </c>
    </row>
    <row r="78" spans="1:9" ht="14.4" x14ac:dyDescent="0.3">
      <c r="A78" s="16">
        <f t="shared" si="2"/>
        <v>71</v>
      </c>
      <c r="B78" s="6">
        <v>52265674</v>
      </c>
      <c r="C78" s="17" t="s">
        <v>1250</v>
      </c>
      <c r="D78" s="17" t="s">
        <v>299</v>
      </c>
      <c r="E78" s="17"/>
      <c r="F78" s="6">
        <v>3168291168</v>
      </c>
      <c r="G78" s="8" t="s">
        <v>1251</v>
      </c>
      <c r="H78" s="24" t="s">
        <v>119</v>
      </c>
      <c r="I78" s="37" t="str">
        <f t="shared" si="3"/>
        <v>INSERT INTO `parqueadero`.`conductor` (`Oid`, `IdConductor`, `Nombre`, `Area`, `Piso`, `Celular`, `correo`, `Vinculacion`) VALUES ('71','52265674','CAROLINA CASTAÑEDA DE AVILA','Despacho','','3168291168','carolina.castaneda@habitatbogota.gov.co','FUNCIONARIO');</v>
      </c>
    </row>
    <row r="79" spans="1:9" ht="14.4" x14ac:dyDescent="0.3">
      <c r="A79" s="16">
        <f t="shared" si="2"/>
        <v>72</v>
      </c>
      <c r="B79" s="6">
        <v>52355600</v>
      </c>
      <c r="C79" s="17" t="s">
        <v>488</v>
      </c>
      <c r="D79" s="6" t="s">
        <v>500</v>
      </c>
      <c r="E79" s="6"/>
      <c r="F79" s="6">
        <v>3143575405</v>
      </c>
      <c r="G79" s="8" t="s">
        <v>490</v>
      </c>
      <c r="H79" s="24" t="s">
        <v>2209</v>
      </c>
      <c r="I79" s="37" t="str">
        <f t="shared" si="3"/>
        <v>INSERT INTO `parqueadero`.`conductor` (`Oid`, `IdConductor`, `Nombre`, `Area`, `Piso`, `Celular`, `correo`, `Vinculacion`) VALUES ('72','52355600','CAROLINA FERNÁNDEZ BORDA','Dirección de Financiación de Vivienda','','3143575405','carolina.fernandez@habitatbogota.gov.co','CONTRATISTA');</v>
      </c>
    </row>
    <row r="80" spans="1:9" ht="14.4" x14ac:dyDescent="0.3">
      <c r="A80" s="16">
        <f t="shared" si="2"/>
        <v>73</v>
      </c>
      <c r="B80" s="17">
        <v>52831248</v>
      </c>
      <c r="C80" s="17" t="s">
        <v>317</v>
      </c>
      <c r="D80" s="17" t="s">
        <v>1041</v>
      </c>
      <c r="E80" s="17"/>
      <c r="F80" s="17">
        <v>3044142502</v>
      </c>
      <c r="G80" s="8" t="s">
        <v>319</v>
      </c>
      <c r="H80" s="24" t="s">
        <v>2209</v>
      </c>
      <c r="I80" s="37" t="str">
        <f t="shared" si="3"/>
        <v>INSERT INTO `parqueadero`.`conductor` (`Oid`, `IdConductor`, `Nombre`, `Area`, `Piso`, `Celular`, `correo`, `Vinculacion`) VALUES ('73','52831248','CATHERIN ANDREA ALVAREZ HERNANDEZ','Dirección de Hábitat y Entorno','','3044142502','catherin.alvarez@habitatbogota.gov.co','CONTRATISTA');</v>
      </c>
    </row>
    <row r="81" spans="1:9" ht="14.4" x14ac:dyDescent="0.3">
      <c r="A81" s="16">
        <f t="shared" si="2"/>
        <v>74</v>
      </c>
      <c r="B81" s="6">
        <v>79979024</v>
      </c>
      <c r="C81" s="17" t="s">
        <v>2028</v>
      </c>
      <c r="D81" s="6" t="s">
        <v>742</v>
      </c>
      <c r="E81" s="6"/>
      <c r="F81" s="6">
        <v>3133627940</v>
      </c>
      <c r="G81" s="8" t="s">
        <v>1268</v>
      </c>
      <c r="H81" s="24" t="s">
        <v>1280</v>
      </c>
      <c r="I81" s="37" t="str">
        <f t="shared" si="3"/>
        <v>INSERT INTO `parqueadero`.`conductor` (`Oid`, `IdConductor`, `Nombre`, `Area`, `Piso`, `Celular`, `correo`, `Vinculacion`) VALUES ('74','79979024','CESAR AUGUSTO CASTEBLANCO PEÑA','Gestión Documental','','3133627940','correspondenciasdht@habitatbogota.gov.co','EXTERNO');</v>
      </c>
    </row>
    <row r="82" spans="1:9" ht="14.4" x14ac:dyDescent="0.3">
      <c r="A82" s="16">
        <f t="shared" si="2"/>
        <v>75</v>
      </c>
      <c r="B82" s="6">
        <v>80543468</v>
      </c>
      <c r="C82" s="17" t="s">
        <v>760</v>
      </c>
      <c r="D82" s="6" t="s">
        <v>2110</v>
      </c>
      <c r="E82" s="6"/>
      <c r="F82" s="6">
        <v>3108847606</v>
      </c>
      <c r="G82" s="8" t="s">
        <v>762</v>
      </c>
      <c r="H82" s="24" t="s">
        <v>2209</v>
      </c>
      <c r="I82" s="37" t="str">
        <f t="shared" si="3"/>
        <v>INSERT INTO `parqueadero`.`conductor` (`Oid`, `IdConductor`, `Nombre`, `Area`, `Piso`, `Celular`, `correo`, `Vinculacion`) VALUES ('75','80543468','CESAR AUGUSTO POVEDA HERNANDEZ','Subsecretaría de Vivienda','','3108847606','pove79@hotmail.com','CONTRATISTA');</v>
      </c>
    </row>
    <row r="83" spans="1:9" ht="14.4" x14ac:dyDescent="0.3">
      <c r="A83" s="16">
        <f t="shared" si="2"/>
        <v>76</v>
      </c>
      <c r="B83" s="6">
        <v>79620120</v>
      </c>
      <c r="C83" s="17" t="s">
        <v>463</v>
      </c>
      <c r="D83" s="6" t="s">
        <v>2110</v>
      </c>
      <c r="E83" s="6"/>
      <c r="F83" s="6">
        <v>3153572466</v>
      </c>
      <c r="G83" s="8" t="s">
        <v>465</v>
      </c>
      <c r="H83" s="24" t="s">
        <v>2209</v>
      </c>
      <c r="I83" s="37" t="str">
        <f t="shared" si="3"/>
        <v>INSERT INTO `parqueadero`.`conductor` (`Oid`, `IdConductor`, `Nombre`, `Area`, `Piso`, `Celular`, `correo`, `Vinculacion`) VALUES ('76','79620120','CÉSAR ENRIQUE GONZÁLEZ ARDILA','Subsecretaría de Vivienda','','3153572466','cesar.gonzalez@habitatbogota.gov.co','CONTRATISTA');</v>
      </c>
    </row>
    <row r="84" spans="1:9" ht="14.4" x14ac:dyDescent="0.3">
      <c r="A84" s="16">
        <f t="shared" si="2"/>
        <v>77</v>
      </c>
      <c r="B84" s="17">
        <v>85203798</v>
      </c>
      <c r="C84" s="17" t="s">
        <v>2222</v>
      </c>
      <c r="D84" s="6" t="s">
        <v>2149</v>
      </c>
      <c r="E84" s="6"/>
      <c r="F84" s="17">
        <v>3102141909</v>
      </c>
      <c r="G84" s="8" t="s">
        <v>581</v>
      </c>
      <c r="H84" s="24" t="s">
        <v>2209</v>
      </c>
      <c r="I84" s="37" t="str">
        <f t="shared" si="3"/>
        <v>INSERT INTO `parqueadero`.`conductor` (`Oid`, `IdConductor`, `Nombre`, `Area`, `Piso`, `Celular`, `correo`, `Vinculacion`) VALUES ('77','85203798','CESAR MIGUEL CASERES DIAZ','Subsecretaría de Inspección Vigilancia y Control de Vivienda','','3102141909','césar.caseres@habitatbogota.gov.co','CONTRATISTA');</v>
      </c>
    </row>
    <row r="85" spans="1:9" ht="14.4" x14ac:dyDescent="0.3">
      <c r="A85" s="16">
        <f t="shared" si="2"/>
        <v>78</v>
      </c>
      <c r="B85" s="6">
        <v>79331288</v>
      </c>
      <c r="C85" s="17" t="s">
        <v>1217</v>
      </c>
      <c r="D85" s="6" t="s">
        <v>201</v>
      </c>
      <c r="E85" s="6"/>
      <c r="F85" s="6">
        <v>3006097970</v>
      </c>
      <c r="G85" s="8" t="s">
        <v>1219</v>
      </c>
      <c r="H85" s="24" t="s">
        <v>2209</v>
      </c>
      <c r="I85" s="37" t="str">
        <f t="shared" si="3"/>
        <v>INSERT INTO `parqueadero`.`conductor` (`Oid`, `IdConductor`, `Nombre`, `Area`, `Piso`, `Celular`, `correo`, `Vinculacion`) VALUES ('78','79331288','CHARLES ALFONSO LOPEZ CASTRO','Dirección de Mejoramiento Habitacional','','3006097970','charles.lopez@habitatbogota.gov.co','CONTRATISTA');</v>
      </c>
    </row>
    <row r="86" spans="1:9" ht="14.4" x14ac:dyDescent="0.3">
      <c r="A86" s="16">
        <f t="shared" si="2"/>
        <v>79</v>
      </c>
      <c r="B86" s="17">
        <v>1033757530</v>
      </c>
      <c r="C86" s="17" t="s">
        <v>2101</v>
      </c>
      <c r="D86" s="6" t="s">
        <v>434</v>
      </c>
      <c r="E86" s="6" t="s">
        <v>2198</v>
      </c>
      <c r="F86" s="17">
        <v>3154532732</v>
      </c>
      <c r="G86" s="8" t="s">
        <v>31</v>
      </c>
      <c r="H86" s="24" t="s">
        <v>2209</v>
      </c>
      <c r="I86" s="37" t="str">
        <f t="shared" si="3"/>
        <v>INSERT INTO `parqueadero`.`conductor` (`Oid`, `IdConductor`, `Nombre`, `Area`, `Piso`, `Celular`, `correo`, `Vinculacion`) VALUES ('79','1033757530','CHRISTIAN ALEJANDRO TORRES PATIÑO','Dirección Administrativa','Piso 12','3154532732','ctorresalejandro@gmail.com','CONTRATISTA');</v>
      </c>
    </row>
    <row r="87" spans="1:9" ht="14.4" x14ac:dyDescent="0.3">
      <c r="A87" s="16">
        <f t="shared" si="2"/>
        <v>80</v>
      </c>
      <c r="B87" s="24">
        <v>1019038226</v>
      </c>
      <c r="C87" s="24" t="s">
        <v>1857</v>
      </c>
      <c r="D87" s="6" t="s">
        <v>2150</v>
      </c>
      <c r="E87" s="6"/>
      <c r="F87" s="24">
        <v>3165353449</v>
      </c>
      <c r="G87" s="8" t="s">
        <v>1859</v>
      </c>
      <c r="H87" s="24" t="s">
        <v>2209</v>
      </c>
      <c r="I87" s="37" t="str">
        <f t="shared" si="3"/>
        <v>INSERT INTO `parqueadero`.`conductor` (`Oid`, `IdConductor`, `Nombre`, `Area`, `Piso`, `Celular`, `correo`, `Vinculacion`) VALUES ('80','1019038226','CINDY JOHANA VALDERRAMA AMÉZQUITA','Dirección de Prevención Arrendamiento y Control de Enajenación','','3165353449','cindy.valderrama@habitatbogota.gov.co','CONTRATISTA');</v>
      </c>
    </row>
    <row r="88" spans="1:9" ht="14.4" x14ac:dyDescent="0.3">
      <c r="A88" s="16">
        <f t="shared" si="2"/>
        <v>81</v>
      </c>
      <c r="B88" s="6">
        <v>79844430</v>
      </c>
      <c r="C88" s="17" t="s">
        <v>531</v>
      </c>
      <c r="D88" s="6" t="s">
        <v>2110</v>
      </c>
      <c r="E88" s="6"/>
      <c r="F88" s="6">
        <v>3176481417</v>
      </c>
      <c r="G88" s="8" t="s">
        <v>533</v>
      </c>
      <c r="H88" s="24" t="s">
        <v>2209</v>
      </c>
      <c r="I88" s="37" t="str">
        <f t="shared" si="3"/>
        <v>INSERT INTO `parqueadero`.`conductor` (`Oid`, `IdConductor`, `Nombre`, `Area`, `Piso`, `Celular`, `correo`, `Vinculacion`) VALUES ('81','79844430','CIRO LEONARDO MARTINEZ SANCHEZ','Subsecretaría de Vivienda','','3176481417','ciro.martinez@habitatbogota.gov.co','CONTRATISTA');</v>
      </c>
    </row>
    <row r="89" spans="1:9" ht="14.4" x14ac:dyDescent="0.3">
      <c r="A89" s="16">
        <f t="shared" si="2"/>
        <v>82</v>
      </c>
      <c r="B89" s="6">
        <v>52712916</v>
      </c>
      <c r="C89" s="17" t="s">
        <v>1288</v>
      </c>
      <c r="D89" s="6" t="s">
        <v>201</v>
      </c>
      <c r="E89" s="6"/>
      <c r="F89" s="6">
        <v>3214379017</v>
      </c>
      <c r="G89" s="8" t="s">
        <v>1289</v>
      </c>
      <c r="H89" s="24" t="s">
        <v>2209</v>
      </c>
      <c r="I89" s="37" t="str">
        <f t="shared" si="3"/>
        <v>INSERT INTO `parqueadero`.`conductor` (`Oid`, `IdConductor`, `Nombre`, `Area`, `Piso`, `Celular`, `correo`, `Vinculacion`) VALUES ('82','52712916','CLARA ISABEL ESPINOSA GONZALEZ','Dirección de Mejoramiento Habitacional','','3214379017','clara.espinosa@habitatbogota.gov.co','CONTRATISTA');</v>
      </c>
    </row>
    <row r="90" spans="1:9" ht="14.4" x14ac:dyDescent="0.3">
      <c r="A90" s="16">
        <f t="shared" si="2"/>
        <v>83</v>
      </c>
      <c r="B90" s="6">
        <v>1030589207</v>
      </c>
      <c r="C90" s="17" t="s">
        <v>565</v>
      </c>
      <c r="D90" s="6" t="s">
        <v>434</v>
      </c>
      <c r="E90" s="6" t="s">
        <v>2198</v>
      </c>
      <c r="F90" s="6">
        <v>3232341517</v>
      </c>
      <c r="G90" s="8" t="s">
        <v>567</v>
      </c>
      <c r="H90" s="24" t="s">
        <v>2209</v>
      </c>
      <c r="I90" s="37" t="str">
        <f t="shared" si="3"/>
        <v>INSERT INTO `parqueadero`.`conductor` (`Oid`, `IdConductor`, `Nombre`, `Area`, `Piso`, `Celular`, `correo`, `Vinculacion`) VALUES ('83','1030589207','CLARA LOREN ACUÑA SANCHEZ','Dirección Administrativa','Piso 12','3232341517','clara.acuna@habitatbogota.gov.co','CONTRATISTA');</v>
      </c>
    </row>
    <row r="91" spans="1:9" ht="14.4" x14ac:dyDescent="0.3">
      <c r="A91" s="16">
        <f t="shared" si="2"/>
        <v>84</v>
      </c>
      <c r="B91" s="6">
        <v>52715205</v>
      </c>
      <c r="C91" s="17" t="s">
        <v>2223</v>
      </c>
      <c r="D91" s="6" t="s">
        <v>1338</v>
      </c>
      <c r="E91" s="6"/>
      <c r="F91" s="6">
        <v>3103268056</v>
      </c>
      <c r="G91" s="8" t="s">
        <v>554</v>
      </c>
      <c r="H91" s="24" t="s">
        <v>2209</v>
      </c>
      <c r="I91" s="37" t="str">
        <f t="shared" si="3"/>
        <v>INSERT INTO `parqueadero`.`conductor` (`Oid`, `IdConductor`, `Nombre`, `Area`, `Piso`, `Celular`, `correo`, `Vinculacion`) VALUES ('84','52715205','CLAUDIA ALEJANDRA REYES GARCÍA','Oficina de Participación y Relacionamiento con la Ciudadanía','','3103268056','claudia.reyes@habitatbogota.gov.co','CONTRATISTA');</v>
      </c>
    </row>
    <row r="92" spans="1:9" ht="14.4" x14ac:dyDescent="0.3">
      <c r="A92" s="16">
        <f t="shared" si="2"/>
        <v>85</v>
      </c>
      <c r="B92" s="6">
        <v>51975445</v>
      </c>
      <c r="C92" s="17" t="s">
        <v>1593</v>
      </c>
      <c r="D92" s="6" t="s">
        <v>270</v>
      </c>
      <c r="E92" s="6"/>
      <c r="F92" s="6">
        <v>3144114734</v>
      </c>
      <c r="G92" s="8" t="s">
        <v>1594</v>
      </c>
      <c r="H92" s="24" t="s">
        <v>119</v>
      </c>
      <c r="I92" s="37" t="str">
        <f t="shared" si="3"/>
        <v>INSERT INTO `parqueadero`.`conductor` (`Oid`, `IdConductor`, `Nombre`, `Area`, `Piso`, `Celular`, `correo`, `Vinculacion`) VALUES ('85','51975445','CLAUDIA ELIZABETH BOHORQUEZ HERNANDEZ','Dirección de Investigaciones y Control de Vivienda','','3144114734','claudia.bohorquez@habitatbogota.gov.co','FUNCIONARIO');</v>
      </c>
    </row>
    <row r="93" spans="1:9" ht="14.4" x14ac:dyDescent="0.3">
      <c r="A93" s="16">
        <f t="shared" si="2"/>
        <v>86</v>
      </c>
      <c r="B93" s="6">
        <v>52084821</v>
      </c>
      <c r="C93" s="17" t="s">
        <v>1168</v>
      </c>
      <c r="D93" s="6" t="s">
        <v>434</v>
      </c>
      <c r="E93" s="6" t="s">
        <v>2198</v>
      </c>
      <c r="F93" s="6">
        <v>3108023562</v>
      </c>
      <c r="G93" s="8" t="s">
        <v>1169</v>
      </c>
      <c r="H93" s="24" t="s">
        <v>119</v>
      </c>
      <c r="I93" s="37" t="str">
        <f t="shared" si="3"/>
        <v>INSERT INTO `parqueadero`.`conductor` (`Oid`, `IdConductor`, `Nombre`, `Area`, `Piso`, `Celular`, `correo`, `Vinculacion`) VALUES ('86','52084821','CLAUDIA GÓMEZ MORALES','Dirección Administrativa','Piso 12','3108023562','claudia.gomez@habitatbogota.gov.co','FUNCIONARIO');</v>
      </c>
    </row>
    <row r="94" spans="1:9" ht="14.4" x14ac:dyDescent="0.3">
      <c r="A94" s="16">
        <f t="shared" si="2"/>
        <v>87</v>
      </c>
      <c r="B94" s="17">
        <v>31422496</v>
      </c>
      <c r="C94" s="17" t="s">
        <v>969</v>
      </c>
      <c r="D94" s="6" t="s">
        <v>285</v>
      </c>
      <c r="E94" s="6"/>
      <c r="F94" s="17">
        <v>3166231174</v>
      </c>
      <c r="G94" s="8" t="s">
        <v>971</v>
      </c>
      <c r="H94" s="24" t="s">
        <v>2209</v>
      </c>
      <c r="I94" s="37" t="str">
        <f t="shared" si="3"/>
        <v>INSERT INTO `parqueadero`.`conductor` (`Oid`, `IdConductor`, `Nombre`, `Area`, `Piso`, `Celular`, `correo`, `Vinculacion`) VALUES ('87','31422496','CLAUDIA MARCELA GARCÍA','Oficina Asesora de Planeación','','3166231174','claudia.garcia@habitatbogota.gov.co','CONTRATISTA');</v>
      </c>
    </row>
    <row r="95" spans="1:9" ht="14.4" x14ac:dyDescent="0.3">
      <c r="A95" s="16">
        <f t="shared" si="2"/>
        <v>88</v>
      </c>
      <c r="B95" s="6">
        <v>52096386</v>
      </c>
      <c r="C95" s="17" t="s">
        <v>2224</v>
      </c>
      <c r="D95" s="6" t="s">
        <v>1562</v>
      </c>
      <c r="E95" s="6" t="s">
        <v>2200</v>
      </c>
      <c r="F95" s="6">
        <v>3104717361</v>
      </c>
      <c r="G95" s="8" t="s">
        <v>520</v>
      </c>
      <c r="H95" s="24" t="s">
        <v>2209</v>
      </c>
      <c r="I95" s="37" t="str">
        <f t="shared" si="3"/>
        <v>INSERT INTO `parqueadero`.`conductor` (`Oid`, `IdConductor`, `Nombre`, `Area`, `Piso`, `Celular`, `correo`, `Vinculacion`) VALUES ('88','52096386','CLAUDIA MARCELA LONDOÑO LOPEZ','Dirección Financiera','Piso 11','3104717361','claudia.londono@habitatbogota.gov.co','CONTRATISTA');</v>
      </c>
    </row>
    <row r="96" spans="1:9" ht="14.4" x14ac:dyDescent="0.3">
      <c r="A96" s="16">
        <f t="shared" si="2"/>
        <v>89</v>
      </c>
      <c r="B96" s="6">
        <v>28483877</v>
      </c>
      <c r="C96" s="17" t="s">
        <v>2225</v>
      </c>
      <c r="D96" s="6" t="s">
        <v>270</v>
      </c>
      <c r="E96" s="6"/>
      <c r="F96" s="6">
        <v>3206522181</v>
      </c>
      <c r="G96" s="8" t="s">
        <v>809</v>
      </c>
      <c r="H96" s="24" t="s">
        <v>2209</v>
      </c>
      <c r="I96" s="37" t="str">
        <f t="shared" si="3"/>
        <v>INSERT INTO `parqueadero`.`conductor` (`Oid`, `IdConductor`, `Nombre`, `Area`, `Piso`, `Celular`, `correo`, `Vinculacion`) VALUES ('89','28483877','CLAUDIA PATRICIA RUEDA PLATA','Dirección de Investigaciones y Control de Vivienda','','3206522181','claudia.rueda@habitatbogota.gov.co','CONTRATISTA');</v>
      </c>
    </row>
    <row r="97" spans="1:9" ht="14.4" x14ac:dyDescent="0.3">
      <c r="A97" s="16">
        <f t="shared" si="2"/>
        <v>90</v>
      </c>
      <c r="B97" s="6">
        <v>39755949</v>
      </c>
      <c r="C97" s="17" t="s">
        <v>423</v>
      </c>
      <c r="D97" s="6" t="s">
        <v>1905</v>
      </c>
      <c r="E97" s="6"/>
      <c r="F97" s="6">
        <v>3224017010</v>
      </c>
      <c r="G97" s="8" t="s">
        <v>425</v>
      </c>
      <c r="H97" s="24" t="s">
        <v>2209</v>
      </c>
      <c r="I97" s="37" t="str">
        <f t="shared" si="3"/>
        <v>INSERT INTO `parqueadero`.`conductor` (`Oid`, `IdConductor`, `Nombre`, `Area`, `Piso`, `Celular`, `correo`, `Vinculacion`) VALUES ('90','39755949','CLAUDIA PATRICIA TRIVIÑO ROJAS','Dirección de Contratación','','3224017010','claudia.trivino@habitatbogota.gov.co','CONTRATISTA');</v>
      </c>
    </row>
    <row r="98" spans="1:9" ht="14.4" x14ac:dyDescent="0.3">
      <c r="A98" s="16">
        <f t="shared" si="2"/>
        <v>91</v>
      </c>
      <c r="B98" s="17">
        <v>39707570</v>
      </c>
      <c r="C98" s="17" t="s">
        <v>894</v>
      </c>
      <c r="D98" s="17" t="s">
        <v>1395</v>
      </c>
      <c r="E98" s="17"/>
      <c r="F98" s="17">
        <v>3125627087</v>
      </c>
      <c r="G98" s="8" t="s">
        <v>896</v>
      </c>
      <c r="H98" s="24" t="s">
        <v>2209</v>
      </c>
      <c r="I98" s="37" t="str">
        <f t="shared" si="3"/>
        <v>INSERT INTO `parqueadero`.`conductor` (`Oid`, `IdConductor`, `Nombre`, `Area`, `Piso`, `Celular`, `correo`, `Vinculacion`) VALUES ('91','39707570','CONSUELO ARIZA MAHECHA','Dirección de Servicios Públicos','','3125627087','consuelo.ariza@habitatbogota.gov.co','CONTRATISTA');</v>
      </c>
    </row>
    <row r="99" spans="1:9" ht="14.4" x14ac:dyDescent="0.3">
      <c r="A99" s="16">
        <f t="shared" si="2"/>
        <v>92</v>
      </c>
      <c r="B99" s="6">
        <v>1085297902</v>
      </c>
      <c r="C99" s="17" t="s">
        <v>2226</v>
      </c>
      <c r="D99" s="6" t="s">
        <v>500</v>
      </c>
      <c r="E99" s="6"/>
      <c r="F99" s="6">
        <v>3163729000</v>
      </c>
      <c r="G99" s="8" t="s">
        <v>1320</v>
      </c>
      <c r="H99" s="24" t="s">
        <v>2209</v>
      </c>
      <c r="I99" s="37" t="str">
        <f t="shared" si="3"/>
        <v>INSERT INTO `parqueadero`.`conductor` (`Oid`, `IdConductor`, `Nombre`, `Area`, `Piso`, `Celular`, `correo`, `Vinculacion`) VALUES ('92','1085297902','CRISLY CAROLINA RIVAS ORDOÑEZ','Dirección de Financiación de Vivienda','','3163729000','crisly.rivas@habitatbogota.gov.co','CONTRATISTA');</v>
      </c>
    </row>
    <row r="100" spans="1:9" ht="14.4" x14ac:dyDescent="0.3">
      <c r="A100" s="16">
        <f t="shared" si="2"/>
        <v>93</v>
      </c>
      <c r="B100" s="6">
        <v>1070306077</v>
      </c>
      <c r="C100" s="17" t="s">
        <v>654</v>
      </c>
      <c r="D100" s="6" t="s">
        <v>1905</v>
      </c>
      <c r="E100" s="6"/>
      <c r="F100" s="6">
        <v>3143622249</v>
      </c>
      <c r="G100" s="8" t="s">
        <v>656</v>
      </c>
      <c r="H100" s="24" t="s">
        <v>2209</v>
      </c>
      <c r="I100" s="37" t="str">
        <f t="shared" si="3"/>
        <v>INSERT INTO `parqueadero`.`conductor` (`Oid`, `IdConductor`, `Nombre`, `Area`, `Piso`, `Celular`, `correo`, `Vinculacion`) VALUES ('93','1070306077','CRISTIAN CAMILO GUERRERO CALVO','Dirección de Contratación','','3143622249','cristian.guerrero@habitatbogota.gov.co','CONTRATISTA');</v>
      </c>
    </row>
    <row r="101" spans="1:9" ht="14.4" x14ac:dyDescent="0.3">
      <c r="A101" s="16">
        <f t="shared" si="2"/>
        <v>94</v>
      </c>
      <c r="B101" s="6">
        <v>1010184160</v>
      </c>
      <c r="C101" s="17" t="s">
        <v>1075</v>
      </c>
      <c r="D101" s="6" t="s">
        <v>500</v>
      </c>
      <c r="E101" s="6"/>
      <c r="F101" s="6">
        <v>3145159290</v>
      </c>
      <c r="G101" s="8" t="s">
        <v>1077</v>
      </c>
      <c r="H101" s="24" t="s">
        <v>2209</v>
      </c>
      <c r="I101" s="37" t="str">
        <f t="shared" si="3"/>
        <v>INSERT INTO `parqueadero`.`conductor` (`Oid`, `IdConductor`, `Nombre`, `Area`, `Piso`, `Celular`, `correo`, `Vinculacion`) VALUES ('94','1010184160','CRISTIAN CAMILO PEÑA TABARQUINO','Dirección de Financiación de Vivienda','','3145159290','cristian.pena@habitatbogota.gov.co','CONTRATISTA');</v>
      </c>
    </row>
    <row r="102" spans="1:9" ht="14.4" x14ac:dyDescent="0.3">
      <c r="A102" s="16">
        <f t="shared" si="2"/>
        <v>95</v>
      </c>
      <c r="B102" s="6">
        <v>1023946531</v>
      </c>
      <c r="C102" s="17" t="s">
        <v>2014</v>
      </c>
      <c r="D102" s="6" t="s">
        <v>1698</v>
      </c>
      <c r="E102" s="6"/>
      <c r="F102" s="6"/>
      <c r="G102" s="7" t="s">
        <v>20</v>
      </c>
      <c r="H102" s="24" t="s">
        <v>1280</v>
      </c>
      <c r="I102" s="37" t="str">
        <f t="shared" si="3"/>
        <v>INSERT INTO `parqueadero`.`conductor` (`Oid`, `IdConductor`, `Nombre`, `Area`, `Piso`, `Celular`, `correo`, `Vinculacion`) VALUES ('95','1023946531','CRISTIAN GÓMEZ','Contraloría de Bogotá','','','NA','EXTERNO');</v>
      </c>
    </row>
    <row r="103" spans="1:9" ht="14.4" x14ac:dyDescent="0.3">
      <c r="A103" s="16">
        <f t="shared" si="2"/>
        <v>96</v>
      </c>
      <c r="B103" s="17">
        <v>81715332</v>
      </c>
      <c r="C103" s="17" t="s">
        <v>436</v>
      </c>
      <c r="D103" s="6" t="s">
        <v>1905</v>
      </c>
      <c r="E103" s="6"/>
      <c r="F103" s="17">
        <v>3014996335</v>
      </c>
      <c r="G103" s="8" t="s">
        <v>438</v>
      </c>
      <c r="H103" s="24" t="s">
        <v>2209</v>
      </c>
      <c r="I103" s="37" t="str">
        <f t="shared" si="3"/>
        <v>INSERT INTO `parqueadero`.`conductor` (`Oid`, `IdConductor`, `Nombre`, `Area`, `Piso`, `Celular`, `correo`, `Vinculacion`) VALUES ('96','81715332','DAIRON ANDRES CAMILO GALINDO CASTRO','Dirección de Contratación','','3014996335','dairon.galindo@habitatbogota.gov.co','CONTRATISTA');</v>
      </c>
    </row>
    <row r="104" spans="1:9" ht="14.4" x14ac:dyDescent="0.3">
      <c r="A104" s="16">
        <f t="shared" si="2"/>
        <v>97</v>
      </c>
      <c r="B104" s="6">
        <v>6070137</v>
      </c>
      <c r="C104" s="17" t="s">
        <v>881</v>
      </c>
      <c r="D104" s="6" t="s">
        <v>1716</v>
      </c>
      <c r="E104" s="6"/>
      <c r="F104" s="6">
        <v>3148350647</v>
      </c>
      <c r="G104" s="8" t="s">
        <v>883</v>
      </c>
      <c r="H104" s="24" t="s">
        <v>2209</v>
      </c>
      <c r="I104" s="37" t="str">
        <f t="shared" si="3"/>
        <v>INSERT INTO `parqueadero`.`conductor` (`Oid`, `IdConductor`, `Nombre`, `Area`, `Piso`, `Celular`, `correo`, `Vinculacion`) VALUES ('97','6070137','DANIEL ALFREDO ROMERO JAIMES','Subsecretaría Corporativa','','3148350647','daniel.romeroj@habitatbogota.gov.co','CONTRATISTA');</v>
      </c>
    </row>
    <row r="105" spans="1:9" ht="14.4" x14ac:dyDescent="0.3">
      <c r="A105" s="16">
        <f t="shared" si="2"/>
        <v>98</v>
      </c>
      <c r="B105" s="6">
        <v>79688967</v>
      </c>
      <c r="C105" s="17" t="s">
        <v>2227</v>
      </c>
      <c r="D105" s="6" t="s">
        <v>2110</v>
      </c>
      <c r="E105" s="6"/>
      <c r="F105" s="6">
        <v>3013370145</v>
      </c>
      <c r="G105" s="8" t="s">
        <v>1302</v>
      </c>
      <c r="H105" s="24" t="s">
        <v>2209</v>
      </c>
      <c r="I105" s="37" t="str">
        <f t="shared" si="3"/>
        <v>INSERT INTO `parqueadero`.`conductor` (`Oid`, `IdConductor`, `Nombre`, `Area`, `Piso`, `Celular`, `correo`, `Vinculacion`) VALUES ('98','79688967','DANIEL ARCILA','Subsecretaría de Vivienda','','3013370145','daniel.arcila@habitatbogota.gov.co','CONTRATISTA');</v>
      </c>
    </row>
    <row r="106" spans="1:9" ht="14.4" x14ac:dyDescent="0.3">
      <c r="A106" s="16">
        <f t="shared" si="2"/>
        <v>99</v>
      </c>
      <c r="B106" s="6">
        <v>79905794</v>
      </c>
      <c r="C106" s="17" t="s">
        <v>72</v>
      </c>
      <c r="D106" s="17" t="s">
        <v>207</v>
      </c>
      <c r="E106" s="17"/>
      <c r="F106" s="6">
        <v>3057457779</v>
      </c>
      <c r="G106" s="8" t="s">
        <v>74</v>
      </c>
      <c r="H106" s="24" t="s">
        <v>2209</v>
      </c>
      <c r="I106" s="37" t="str">
        <f t="shared" si="3"/>
        <v>INSERT INTO `parqueadero`.`conductor` (`Oid`, `IdConductor`, `Nombre`, `Area`, `Piso`, `Celular`, `correo`, `Vinculacion`) VALUES ('99','79905794','DANIEL BARRERA BUSTOS','Dirección de Gestión de Suelo','','3057457779','daniel.barrera@habitatbogota.gov.co','CONTRATISTA');</v>
      </c>
    </row>
    <row r="107" spans="1:9" ht="14.4" x14ac:dyDescent="0.3">
      <c r="A107" s="16">
        <f t="shared" si="2"/>
        <v>100</v>
      </c>
      <c r="B107" s="6">
        <v>80147258</v>
      </c>
      <c r="C107" s="17" t="s">
        <v>1388</v>
      </c>
      <c r="D107" s="6" t="s">
        <v>1338</v>
      </c>
      <c r="E107" s="6"/>
      <c r="F107" s="6">
        <v>3205611748</v>
      </c>
      <c r="G107" s="8" t="s">
        <v>1390</v>
      </c>
      <c r="H107" s="24" t="s">
        <v>2209</v>
      </c>
      <c r="I107" s="37" t="str">
        <f t="shared" si="3"/>
        <v>INSERT INTO `parqueadero`.`conductor` (`Oid`, `IdConductor`, `Nombre`, `Area`, `Piso`, `Celular`, `correo`, `Vinculacion`) VALUES ('100','80147258','DANIEL DELGADO BRAVO','Oficina de Participación y Relacionamiento con la Ciudadanía','','3205611748','daniel.delgado@habitatbogota.gov.co','CONTRATISTA');</v>
      </c>
    </row>
    <row r="108" spans="1:9" ht="14.4" x14ac:dyDescent="0.3">
      <c r="A108" s="16">
        <f t="shared" si="2"/>
        <v>101</v>
      </c>
      <c r="B108" s="6">
        <v>1010213543</v>
      </c>
      <c r="C108" s="17" t="s">
        <v>1782</v>
      </c>
      <c r="D108" s="6" t="s">
        <v>742</v>
      </c>
      <c r="E108" s="6"/>
      <c r="F108" s="6">
        <v>3104356273</v>
      </c>
      <c r="G108" s="8" t="s">
        <v>1784</v>
      </c>
      <c r="H108" s="24" t="s">
        <v>2209</v>
      </c>
      <c r="I108" s="37" t="str">
        <f t="shared" si="3"/>
        <v>INSERT INTO `parqueadero`.`conductor` (`Oid`, `IdConductor`, `Nombre`, `Area`, `Piso`, `Celular`, `correo`, `Vinculacion`) VALUES ('101','1010213543','DANIEL FABIÁN CASTRO MORA','Gestión Documental','','3104356273','daniel.castro@habitatbogota.gov.co','CONTRATISTA');</v>
      </c>
    </row>
    <row r="109" spans="1:9" ht="14.4" x14ac:dyDescent="0.3">
      <c r="A109" s="16">
        <f t="shared" si="2"/>
        <v>102</v>
      </c>
      <c r="B109" s="6">
        <v>105466109</v>
      </c>
      <c r="C109" s="17" t="s">
        <v>67</v>
      </c>
      <c r="D109" s="6" t="s">
        <v>2150</v>
      </c>
      <c r="E109" s="6"/>
      <c r="F109" s="6">
        <v>3057833039</v>
      </c>
      <c r="G109" s="8" t="s">
        <v>69</v>
      </c>
      <c r="H109" s="24" t="s">
        <v>2209</v>
      </c>
      <c r="I109" s="37" t="str">
        <f t="shared" si="3"/>
        <v>INSERT INTO `parqueadero`.`conductor` (`Oid`, `IdConductor`, `Nombre`, `Area`, `Piso`, `Celular`, `correo`, `Vinculacion`) VALUES ('102','105466109','DANIEL FELIPE GOMEZ PARRA','Dirección de Prevención Arrendamiento y Control de Enajenación','','3057833039','dnaiel.gomezf@habitatbogota.gov.co','CONTRATISTA');</v>
      </c>
    </row>
    <row r="110" spans="1:9" ht="14.4" x14ac:dyDescent="0.3">
      <c r="A110" s="16">
        <f t="shared" si="2"/>
        <v>103</v>
      </c>
      <c r="B110" s="6">
        <v>1015466109</v>
      </c>
      <c r="C110" s="17" t="s">
        <v>67</v>
      </c>
      <c r="D110" s="6" t="s">
        <v>2150</v>
      </c>
      <c r="E110" s="6"/>
      <c r="F110" s="6">
        <v>3057833039</v>
      </c>
      <c r="G110" s="8" t="s">
        <v>1590</v>
      </c>
      <c r="H110" s="24" t="s">
        <v>2209</v>
      </c>
      <c r="I110" s="37" t="str">
        <f t="shared" si="3"/>
        <v>INSERT INTO `parqueadero`.`conductor` (`Oid`, `IdConductor`, `Nombre`, `Area`, `Piso`, `Celular`, `correo`, `Vinculacion`) VALUES ('103','1015466109','DANIEL FELIPE GOMEZ PARRA','Dirección de Prevención Arrendamiento y Control de Enajenación','','3057833039','daniel.gomezp@habitatbogota.gov.co','CONTRATISTA');</v>
      </c>
    </row>
    <row r="111" spans="1:9" ht="14.4" x14ac:dyDescent="0.3">
      <c r="A111" s="16">
        <f t="shared" si="2"/>
        <v>104</v>
      </c>
      <c r="B111" s="17">
        <v>79328078</v>
      </c>
      <c r="C111" s="17" t="s">
        <v>1111</v>
      </c>
      <c r="D111" s="6" t="s">
        <v>2150</v>
      </c>
      <c r="E111" s="6"/>
      <c r="F111" s="17">
        <v>3155428490</v>
      </c>
      <c r="G111" s="8" t="s">
        <v>1113</v>
      </c>
      <c r="H111" s="24" t="s">
        <v>2209</v>
      </c>
      <c r="I111" s="37" t="str">
        <f t="shared" si="3"/>
        <v>INSERT INTO `parqueadero`.`conductor` (`Oid`, `IdConductor`, `Nombre`, `Area`, `Piso`, `Celular`, `correo`, `Vinculacion`) VALUES ('104','79328078','DANIEL OSWALDO GUERRERO OTERP','Dirección de Prevención Arrendamiento y Control de Enajenación','','3155428490','daniel.guerrero@habitatbogota.gov.cp','CONTRATISTA');</v>
      </c>
    </row>
    <row r="112" spans="1:9" ht="14.4" x14ac:dyDescent="0.3">
      <c r="A112" s="16">
        <f t="shared" si="2"/>
        <v>105</v>
      </c>
      <c r="B112" s="13">
        <v>1026292170</v>
      </c>
      <c r="C112" s="24" t="s">
        <v>1799</v>
      </c>
      <c r="D112" s="6" t="s">
        <v>434</v>
      </c>
      <c r="E112" s="6" t="s">
        <v>2198</v>
      </c>
      <c r="F112" s="13">
        <v>3107723081</v>
      </c>
      <c r="G112" s="8" t="s">
        <v>1801</v>
      </c>
      <c r="H112" s="24" t="s">
        <v>2209</v>
      </c>
      <c r="I112" s="37" t="str">
        <f t="shared" si="3"/>
        <v>INSERT INTO `parqueadero`.`conductor` (`Oid`, `IdConductor`, `Nombre`, `Area`, `Piso`, `Celular`, `correo`, `Vinculacion`) VALUES ('105','1026292170','DANIEL ROJAS ARAQUE','Dirección Administrativa','Piso 12','3107723081','daniel.rojas@habitatbogota.gov.co','CONTRATISTA');</v>
      </c>
    </row>
    <row r="113" spans="1:9" ht="14.4" x14ac:dyDescent="0.3">
      <c r="A113" s="16">
        <f t="shared" si="2"/>
        <v>106</v>
      </c>
      <c r="B113" s="6">
        <v>1012337063</v>
      </c>
      <c r="C113" s="17" t="s">
        <v>1275</v>
      </c>
      <c r="D113" s="6" t="s">
        <v>742</v>
      </c>
      <c r="E113" s="6"/>
      <c r="F113" s="6">
        <v>3116240199</v>
      </c>
      <c r="G113" s="8" t="s">
        <v>1268</v>
      </c>
      <c r="H113" s="24" t="s">
        <v>1280</v>
      </c>
      <c r="I113" s="37" t="str">
        <f t="shared" si="3"/>
        <v>INSERT INTO `parqueadero`.`conductor` (`Oid`, `IdConductor`, `Nombre`, `Area`, `Piso`, `Celular`, `correo`, `Vinculacion`) VALUES ('106','1012337063','DANIEL SANTIGO GUARNIZO  NEIRA','Gestión Documental','','3116240199','correspondenciasdht@habitatbogota.gov.co','EXTERNO');</v>
      </c>
    </row>
    <row r="114" spans="1:9" ht="14.4" x14ac:dyDescent="0.3">
      <c r="A114" s="16">
        <f t="shared" si="2"/>
        <v>107</v>
      </c>
      <c r="B114" s="6">
        <v>1098784496</v>
      </c>
      <c r="C114" s="17" t="s">
        <v>61</v>
      </c>
      <c r="D114" s="6" t="s">
        <v>201</v>
      </c>
      <c r="E114" s="6"/>
      <c r="F114" s="6">
        <v>3187118262</v>
      </c>
      <c r="G114" s="8" t="s">
        <v>63</v>
      </c>
      <c r="H114" s="24" t="s">
        <v>2209</v>
      </c>
      <c r="I114" s="37" t="str">
        <f t="shared" si="3"/>
        <v>INSERT INTO `parqueadero`.`conductor` (`Oid`, `IdConductor`, `Nombre`, `Area`, `Piso`, `Celular`, `correo`, `Vinculacion`) VALUES ('107','1098784496','DANIELA BUENO FLOREZ','Dirección de Mejoramiento Habitacional','','3187118262','daniela.bueno@habitatbogota.gov.co','CONTRATISTA');</v>
      </c>
    </row>
    <row r="115" spans="1:9" ht="14.4" x14ac:dyDescent="0.3">
      <c r="A115" s="16">
        <f t="shared" si="2"/>
        <v>108</v>
      </c>
      <c r="B115" s="6">
        <v>15173420</v>
      </c>
      <c r="C115" s="17" t="s">
        <v>356</v>
      </c>
      <c r="D115" s="6" t="s">
        <v>325</v>
      </c>
      <c r="E115" s="6"/>
      <c r="F115" s="6">
        <v>3114785383</v>
      </c>
      <c r="G115" s="8" t="s">
        <v>358</v>
      </c>
      <c r="H115" s="24" t="s">
        <v>2209</v>
      </c>
      <c r="I115" s="37" t="str">
        <f t="shared" si="3"/>
        <v>INSERT INTO `parqueadero`.`conductor` (`Oid`, `IdConductor`, `Nombre`, `Area`, `Piso`, `Celular`, `correo`, `Vinculacion`) VALUES ('108','15173420','DANILO JOSE VILLAZON','Dirección de Operaciones','','3114785383','danilo.villazon@habitatbogota.gov.co','CONTRATISTA');</v>
      </c>
    </row>
    <row r="116" spans="1:9" ht="14.4" x14ac:dyDescent="0.3">
      <c r="A116" s="16">
        <f t="shared" si="2"/>
        <v>109</v>
      </c>
      <c r="B116" s="6">
        <v>80766953</v>
      </c>
      <c r="C116" s="17" t="s">
        <v>787</v>
      </c>
      <c r="D116" s="6" t="s">
        <v>500</v>
      </c>
      <c r="E116" s="6"/>
      <c r="F116" s="6">
        <v>3124619148</v>
      </c>
      <c r="G116" s="8" t="s">
        <v>789</v>
      </c>
      <c r="H116" s="24" t="s">
        <v>2209</v>
      </c>
      <c r="I116" s="37" t="str">
        <f t="shared" si="3"/>
        <v>INSERT INTO `parqueadero`.`conductor` (`Oid`, `IdConductor`, `Nombre`, `Area`, `Piso`, `Celular`, `correo`, `Vinculacion`) VALUES ('109','80766953','DARIO ALFREDO VEGA CASTILLO','Dirección de Financiación de Vivienda','','3124619148','dario.vega@habitatbogota.gov.co','CONTRATISTA');</v>
      </c>
    </row>
    <row r="117" spans="1:9" ht="14.4" x14ac:dyDescent="0.3">
      <c r="A117" s="16">
        <f t="shared" si="2"/>
        <v>110</v>
      </c>
      <c r="B117" s="6">
        <v>1015479089</v>
      </c>
      <c r="C117" s="17" t="s">
        <v>2228</v>
      </c>
      <c r="D117" s="6" t="s">
        <v>1006</v>
      </c>
      <c r="E117" s="6"/>
      <c r="F117" s="6">
        <v>3012660204</v>
      </c>
      <c r="G117" s="8" t="s">
        <v>1005</v>
      </c>
      <c r="H117" s="24" t="s">
        <v>2209</v>
      </c>
      <c r="I117" s="37" t="str">
        <f t="shared" si="3"/>
        <v>INSERT INTO `parqueadero`.`conductor` (`Oid`, `IdConductor`, `Nombre`, `Area`, `Piso`, `Celular`, `correo`, `Vinculacion`) VALUES ('110','1015479089','DAVID LEONARDO MORENO','Subsecretaría Jurídica','','3012660204','david.morenos@habitatbogota.gov.co','CONTRATISTA');</v>
      </c>
    </row>
    <row r="118" spans="1:9" ht="14.4" x14ac:dyDescent="0.3">
      <c r="A118" s="16">
        <f t="shared" si="2"/>
        <v>111</v>
      </c>
      <c r="B118" s="6">
        <v>1026275767</v>
      </c>
      <c r="C118" s="17" t="s">
        <v>1425</v>
      </c>
      <c r="D118" s="17" t="s">
        <v>299</v>
      </c>
      <c r="E118" s="17"/>
      <c r="F118" s="6">
        <v>3168683061</v>
      </c>
      <c r="G118" s="8" t="s">
        <v>1427</v>
      </c>
      <c r="H118" s="24" t="s">
        <v>2209</v>
      </c>
      <c r="I118" s="37" t="str">
        <f t="shared" si="3"/>
        <v>INSERT INTO `parqueadero`.`conductor` (`Oid`, `IdConductor`, `Nombre`, `Area`, `Piso`, `Celular`, `correo`, `Vinculacion`) VALUES ('111','1026275767','DAVID RECIO BARRENECHE','Despacho','','3168683061','david.recio@habitatbogota.gov.co','CONTRATISTA');</v>
      </c>
    </row>
    <row r="119" spans="1:9" ht="14.4" x14ac:dyDescent="0.3">
      <c r="A119" s="16">
        <f t="shared" si="2"/>
        <v>112</v>
      </c>
      <c r="B119" s="6">
        <v>52855892</v>
      </c>
      <c r="C119" s="17" t="s">
        <v>957</v>
      </c>
      <c r="D119" s="6" t="s">
        <v>201</v>
      </c>
      <c r="E119" s="6"/>
      <c r="F119" s="6">
        <v>3002980068</v>
      </c>
      <c r="G119" s="8" t="s">
        <v>959</v>
      </c>
      <c r="H119" s="24" t="s">
        <v>2209</v>
      </c>
      <c r="I119" s="37" t="str">
        <f t="shared" si="3"/>
        <v>INSERT INTO `parqueadero`.`conductor` (`Oid`, `IdConductor`, `Nombre`, `Area`, `Piso`, `Celular`, `correo`, `Vinculacion`) VALUES ('112','52855892','DEISY CATALINA NIÑO MORANTES','Dirección de Mejoramiento Habitacional','','3002980068','deisy.nino@habitatbogota.gov.co','CONTRATISTA');</v>
      </c>
    </row>
    <row r="120" spans="1:9" ht="14.4" x14ac:dyDescent="0.3">
      <c r="A120" s="16">
        <f t="shared" si="2"/>
        <v>113</v>
      </c>
      <c r="B120" s="6">
        <v>1000830438</v>
      </c>
      <c r="C120" s="17" t="s">
        <v>188</v>
      </c>
      <c r="D120" s="6" t="s">
        <v>742</v>
      </c>
      <c r="E120" s="6"/>
      <c r="F120" s="6">
        <v>3103224575</v>
      </c>
      <c r="G120" s="8" t="s">
        <v>189</v>
      </c>
      <c r="H120" s="24" t="s">
        <v>1280</v>
      </c>
      <c r="I120" s="37" t="str">
        <f t="shared" si="3"/>
        <v>INSERT INTO `parqueadero`.`conductor` (`Oid`, `IdConductor`, `Nombre`, `Area`, `Piso`, `Celular`, `correo`, `Vinculacion`) VALUES ('113','1000830438','DEYNA LIZETH CHINCHA TISOY','Gestión Documental','','3103224575','gestion.documental@habitatbogota.gov.co','EXTERNO');</v>
      </c>
    </row>
    <row r="121" spans="1:9" ht="14.4" x14ac:dyDescent="0.3">
      <c r="A121" s="16">
        <f t="shared" si="2"/>
        <v>114</v>
      </c>
      <c r="B121" s="6">
        <v>1020731626</v>
      </c>
      <c r="C121" s="17" t="s">
        <v>2229</v>
      </c>
      <c r="D121" s="6" t="s">
        <v>325</v>
      </c>
      <c r="E121" s="6"/>
      <c r="F121" s="6">
        <v>3155350751</v>
      </c>
      <c r="G121" s="8" t="s">
        <v>825</v>
      </c>
      <c r="H121" s="24" t="s">
        <v>2209</v>
      </c>
      <c r="I121" s="37" t="str">
        <f t="shared" si="3"/>
        <v>INSERT INTO `parqueadero`.`conductor` (`Oid`, `IdConductor`, `Nombre`, `Area`, `Piso`, `Celular`, `correo`, `Vinculacion`) VALUES ('114','1020731626','DIANA CAROLINA GONZALEZ','Dirección de Operaciones','','3155350751','diana.gonzalez@habitatbogota.gov.co','CONTRATISTA');</v>
      </c>
    </row>
    <row r="122" spans="1:9" ht="14.4" x14ac:dyDescent="0.3">
      <c r="A122" s="16">
        <f t="shared" si="2"/>
        <v>115</v>
      </c>
      <c r="B122" s="17">
        <v>1075257769</v>
      </c>
      <c r="C122" s="17" t="s">
        <v>2230</v>
      </c>
      <c r="D122" s="17" t="s">
        <v>1041</v>
      </c>
      <c r="E122" s="17"/>
      <c r="F122" s="17">
        <v>3002962851</v>
      </c>
      <c r="G122" s="8" t="s">
        <v>1046</v>
      </c>
      <c r="H122" s="24" t="s">
        <v>2209</v>
      </c>
      <c r="I122" s="37" t="str">
        <f t="shared" si="3"/>
        <v>INSERT INTO `parqueadero`.`conductor` (`Oid`, `IdConductor`, `Nombre`, `Area`, `Piso`, `Celular`, `correo`, `Vinculacion`) VALUES ('115','1075257769','DIANA CAROLINA LOSADA RAMÍREZ','Dirección de Hábitat y Entorno','','3002962851','diana.losada@habitatbogota.gov.co','CONTRATISTA');</v>
      </c>
    </row>
    <row r="123" spans="1:9" ht="14.4" x14ac:dyDescent="0.3">
      <c r="A123" s="16">
        <f t="shared" si="2"/>
        <v>116</v>
      </c>
      <c r="B123" s="6">
        <v>1110466592</v>
      </c>
      <c r="C123" s="17" t="s">
        <v>1692</v>
      </c>
      <c r="D123" s="6" t="s">
        <v>500</v>
      </c>
      <c r="E123" s="6"/>
      <c r="F123" s="6">
        <v>3013380694</v>
      </c>
      <c r="G123" s="8" t="s">
        <v>1694</v>
      </c>
      <c r="H123" s="24" t="s">
        <v>2209</v>
      </c>
      <c r="I123" s="37" t="str">
        <f t="shared" si="3"/>
        <v>INSERT INTO `parqueadero`.`conductor` (`Oid`, `IdConductor`, `Nombre`, `Area`, `Piso`, `Celular`, `correo`, `Vinculacion`) VALUES ('116','1110466592','DIANA CAROLINA MERCHAN BAQUERO','Dirección de Financiación de Vivienda','','3013380694','diana.merchan@habitatbogota.gov.co','CONTRATISTA');</v>
      </c>
    </row>
    <row r="124" spans="1:9" ht="14.4" x14ac:dyDescent="0.3">
      <c r="A124" s="16">
        <f t="shared" si="2"/>
        <v>117</v>
      </c>
      <c r="B124" s="6">
        <v>1022329322</v>
      </c>
      <c r="C124" s="17" t="s">
        <v>1912</v>
      </c>
      <c r="D124" s="6" t="s">
        <v>500</v>
      </c>
      <c r="E124" s="6"/>
      <c r="F124" s="6">
        <v>3112413007</v>
      </c>
      <c r="G124" s="8" t="s">
        <v>1914</v>
      </c>
      <c r="H124" s="24" t="s">
        <v>2209</v>
      </c>
      <c r="I124" s="37" t="str">
        <f t="shared" si="3"/>
        <v>INSERT INTO `parqueadero`.`conductor` (`Oid`, `IdConductor`, `Nombre`, `Area`, `Piso`, `Celular`, `correo`, `Vinculacion`) VALUES ('117','1022329322','DIANA CAROLINA NIÑO CLAVIJO','Dirección de Financiación de Vivienda','','3112413007','diana.nino@habitatbogota.gov.co','CONTRATISTA');</v>
      </c>
    </row>
    <row r="125" spans="1:9" ht="14.4" x14ac:dyDescent="0.3">
      <c r="A125" s="16">
        <f t="shared" si="2"/>
        <v>118</v>
      </c>
      <c r="B125" s="6">
        <v>53140489</v>
      </c>
      <c r="C125" s="17" t="s">
        <v>948</v>
      </c>
      <c r="D125" s="6" t="s">
        <v>2111</v>
      </c>
      <c r="E125" s="6"/>
      <c r="F125" s="6">
        <v>3174451841</v>
      </c>
      <c r="G125" s="8" t="s">
        <v>950</v>
      </c>
      <c r="H125" s="24" t="s">
        <v>2209</v>
      </c>
      <c r="I125" s="37" t="str">
        <f t="shared" si="3"/>
        <v>INSERT INTO `parqueadero`.`conductor` (`Oid`, `IdConductor`, `Nombre`, `Area`, `Piso`, `Celular`, `correo`, `Vinculacion`) VALUES ('118','53140489','DIANA CAROLINA RICO OROZCO','Subsecretaría de Intervenciones Integrales','','3174451841','diana.rico@habitatbogota.gov.co','CONTRATISTA');</v>
      </c>
    </row>
    <row r="126" spans="1:9" ht="14.4" x14ac:dyDescent="0.3">
      <c r="A126" s="16">
        <f t="shared" si="2"/>
        <v>119</v>
      </c>
      <c r="B126" s="6">
        <v>52057419</v>
      </c>
      <c r="C126" s="17" t="s">
        <v>306</v>
      </c>
      <c r="D126" s="17" t="s">
        <v>299</v>
      </c>
      <c r="E126" s="17"/>
      <c r="F126" s="6">
        <v>3164533485</v>
      </c>
      <c r="G126" s="8" t="s">
        <v>308</v>
      </c>
      <c r="H126" s="24" t="s">
        <v>2209</v>
      </c>
      <c r="I126" s="37" t="str">
        <f t="shared" si="3"/>
        <v>INSERT INTO `parqueadero`.`conductor` (`Oid`, `IdConductor`, `Nombre`, `Area`, `Piso`, `Celular`, `correo`, `Vinculacion`) VALUES ('119','52057419','DIANA MARCELA PINEDA RODRIGUEZ','Despacho','','3164533485','diana.pineda@habitatbogota.gov.co','CONTRATISTA');</v>
      </c>
    </row>
    <row r="127" spans="1:9" ht="14.4" x14ac:dyDescent="0.3">
      <c r="A127" s="16">
        <f t="shared" si="2"/>
        <v>120</v>
      </c>
      <c r="B127" s="17">
        <v>1010185027</v>
      </c>
      <c r="C127" s="17" t="s">
        <v>1193</v>
      </c>
      <c r="D127" s="6" t="s">
        <v>1353</v>
      </c>
      <c r="E127" s="6"/>
      <c r="F127" s="17">
        <v>3125774718</v>
      </c>
      <c r="G127" s="8" t="s">
        <v>1195</v>
      </c>
      <c r="H127" s="24" t="s">
        <v>2209</v>
      </c>
      <c r="I127" s="37" t="str">
        <f t="shared" si="3"/>
        <v>INSERT INTO `parqueadero`.`conductor` (`Oid`, `IdConductor`, `Nombre`, `Area`, `Piso`, `Celular`, `correo`, `Vinculacion`) VALUES ('120','1010185027','DIANA VANESSA ACOSTA RAMOS','Oficina Asesora de Comunicaciones','','3125774718','diana.acostar@habitatbogota.gov.co','CONTRATISTA');</v>
      </c>
    </row>
    <row r="128" spans="1:9" ht="14.4" x14ac:dyDescent="0.3">
      <c r="A128" s="16">
        <f t="shared" si="2"/>
        <v>121</v>
      </c>
      <c r="B128" s="6">
        <v>52146673</v>
      </c>
      <c r="C128" s="17" t="s">
        <v>1089</v>
      </c>
      <c r="D128" s="17" t="s">
        <v>207</v>
      </c>
      <c r="E128" s="17"/>
      <c r="F128" s="6">
        <v>3002138043</v>
      </c>
      <c r="G128" s="8" t="s">
        <v>1091</v>
      </c>
      <c r="H128" s="24" t="s">
        <v>2209</v>
      </c>
      <c r="I128" s="37" t="str">
        <f t="shared" si="3"/>
        <v>INSERT INTO `parqueadero`.`conductor` (`Oid`, `IdConductor`, `Nombre`, `Area`, `Piso`, `Celular`, `correo`, `Vinculacion`) VALUES ('121','52146673','DIANAN COVALEDA SALAS','Dirección de Gestión de Suelo','','3002138043','diana.covaleda@habitatbogotagov.co','CONTRATISTA');</v>
      </c>
    </row>
    <row r="129" spans="1:9" ht="14.4" x14ac:dyDescent="0.3">
      <c r="A129" s="16">
        <f t="shared" si="2"/>
        <v>122</v>
      </c>
      <c r="B129" s="13">
        <v>1032443029</v>
      </c>
      <c r="C129" s="24" t="s">
        <v>1863</v>
      </c>
      <c r="D129" s="6" t="s">
        <v>2150</v>
      </c>
      <c r="E129" s="6"/>
      <c r="F129" s="13">
        <v>3223943468</v>
      </c>
      <c r="G129" s="8" t="s">
        <v>1865</v>
      </c>
      <c r="H129" s="24" t="s">
        <v>2209</v>
      </c>
      <c r="I129" s="37" t="str">
        <f t="shared" si="3"/>
        <v>INSERT INTO `parqueadero`.`conductor` (`Oid`, `IdConductor`, `Nombre`, `Area`, `Piso`, `Celular`, `correo`, `Vinculacion`) VALUES ('122','1032443029','DIEGO ARLEY LIZARAZO LÓPEZ','Dirección de Prevención Arrendamiento y Control de Enajenación','','3223943468','diego.lizarazo@habitatbogota.gov.co','CONTRATISTA');</v>
      </c>
    </row>
    <row r="130" spans="1:9" ht="14.4" x14ac:dyDescent="0.3">
      <c r="A130" s="16">
        <f t="shared" si="2"/>
        <v>123</v>
      </c>
      <c r="B130" s="6">
        <v>1016070278</v>
      </c>
      <c r="C130" s="17" t="s">
        <v>1016</v>
      </c>
      <c r="D130" s="6" t="s">
        <v>270</v>
      </c>
      <c r="E130" s="6"/>
      <c r="F130" s="6">
        <v>3208723277</v>
      </c>
      <c r="G130" s="8" t="s">
        <v>1018</v>
      </c>
      <c r="H130" s="24" t="s">
        <v>2209</v>
      </c>
      <c r="I130" s="37" t="str">
        <f t="shared" si="3"/>
        <v>INSERT INTO `parqueadero`.`conductor` (`Oid`, `IdConductor`, `Nombre`, `Area`, `Piso`, `Celular`, `correo`, `Vinculacion`) VALUES ('123','1016070278','DIEGO FELIPE LÓPEZ RODRÍGUEZ','Dirección de Investigaciones y Control de Vivienda','','3208723277','diego.lopez@habitatbogota.gov.co','CONTRATISTA');</v>
      </c>
    </row>
    <row r="131" spans="1:9" ht="14.4" x14ac:dyDescent="0.3">
      <c r="A131" s="16">
        <f t="shared" si="2"/>
        <v>124</v>
      </c>
      <c r="B131" s="6">
        <v>79944990</v>
      </c>
      <c r="C131" s="17" t="s">
        <v>1107</v>
      </c>
      <c r="D131" s="17" t="s">
        <v>207</v>
      </c>
      <c r="E131" s="17"/>
      <c r="F131" s="6">
        <v>3108127012</v>
      </c>
      <c r="G131" s="8" t="s">
        <v>1109</v>
      </c>
      <c r="H131" s="24" t="s">
        <v>2209</v>
      </c>
      <c r="I131" s="37" t="str">
        <f t="shared" si="3"/>
        <v>INSERT INTO `parqueadero`.`conductor` (`Oid`, `IdConductor`, `Nombre`, `Area`, `Piso`, `Celular`, `correo`, `Vinculacion`) VALUES ('124','79944990','DIEGO FERNANDO MATEUS RUEDA','Dirección de Gestión de Suelo','','3108127012','diego.mateus@habitatbogota.gov.co','CONTRATISTA');</v>
      </c>
    </row>
    <row r="132" spans="1:9" ht="14.4" x14ac:dyDescent="0.3">
      <c r="A132" s="16">
        <f t="shared" si="2"/>
        <v>125</v>
      </c>
      <c r="B132" s="6">
        <v>80401214</v>
      </c>
      <c r="C132" s="17" t="s">
        <v>922</v>
      </c>
      <c r="D132" s="6" t="s">
        <v>270</v>
      </c>
      <c r="E132" s="6"/>
      <c r="F132" s="6">
        <v>3144430585</v>
      </c>
      <c r="G132" s="8" t="s">
        <v>924</v>
      </c>
      <c r="H132" s="24" t="s">
        <v>2209</v>
      </c>
      <c r="I132" s="37" t="str">
        <f t="shared" si="3"/>
        <v>INSERT INTO `parqueadero`.`conductor` (`Oid`, `IdConductor`, `Nombre`, `Area`, `Piso`, `Celular`, `correo`, `Vinculacion`) VALUES ('125','80401214','DIEGO IVAN NAVARRO JIMENEZ','Dirección de Investigaciones y Control de Vivienda','','3144430585','diego.navarro@habitatbogota.gov.co','CONTRATISTA');</v>
      </c>
    </row>
    <row r="133" spans="1:9" ht="14.4" x14ac:dyDescent="0.3">
      <c r="A133" s="16">
        <f t="shared" si="2"/>
        <v>126</v>
      </c>
      <c r="B133" s="6">
        <v>4978456</v>
      </c>
      <c r="C133" s="17" t="s">
        <v>902</v>
      </c>
      <c r="D133" s="6" t="s">
        <v>500</v>
      </c>
      <c r="E133" s="6"/>
      <c r="F133" s="6">
        <v>3108688874</v>
      </c>
      <c r="G133" s="8" t="s">
        <v>904</v>
      </c>
      <c r="H133" s="24" t="s">
        <v>2209</v>
      </c>
      <c r="I133" s="37" t="str">
        <f t="shared" si="3"/>
        <v>INSERT INTO `parqueadero`.`conductor` (`Oid`, `IdConductor`, `Nombre`, `Area`, `Piso`, `Celular`, `correo`, `Vinculacion`) VALUES ('126','4978456','DONALDO DONALDO VANEGAS PALACIO','Dirección de Financiación de Vivienda','','3108688874','donaldo.vanegas@habitatbogota.gov.co','CONTRATISTA');</v>
      </c>
    </row>
    <row r="134" spans="1:9" ht="14.4" x14ac:dyDescent="0.3">
      <c r="A134" s="16">
        <f t="shared" si="2"/>
        <v>127</v>
      </c>
      <c r="B134" s="6">
        <v>396645660</v>
      </c>
      <c r="C134" s="17" t="s">
        <v>2231</v>
      </c>
      <c r="D134" s="6" t="s">
        <v>270</v>
      </c>
      <c r="E134" s="6"/>
      <c r="F134" s="6">
        <v>3108741396</v>
      </c>
      <c r="G134" s="8" t="s">
        <v>523</v>
      </c>
      <c r="H134" s="24" t="s">
        <v>119</v>
      </c>
      <c r="I134" s="37" t="str">
        <f t="shared" si="3"/>
        <v>INSERT INTO `parqueadero`.`conductor` (`Oid`, `IdConductor`, `Nombre`, `Area`, `Piso`, `Celular`, `correo`, `Vinculacion`) VALUES ('127','396645660','DORA INOCENCIA CASTILLO VALDERRAMA','Dirección de Investigaciones y Control de Vivienda','','3108741396','dora.castillov@habitat.gov.co','FUNCIONARIO');</v>
      </c>
    </row>
    <row r="135" spans="1:9" ht="14.4" x14ac:dyDescent="0.3">
      <c r="A135" s="16">
        <f t="shared" si="2"/>
        <v>128</v>
      </c>
      <c r="B135" s="6">
        <v>52218503</v>
      </c>
      <c r="C135" s="17" t="s">
        <v>49</v>
      </c>
      <c r="D135" s="6" t="s">
        <v>1698</v>
      </c>
      <c r="E135" s="6"/>
      <c r="F135" s="6">
        <v>3004427959</v>
      </c>
      <c r="G135" s="7" t="s">
        <v>20</v>
      </c>
      <c r="H135" s="24" t="s">
        <v>1280</v>
      </c>
      <c r="I135" s="37" t="str">
        <f t="shared" si="3"/>
        <v>INSERT INTO `parqueadero`.`conductor` (`Oid`, `IdConductor`, `Nombre`, `Area`, `Piso`, `Celular`, `correo`, `Vinculacion`) VALUES ('128','52218503','DORISNEY ORDUNA HOLGUIN','Contraloría de Bogotá','','3004427959','NA','EXTERNO');</v>
      </c>
    </row>
    <row r="136" spans="1:9" ht="14.4" x14ac:dyDescent="0.3">
      <c r="A136" s="16">
        <f t="shared" ref="A136:A199" si="4">ROW()-7</f>
        <v>129</v>
      </c>
      <c r="B136" s="17">
        <v>1014279715</v>
      </c>
      <c r="C136" s="17" t="s">
        <v>1115</v>
      </c>
      <c r="D136" s="17" t="s">
        <v>207</v>
      </c>
      <c r="E136" s="17"/>
      <c r="F136" s="17">
        <v>3105855871</v>
      </c>
      <c r="G136" s="8" t="s">
        <v>1117</v>
      </c>
      <c r="H136" s="24" t="s">
        <v>2209</v>
      </c>
      <c r="I136" s="37" t="str">
        <f t="shared" ref="I136:I199" si="5">CONCATENATE("INSERT INTO `parqueadero`.`conductor` (`",$A$7,"`, `",$B$7,"`, `",$C$7,"`, `",$D$7,"`, `",$E$7,"`, `",$F$7,"`, `",$G$7,"`, `",$H$7,"`) VALUES ('",A136,"','",B136,"','",C136,"','",D136,"','",E136,"','",F136,"','",G136,"','",H136,"');" )</f>
        <v>INSERT INTO `parqueadero`.`conductor` (`Oid`, `IdConductor`, `Nombre`, `Area`, `Piso`, `Celular`, `correo`, `Vinculacion`) VALUES ('129','1014279715','DUBAN ESNEIDER ROBERTO PINEDA','Dirección de Gestión de Suelo','','3105855871','duban.roberto@habitatbogota.gov.co','CONTRATISTA');</v>
      </c>
    </row>
    <row r="137" spans="1:9" ht="14.4" x14ac:dyDescent="0.3">
      <c r="A137" s="16">
        <f t="shared" si="4"/>
        <v>130</v>
      </c>
      <c r="B137" s="6">
        <v>80024049</v>
      </c>
      <c r="C137" s="17" t="s">
        <v>113</v>
      </c>
      <c r="D137" s="6" t="s">
        <v>1353</v>
      </c>
      <c r="E137" s="6"/>
      <c r="F137" s="6">
        <v>3143405600</v>
      </c>
      <c r="G137" s="8" t="s">
        <v>114</v>
      </c>
      <c r="H137" s="24" t="s">
        <v>119</v>
      </c>
      <c r="I137" s="37" t="str">
        <f t="shared" si="5"/>
        <v>INSERT INTO `parqueadero`.`conductor` (`Oid`, `IdConductor`, `Nombre`, `Area`, `Piso`, `Celular`, `correo`, `Vinculacion`) VALUES ('130','80024049','EDGAR ANDRÉS CASTRO PEÑA','Oficina Asesora de Comunicaciones','','3143405600','edgar.castro@habitatbogota.gov.co','FUNCIONARIO');</v>
      </c>
    </row>
    <row r="138" spans="1:9" ht="14.4" x14ac:dyDescent="0.3">
      <c r="A138" s="16">
        <f t="shared" si="4"/>
        <v>131</v>
      </c>
      <c r="B138" s="6">
        <v>80121497</v>
      </c>
      <c r="C138" s="17" t="s">
        <v>779</v>
      </c>
      <c r="D138" s="6" t="s">
        <v>1229</v>
      </c>
      <c r="E138" s="6"/>
      <c r="F138" s="6">
        <v>3003457997</v>
      </c>
      <c r="G138" s="8" t="s">
        <v>780</v>
      </c>
      <c r="H138" s="24" t="s">
        <v>119</v>
      </c>
      <c r="I138" s="37" t="str">
        <f t="shared" si="5"/>
        <v>INSERT INTO `parqueadero`.`conductor` (`Oid`, `IdConductor`, `Nombre`, `Area`, `Piso`, `Celular`, `correo`, `Vinculacion`) VALUES ('131','80121497','EDGAR ANDRÉS ORTIZ VIVAS','Dirección de Información de Políticas Públicas','','3003457997','edgar.ortizv@habitatbogota.gov.co','FUNCIONARIO');</v>
      </c>
    </row>
    <row r="139" spans="1:9" ht="14.4" x14ac:dyDescent="0.3">
      <c r="A139" s="16">
        <f t="shared" si="4"/>
        <v>132</v>
      </c>
      <c r="B139" s="6">
        <v>71761674</v>
      </c>
      <c r="C139" s="17" t="s">
        <v>2232</v>
      </c>
      <c r="D139" s="6" t="s">
        <v>1229</v>
      </c>
      <c r="E139" s="6"/>
      <c r="F139" s="6">
        <v>3212042506</v>
      </c>
      <c r="G139" s="8" t="s">
        <v>328</v>
      </c>
      <c r="H139" s="24" t="s">
        <v>119</v>
      </c>
      <c r="I139" s="37" t="str">
        <f t="shared" si="5"/>
        <v>INSERT INTO `parqueadero`.`conductor` (`Oid`, `IdConductor`, `Nombre`, `Area`, `Piso`, `Celular`, `correo`, `Vinculacion`) VALUES ('132','71761674','EDISON RESTREPO CEBALLOS','Dirección de Información de Políticas Públicas','','3212042506','edison.restrepo@habitatbogota.gov.co','FUNCIONARIO');</v>
      </c>
    </row>
    <row r="140" spans="1:9" ht="14.4" x14ac:dyDescent="0.3">
      <c r="A140" s="16">
        <f t="shared" si="4"/>
        <v>133</v>
      </c>
      <c r="B140" s="6">
        <v>1010171786</v>
      </c>
      <c r="C140" s="17" t="s">
        <v>126</v>
      </c>
      <c r="D140" s="6" t="s">
        <v>1229</v>
      </c>
      <c r="E140" s="6"/>
      <c r="F140" s="6">
        <v>3102160889</v>
      </c>
      <c r="G140" s="8" t="s">
        <v>128</v>
      </c>
      <c r="H140" s="24" t="s">
        <v>2209</v>
      </c>
      <c r="I140" s="37" t="str">
        <f t="shared" si="5"/>
        <v>INSERT INTO `parqueadero`.`conductor` (`Oid`, `IdConductor`, `Nombre`, `Area`, `Piso`, `Celular`, `correo`, `Vinculacion`) VALUES ('133','1010171786','EDNA LUCÍA PERILLA MEDINA','Dirección de Información de Políticas Públicas','','3102160889','edna.perilla@habitatbogota.gov.co','CONTRATISTA');</v>
      </c>
    </row>
    <row r="141" spans="1:9" ht="14.4" x14ac:dyDescent="0.3">
      <c r="A141" s="16">
        <f t="shared" si="4"/>
        <v>134</v>
      </c>
      <c r="B141" s="17">
        <v>51831480</v>
      </c>
      <c r="C141" s="17" t="s">
        <v>107</v>
      </c>
      <c r="D141" s="6" t="s">
        <v>270</v>
      </c>
      <c r="E141" s="6"/>
      <c r="F141" s="17">
        <v>3183891026</v>
      </c>
      <c r="G141" s="8" t="s">
        <v>109</v>
      </c>
      <c r="H141" s="24" t="s">
        <v>2209</v>
      </c>
      <c r="I141" s="37" t="str">
        <f t="shared" si="5"/>
        <v>INSERT INTO `parqueadero`.`conductor` (`Oid`, `IdConductor`, `Nombre`, `Area`, `Piso`, `Celular`, `correo`, `Vinculacion`) VALUES ('134','51831480','EDNA MARCELA MENDEZ PALMA','Dirección de Investigaciones y Control de Vivienda','','3183891026','adria.mendez@habitatbogota.gov.co','CONTRATISTA');</v>
      </c>
    </row>
    <row r="142" spans="1:9" ht="14.4" x14ac:dyDescent="0.3">
      <c r="A142" s="16">
        <f t="shared" si="4"/>
        <v>135</v>
      </c>
      <c r="B142" s="6">
        <v>1110494882</v>
      </c>
      <c r="C142" s="17" t="s">
        <v>889</v>
      </c>
      <c r="D142" s="6" t="s">
        <v>270</v>
      </c>
      <c r="E142" s="6"/>
      <c r="F142" s="6">
        <v>3004812996</v>
      </c>
      <c r="G142" s="8" t="s">
        <v>891</v>
      </c>
      <c r="H142" s="24" t="s">
        <v>2209</v>
      </c>
      <c r="I142" s="37" t="str">
        <f t="shared" si="5"/>
        <v>INSERT INTO `parqueadero`.`conductor` (`Oid`, `IdConductor`, `Nombre`, `Area`, `Piso`, `Celular`, `correo`, `Vinculacion`) VALUES ('135','1110494882','EDNA MARGARITA GOMEZ ARBELAEZ','Dirección de Investigaciones y Control de Vivienda','','3004812996','edna.gomez@habitatbogota.gov.co','CONTRATISTA');</v>
      </c>
    </row>
    <row r="143" spans="1:9" ht="14.4" x14ac:dyDescent="0.3">
      <c r="A143" s="16">
        <f t="shared" si="4"/>
        <v>136</v>
      </c>
      <c r="B143" s="6">
        <v>1019023084</v>
      </c>
      <c r="C143" s="17" t="s">
        <v>2233</v>
      </c>
      <c r="D143" s="17" t="s">
        <v>299</v>
      </c>
      <c r="E143" s="17"/>
      <c r="F143" s="6">
        <v>3104785629</v>
      </c>
      <c r="G143" s="8" t="s">
        <v>665</v>
      </c>
      <c r="H143" s="24" t="s">
        <v>2209</v>
      </c>
      <c r="I143" s="37" t="str">
        <f t="shared" si="5"/>
        <v>INSERT INTO `parqueadero`.`conductor` (`Oid`, `IdConductor`, `Nombre`, `Area`, `Piso`, `Celular`, `correo`, `Vinculacion`) VALUES ('136','1019023084','EDUARDO CONTA MARTINEZ','Despacho','','3104785629','arnold.conta@habitatbogota.gov.co','CONTRATISTA');</v>
      </c>
    </row>
    <row r="144" spans="1:9" ht="14.4" x14ac:dyDescent="0.3">
      <c r="A144" s="16">
        <f t="shared" si="4"/>
        <v>137</v>
      </c>
      <c r="B144" s="17">
        <v>79967484</v>
      </c>
      <c r="C144" s="17" t="s">
        <v>1202</v>
      </c>
      <c r="D144" s="6" t="s">
        <v>2150</v>
      </c>
      <c r="E144" s="6"/>
      <c r="F144" s="17">
        <v>3114465810</v>
      </c>
      <c r="G144" s="8" t="s">
        <v>1204</v>
      </c>
      <c r="H144" s="24" t="s">
        <v>2209</v>
      </c>
      <c r="I144" s="37" t="str">
        <f t="shared" si="5"/>
        <v>INSERT INTO `parqueadero`.`conductor` (`Oid`, `IdConductor`, `Nombre`, `Area`, `Piso`, `Celular`, `correo`, `Vinculacion`) VALUES ('137','79967484','EDWIN HARLEY REYES MORENO','Dirección de Prevención Arrendamiento y Control de Enajenación','','3114465810','edwin.reyesm@habitatbogota.gov.co','CONTRATISTA');</v>
      </c>
    </row>
    <row r="145" spans="1:9" ht="14.4" x14ac:dyDescent="0.3">
      <c r="A145" s="16">
        <f t="shared" si="4"/>
        <v>138</v>
      </c>
      <c r="B145" s="17">
        <v>80505613</v>
      </c>
      <c r="C145" s="17" t="s">
        <v>603</v>
      </c>
      <c r="D145" s="6" t="s">
        <v>1338</v>
      </c>
      <c r="E145" s="6"/>
      <c r="F145" s="17">
        <v>3122600799</v>
      </c>
      <c r="G145" s="8" t="s">
        <v>605</v>
      </c>
      <c r="H145" s="24" t="s">
        <v>2209</v>
      </c>
      <c r="I145" s="37" t="str">
        <f t="shared" si="5"/>
        <v>INSERT INTO `parqueadero`.`conductor` (`Oid`, `IdConductor`, `Nombre`, `Area`, `Piso`, `Celular`, `correo`, `Vinculacion`) VALUES ('138','80505613','EDWIN HUMBERTO BUSTACARA BETANCOURT','Oficina de Participación y Relacionamiento con la Ciudadanía','','3122600799','edwinbustacara@gmail.com','CONTRATISTA');</v>
      </c>
    </row>
    <row r="146" spans="1:9" ht="14.4" x14ac:dyDescent="0.3">
      <c r="A146" s="16">
        <f t="shared" si="4"/>
        <v>139</v>
      </c>
      <c r="B146" s="6">
        <v>79652526</v>
      </c>
      <c r="C146" s="17" t="s">
        <v>1549</v>
      </c>
      <c r="D146" s="6" t="s">
        <v>270</v>
      </c>
      <c r="E146" s="6"/>
      <c r="F146" s="6">
        <v>3108160084</v>
      </c>
      <c r="G146" s="8" t="s">
        <v>1551</v>
      </c>
      <c r="H146" s="24" t="s">
        <v>2209</v>
      </c>
      <c r="I146" s="37" t="str">
        <f t="shared" si="5"/>
        <v>INSERT INTO `parqueadero`.`conductor` (`Oid`, `IdConductor`, `Nombre`, `Area`, `Piso`, `Celular`, `correo`, `Vinculacion`) VALUES ('139','79652526','EDWIN ROBERTO AMADO NIÑO','Dirección de Investigaciones y Control de Vivienda','','3108160084','edwin.amado@habitatbogota.gov.co','CONTRATISTA');</v>
      </c>
    </row>
    <row r="147" spans="1:9" ht="14.4" x14ac:dyDescent="0.3">
      <c r="A147" s="16">
        <f t="shared" si="4"/>
        <v>140</v>
      </c>
      <c r="B147" s="6">
        <v>79954325</v>
      </c>
      <c r="C147" s="17" t="s">
        <v>1965</v>
      </c>
      <c r="D147" s="6" t="s">
        <v>434</v>
      </c>
      <c r="E147" s="6" t="s">
        <v>2198</v>
      </c>
      <c r="F147" s="6">
        <v>3142398567</v>
      </c>
      <c r="G147" s="8" t="s">
        <v>1967</v>
      </c>
      <c r="H147" s="24" t="s">
        <v>2209</v>
      </c>
      <c r="I147" s="37" t="str">
        <f t="shared" si="5"/>
        <v>INSERT INTO `parqueadero`.`conductor` (`Oid`, `IdConductor`, `Nombre`, `Area`, `Piso`, `Celular`, `correo`, `Vinculacion`) VALUES ('140','79954325','EDWIN YAMID ORTÍZ SALAS','Dirección Administrativa','Piso 12','3142398567','edwin.ortiz@habitatbogota.gov.co','CONTRATISTA');</v>
      </c>
    </row>
    <row r="148" spans="1:9" ht="14.4" x14ac:dyDescent="0.3">
      <c r="A148" s="16">
        <f t="shared" si="4"/>
        <v>141</v>
      </c>
      <c r="B148" s="6">
        <v>79605849</v>
      </c>
      <c r="C148" s="17" t="s">
        <v>1292</v>
      </c>
      <c r="D148" s="17" t="s">
        <v>207</v>
      </c>
      <c r="E148" s="17"/>
      <c r="F148" s="6">
        <v>3114527947</v>
      </c>
      <c r="G148" s="8" t="s">
        <v>1293</v>
      </c>
      <c r="H148" s="24" t="s">
        <v>119</v>
      </c>
      <c r="I148" s="37" t="str">
        <f t="shared" si="5"/>
        <v>INSERT INTO `parqueadero`.`conductor` (`Oid`, `IdConductor`, `Nombre`, `Area`, `Piso`, `Celular`, `correo`, `Vinculacion`) VALUES ('141','79605849','EFREN EMIGDIO CARDENAS BERMUDEZ','Dirección de Gestión de Suelo','','3114527947','efren.cardenas@habitatbogota.gov.co','FUNCIONARIO');</v>
      </c>
    </row>
    <row r="149" spans="1:9" ht="14.4" x14ac:dyDescent="0.3">
      <c r="A149" s="16">
        <f t="shared" si="4"/>
        <v>142</v>
      </c>
      <c r="B149" s="6">
        <v>32711441</v>
      </c>
      <c r="C149" s="17" t="s">
        <v>1478</v>
      </c>
      <c r="D149" s="6" t="s">
        <v>1562</v>
      </c>
      <c r="E149" s="6" t="s">
        <v>2200</v>
      </c>
      <c r="F149" s="6">
        <v>3008790148</v>
      </c>
      <c r="G149" s="8" t="s">
        <v>1479</v>
      </c>
      <c r="H149" s="24" t="s">
        <v>1280</v>
      </c>
      <c r="I149" s="37" t="str">
        <f t="shared" si="5"/>
        <v>INSERT INTO `parqueadero`.`conductor` (`Oid`, `IdConductor`, `Nombre`, `Area`, `Piso`, `Celular`, `correo`, `Vinculacion`) VALUES ('142','32711441','ELIZABETH MOZO CRUZ','Dirección Financiera','Piso 11','3008790148','elizabeth.mozo@aspsols.com','EXTERNO');</v>
      </c>
    </row>
    <row r="150" spans="1:9" ht="14.4" x14ac:dyDescent="0.3">
      <c r="A150" s="16">
        <f t="shared" si="4"/>
        <v>143</v>
      </c>
      <c r="B150" s="6">
        <v>84102209</v>
      </c>
      <c r="C150" s="17" t="s">
        <v>1990</v>
      </c>
      <c r="D150" s="6" t="s">
        <v>434</v>
      </c>
      <c r="E150" s="6" t="s">
        <v>2198</v>
      </c>
      <c r="F150" s="6">
        <v>3013739116</v>
      </c>
      <c r="G150" s="8" t="s">
        <v>1992</v>
      </c>
      <c r="H150" s="24" t="s">
        <v>2209</v>
      </c>
      <c r="I150" s="37" t="str">
        <f t="shared" si="5"/>
        <v>INSERT INTO `parqueadero`.`conductor` (`Oid`, `IdConductor`, `Nombre`, `Area`, `Piso`, `Celular`, `correo`, `Vinculacion`) VALUES ('143','84102209','ENEYDER JAVIER LÓPEZ POLOCHE','Dirección Administrativa','Piso 12','3013739116','javier.lopez@habitatbogota.gov.co','CONTRATISTA');</v>
      </c>
    </row>
    <row r="151" spans="1:9" ht="14.4" x14ac:dyDescent="0.3">
      <c r="A151" s="16">
        <f t="shared" si="4"/>
        <v>144</v>
      </c>
      <c r="B151" s="6">
        <v>1031166153</v>
      </c>
      <c r="C151" s="17" t="s">
        <v>1705</v>
      </c>
      <c r="D151" s="6" t="s">
        <v>1702</v>
      </c>
      <c r="E151" s="6"/>
      <c r="F151" s="6">
        <v>3044630215</v>
      </c>
      <c r="G151" s="8" t="s">
        <v>1706</v>
      </c>
      <c r="H151" s="24" t="s">
        <v>1280</v>
      </c>
      <c r="I151" s="37" t="str">
        <f t="shared" si="5"/>
        <v>INSERT INTO `parqueadero`.`conductor` (`Oid`, `IdConductor`, `Nombre`, `Area`, `Piso`, `Celular`, `correo`, `Vinculacion`) VALUES ('144','1031166153','ERIKA ALEJANDRA BARRIGA MUÑOZ','UT Clean Colombia','','3044630215','erikaalejandra1614@gmail.com','EXTERNO');</v>
      </c>
    </row>
    <row r="152" spans="1:9" ht="14.4" x14ac:dyDescent="0.3">
      <c r="A152" s="16">
        <f t="shared" si="4"/>
        <v>145</v>
      </c>
      <c r="B152" s="6">
        <v>1049632235</v>
      </c>
      <c r="C152" s="17" t="s">
        <v>1134</v>
      </c>
      <c r="D152" s="6" t="s">
        <v>500</v>
      </c>
      <c r="E152" s="6"/>
      <c r="F152" s="6">
        <v>3023671569</v>
      </c>
      <c r="G152" s="8" t="s">
        <v>1136</v>
      </c>
      <c r="H152" s="24" t="s">
        <v>2209</v>
      </c>
      <c r="I152" s="37" t="str">
        <f t="shared" si="5"/>
        <v>INSERT INTO `parqueadero`.`conductor` (`Oid`, `IdConductor`, `Nombre`, `Area`, `Piso`, `Celular`, `correo`, `Vinculacion`) VALUES ('145','1049632235','ERIKA JULIEHT SÁNCHEZ TRIVIÑO','Dirección de Financiación de Vivienda','','3023671569','erika.sanchez@habitatbogota.gov.co','CONTRATISTA');</v>
      </c>
    </row>
    <row r="153" spans="1:9" ht="14.4" x14ac:dyDescent="0.3">
      <c r="A153" s="16">
        <f t="shared" si="4"/>
        <v>146</v>
      </c>
      <c r="B153" s="6">
        <v>52152263</v>
      </c>
      <c r="C153" s="17" t="s">
        <v>840</v>
      </c>
      <c r="D153" s="6" t="s">
        <v>2109</v>
      </c>
      <c r="E153" s="6"/>
      <c r="F153" s="6">
        <v>3203940357</v>
      </c>
      <c r="G153" s="8" t="s">
        <v>842</v>
      </c>
      <c r="H153" s="24" t="s">
        <v>2209</v>
      </c>
      <c r="I153" s="37" t="str">
        <f t="shared" si="5"/>
        <v>INSERT INTO `parqueadero`.`conductor` (`Oid`, `IdConductor`, `Nombre`, `Area`, `Piso`, `Celular`, `correo`, `Vinculacion`) VALUES ('146','52152263','ERIKA MARIA BLANCO VARGAS','Dirección de Estructuracion de Proyectos','','3203940357','erika.blancov@habitatbogota.gov.co','CONTRATISTA');</v>
      </c>
    </row>
    <row r="154" spans="1:9" ht="14.4" x14ac:dyDescent="0.3">
      <c r="A154" s="16">
        <f t="shared" si="4"/>
        <v>147</v>
      </c>
      <c r="B154" s="6">
        <v>1019093180</v>
      </c>
      <c r="C154" s="17" t="s">
        <v>1383</v>
      </c>
      <c r="D154" s="6" t="s">
        <v>325</v>
      </c>
      <c r="E154" s="6"/>
      <c r="F154" s="6">
        <v>3022498107</v>
      </c>
      <c r="G154" s="8" t="s">
        <v>1385</v>
      </c>
      <c r="H154" s="24" t="s">
        <v>2209</v>
      </c>
      <c r="I154" s="37" t="str">
        <f t="shared" si="5"/>
        <v>INSERT INTO `parqueadero`.`conductor` (`Oid`, `IdConductor`, `Nombre`, `Area`, `Piso`, `Celular`, `correo`, `Vinculacion`) VALUES ('147','1019093180','EVELIN PEÑA TOMANN','Dirección de Operaciones','','3022498107','evelin.pena@habitatbogota.gov.co','CONTRATISTA');</v>
      </c>
    </row>
    <row r="155" spans="1:9" ht="14.4" x14ac:dyDescent="0.3">
      <c r="A155" s="16">
        <f t="shared" si="4"/>
        <v>148</v>
      </c>
      <c r="B155" s="6">
        <v>52777129</v>
      </c>
      <c r="C155" s="17" t="s">
        <v>726</v>
      </c>
      <c r="D155" s="6" t="s">
        <v>587</v>
      </c>
      <c r="E155" s="6"/>
      <c r="F155" s="6">
        <v>3212128327</v>
      </c>
      <c r="G155" s="8" t="s">
        <v>728</v>
      </c>
      <c r="H155" s="24" t="s">
        <v>2209</v>
      </c>
      <c r="I155" s="37" t="str">
        <f t="shared" si="5"/>
        <v>INSERT INTO `parqueadero`.`conductor` (`Oid`, `IdConductor`, `Nombre`, `Area`, `Piso`, `Celular`, `correo`, `Vinculacion`) VALUES ('148','52777129','FABIOLA ANDREA RODRIGUEZ ESQUIVEL','Dirección de Apoyo a la Contrucción','','3212128327','fabiola.rodriguez@habitatbogota.gov.co','CONTRATISTA');</v>
      </c>
    </row>
    <row r="156" spans="1:9" ht="14.4" x14ac:dyDescent="0.3">
      <c r="A156" s="16">
        <f t="shared" si="4"/>
        <v>149</v>
      </c>
      <c r="B156" s="6">
        <v>1030524007</v>
      </c>
      <c r="C156" s="17" t="s">
        <v>2234</v>
      </c>
      <c r="D156" s="17" t="s">
        <v>299</v>
      </c>
      <c r="E156" s="17"/>
      <c r="F156" s="6">
        <v>3203872487</v>
      </c>
      <c r="G156" s="8" t="s">
        <v>235</v>
      </c>
      <c r="H156" s="24" t="s">
        <v>2209</v>
      </c>
      <c r="I156" s="37" t="str">
        <f t="shared" si="5"/>
        <v>INSERT INTO `parqueadero`.`conductor` (`Oid`, `IdConductor`, `Nombre`, `Area`, `Piso`, `Celular`, `correo`, `Vinculacion`) VALUES ('149','1030524007','FELIX ALEXANDER LOPEZ ANZOLA','Despacho','','3203872487','felix.lopez@habitatbogota.gov.co','CONTRATISTA');</v>
      </c>
    </row>
    <row r="157" spans="1:9" ht="14.4" x14ac:dyDescent="0.3">
      <c r="A157" s="16">
        <f t="shared" si="4"/>
        <v>150</v>
      </c>
      <c r="B157" s="6">
        <v>79466477</v>
      </c>
      <c r="C157" s="17" t="s">
        <v>2235</v>
      </c>
      <c r="D157" s="6" t="s">
        <v>325</v>
      </c>
      <c r="E157" s="6"/>
      <c r="F157" s="6">
        <v>3192525405</v>
      </c>
      <c r="G157" s="8" t="s">
        <v>420</v>
      </c>
      <c r="H157" s="24" t="s">
        <v>2209</v>
      </c>
      <c r="I157" s="37" t="str">
        <f t="shared" si="5"/>
        <v>INSERT INTO `parqueadero`.`conductor` (`Oid`, `IdConductor`, `Nombre`, `Area`, `Piso`, `Celular`, `correo`, `Vinculacion`) VALUES ('150','79466477','FERNANDO BARBOSA OSORIO','Dirección de Operaciones','','3192525405','fernando.barbosa@habitatbogota.gov.co','CONTRATISTA');</v>
      </c>
    </row>
    <row r="158" spans="1:9" ht="14.4" x14ac:dyDescent="0.3">
      <c r="A158" s="16">
        <f t="shared" si="4"/>
        <v>151</v>
      </c>
      <c r="B158" s="6">
        <v>79794570</v>
      </c>
      <c r="C158" s="17" t="s">
        <v>1233</v>
      </c>
      <c r="D158" s="17" t="s">
        <v>207</v>
      </c>
      <c r="E158" s="17"/>
      <c r="F158" s="6">
        <v>3002715302</v>
      </c>
      <c r="G158" s="8" t="s">
        <v>333</v>
      </c>
      <c r="H158" s="24" t="s">
        <v>2209</v>
      </c>
      <c r="I158" s="37" t="str">
        <f t="shared" si="5"/>
        <v>INSERT INTO `parqueadero`.`conductor` (`Oid`, `IdConductor`, `Nombre`, `Area`, `Piso`, `Celular`, `correo`, `Vinculacion`) VALUES ('151','79794570','FERNANDO PARRA QUIRÓS','Dirección de Gestión de Suelo','','3002715302','mary.batero@habitatbogota.gov.co','CONTRATISTA');</v>
      </c>
    </row>
    <row r="159" spans="1:9" ht="14.4" x14ac:dyDescent="0.3">
      <c r="A159" s="16">
        <f t="shared" si="4"/>
        <v>152</v>
      </c>
      <c r="B159" s="13">
        <v>79795088</v>
      </c>
      <c r="C159" s="24" t="s">
        <v>1874</v>
      </c>
      <c r="D159" s="6" t="s">
        <v>270</v>
      </c>
      <c r="E159" s="6"/>
      <c r="F159" s="13">
        <v>3106630246</v>
      </c>
      <c r="G159" s="8" t="s">
        <v>1875</v>
      </c>
      <c r="H159" s="24" t="s">
        <v>119</v>
      </c>
      <c r="I159" s="37" t="str">
        <f t="shared" si="5"/>
        <v>INSERT INTO `parqueadero`.`conductor` (`Oid`, `IdConductor`, `Nombre`, `Area`, `Piso`, `Celular`, `correo`, `Vinculacion`) VALUES ('152','79795088','FLAVIO ENRIQUE DAZA ROJAS','Dirección de Investigaciones y Control de Vivienda','','3106630246','flavio.daza@habitatbogota.gov.co','FUNCIONARIO');</v>
      </c>
    </row>
    <row r="160" spans="1:9" ht="14.4" x14ac:dyDescent="0.3">
      <c r="A160" s="16">
        <f t="shared" si="4"/>
        <v>153</v>
      </c>
      <c r="B160" s="6">
        <v>1094272550</v>
      </c>
      <c r="C160" s="17" t="s">
        <v>1773</v>
      </c>
      <c r="D160" s="6" t="s">
        <v>500</v>
      </c>
      <c r="E160" s="6"/>
      <c r="F160" s="6">
        <v>3004336661</v>
      </c>
      <c r="G160" s="8" t="s">
        <v>1775</v>
      </c>
      <c r="H160" s="24" t="s">
        <v>2209</v>
      </c>
      <c r="I160" s="37" t="str">
        <f t="shared" si="5"/>
        <v>INSERT INTO `parqueadero`.`conductor` (`Oid`, `IdConductor`, `Nombre`, `Area`, `Piso`, `Celular`, `correo`, `Vinculacion`) VALUES ('153','1094272550','FRANCISCO JAVIER RODRÍGUEZ CONTRERAS','Dirección de Financiación de Vivienda','','3004336661','francisco.rodriguez@habitatbogota.gov.co','CONTRATISTA');</v>
      </c>
    </row>
    <row r="161" spans="1:9" ht="14.4" x14ac:dyDescent="0.3">
      <c r="A161" s="16">
        <f t="shared" si="4"/>
        <v>154</v>
      </c>
      <c r="B161" s="6">
        <v>1042417351</v>
      </c>
      <c r="C161" s="17" t="s">
        <v>2236</v>
      </c>
      <c r="D161" s="17" t="s">
        <v>2011</v>
      </c>
      <c r="E161" s="17"/>
      <c r="F161" s="6">
        <v>3103832562</v>
      </c>
      <c r="G161" s="8" t="s">
        <v>142</v>
      </c>
      <c r="H161" s="24" t="s">
        <v>119</v>
      </c>
      <c r="I161" s="37" t="str">
        <f t="shared" si="5"/>
        <v>INSERT INTO `parqueadero`.`conductor` (`Oid`, `IdConductor`, `Nombre`, `Area`, `Piso`, `Celular`, `correo`, `Vinculacion`) VALUES ('154','1042417351','FRANCISCO PÉREZ MARTÍNEZ','Oficina de Control Disciplinario Interno','','3103832562','francisco.perez@habitatbogota.gov.co','FUNCIONARIO');</v>
      </c>
    </row>
    <row r="162" spans="1:9" ht="14.4" x14ac:dyDescent="0.3">
      <c r="A162" s="16">
        <f t="shared" si="4"/>
        <v>155</v>
      </c>
      <c r="B162" s="6">
        <v>80767685</v>
      </c>
      <c r="C162" s="17" t="s">
        <v>1962</v>
      </c>
      <c r="D162" s="6" t="s">
        <v>285</v>
      </c>
      <c r="E162" s="6"/>
      <c r="F162" s="6">
        <v>3114519936</v>
      </c>
      <c r="G162" s="8" t="s">
        <v>1964</v>
      </c>
      <c r="H162" s="24" t="s">
        <v>2209</v>
      </c>
      <c r="I162" s="37" t="str">
        <f t="shared" si="5"/>
        <v>INSERT INTO `parqueadero`.`conductor` (`Oid`, `IdConductor`, `Nombre`, `Area`, `Piso`, `Celular`, `correo`, `Vinculacion`) VALUES ('155','80767685','FRANK DAVID BARRERA SANTOS','Oficina Asesora de Planeación','','3114519936','frank.barrera@habitatbogota.gov.co','CONTRATISTA');</v>
      </c>
    </row>
    <row r="163" spans="1:9" ht="14.4" x14ac:dyDescent="0.3">
      <c r="A163" s="16">
        <f t="shared" si="4"/>
        <v>156</v>
      </c>
      <c r="B163" s="17">
        <v>1120747558</v>
      </c>
      <c r="C163" s="17" t="s">
        <v>2045</v>
      </c>
      <c r="D163" s="17" t="s">
        <v>1395</v>
      </c>
      <c r="E163" s="17"/>
      <c r="F163" s="17">
        <v>3216992593</v>
      </c>
      <c r="G163" s="8" t="s">
        <v>2047</v>
      </c>
      <c r="H163" s="24" t="s">
        <v>2209</v>
      </c>
      <c r="I163" s="37" t="str">
        <f t="shared" si="5"/>
        <v>INSERT INTO `parqueadero`.`conductor` (`Oid`, `IdConductor`, `Nombre`, `Area`, `Piso`, `Celular`, `correo`, `Vinculacion`) VALUES ('156','1120747558','FREDDY ANDRÉS ALTAMAR BULA','Dirección de Servicios Públicos','','3216992593','freddy.altamar@habitatbogota.gov.co','CONTRATISTA');</v>
      </c>
    </row>
    <row r="164" spans="1:9" ht="14.4" x14ac:dyDescent="0.3">
      <c r="A164" s="16">
        <f t="shared" si="4"/>
        <v>157</v>
      </c>
      <c r="B164" s="6">
        <v>79841486</v>
      </c>
      <c r="C164" s="17" t="s">
        <v>1681</v>
      </c>
      <c r="D164" s="17" t="s">
        <v>1041</v>
      </c>
      <c r="E164" s="17"/>
      <c r="F164" s="6">
        <v>3118912104</v>
      </c>
      <c r="G164" s="8" t="s">
        <v>1683</v>
      </c>
      <c r="H164" s="24" t="s">
        <v>2209</v>
      </c>
      <c r="I164" s="37" t="str">
        <f t="shared" si="5"/>
        <v>INSERT INTO `parqueadero`.`conductor` (`Oid`, `IdConductor`, `Nombre`, `Area`, `Piso`, `Celular`, `correo`, `Vinculacion`) VALUES ('157','79841486','FREDI YECID MUNAR VERANO','Dirección de Hábitat y Entorno','','3118912104','fredi.munar@habitatbogota.gov.co','CONTRATISTA');</v>
      </c>
    </row>
    <row r="165" spans="1:9" ht="14.4" x14ac:dyDescent="0.3">
      <c r="A165" s="16">
        <f t="shared" si="4"/>
        <v>158</v>
      </c>
      <c r="B165" s="6">
        <v>2996355</v>
      </c>
      <c r="C165" s="17" t="s">
        <v>2237</v>
      </c>
      <c r="D165" s="6" t="s">
        <v>434</v>
      </c>
      <c r="E165" s="6" t="s">
        <v>2198</v>
      </c>
      <c r="F165" s="6"/>
      <c r="G165" s="8" t="s">
        <v>1444</v>
      </c>
      <c r="H165" s="24" t="s">
        <v>119</v>
      </c>
      <c r="I165" s="37" t="str">
        <f t="shared" si="5"/>
        <v>INSERT INTO `parqueadero`.`conductor` (`Oid`, `IdConductor`, `Nombre`, `Area`, `Piso`, `Celular`, `correo`, `Vinculacion`) VALUES ('158','2996355','FREDY DARIO CRUZ GARCÍA','Dirección Administrativa','Piso 12','','fredy.cruz@habitatbogota.gov.co','FUNCIONARIO');</v>
      </c>
    </row>
    <row r="166" spans="1:9" ht="14.4" x14ac:dyDescent="0.3">
      <c r="A166" s="16">
        <f t="shared" si="4"/>
        <v>159</v>
      </c>
      <c r="B166" s="6">
        <v>80085952</v>
      </c>
      <c r="C166" s="17" t="s">
        <v>999</v>
      </c>
      <c r="D166" s="6" t="s">
        <v>201</v>
      </c>
      <c r="E166" s="6"/>
      <c r="F166" s="6">
        <v>3012185822</v>
      </c>
      <c r="G166" s="8" t="s">
        <v>1001</v>
      </c>
      <c r="H166" s="24" t="s">
        <v>2209</v>
      </c>
      <c r="I166" s="37" t="str">
        <f t="shared" si="5"/>
        <v>INSERT INTO `parqueadero`.`conductor` (`Oid`, `IdConductor`, `Nombre`, `Area`, `Piso`, `Celular`, `correo`, `Vinculacion`) VALUES ('159','80085952','GABRIEL AUGUSTO CANCINO ZAPATA','Dirección de Mejoramiento Habitacional','','3012185822','gabriel.cancino@habitatbogota.gov.co','CONTRATISTA');</v>
      </c>
    </row>
    <row r="167" spans="1:9" ht="14.4" x14ac:dyDescent="0.3">
      <c r="A167" s="16">
        <f t="shared" si="4"/>
        <v>160</v>
      </c>
      <c r="B167" s="17">
        <v>1136888167</v>
      </c>
      <c r="C167" s="17" t="s">
        <v>1163</v>
      </c>
      <c r="D167" s="6" t="s">
        <v>1353</v>
      </c>
      <c r="E167" s="6"/>
      <c r="F167" s="17">
        <v>3143582790</v>
      </c>
      <c r="G167" s="8" t="s">
        <v>1165</v>
      </c>
      <c r="H167" s="24" t="s">
        <v>2209</v>
      </c>
      <c r="I167" s="37" t="str">
        <f t="shared" si="5"/>
        <v>INSERT INTO `parqueadero`.`conductor` (`Oid`, `IdConductor`, `Nombre`, `Area`, `Piso`, `Celular`, `correo`, `Vinculacion`) VALUES ('160','1136888167','GENNA PAMELA MARTINEZ GUANA','Oficina Asesora de Comunicaciones','','3143582790','genna.martinez@habitatbogota.gov.co','CONTRATISTA');</v>
      </c>
    </row>
    <row r="168" spans="1:9" ht="14.4" x14ac:dyDescent="0.3">
      <c r="A168" s="16">
        <f t="shared" si="4"/>
        <v>161</v>
      </c>
      <c r="B168" s="6">
        <v>1010222727</v>
      </c>
      <c r="C168" s="17" t="s">
        <v>311</v>
      </c>
      <c r="D168" s="6" t="s">
        <v>1562</v>
      </c>
      <c r="E168" s="6" t="s">
        <v>2200</v>
      </c>
      <c r="F168" s="6">
        <v>3212732590</v>
      </c>
      <c r="G168" s="8" t="s">
        <v>313</v>
      </c>
      <c r="H168" s="24" t="s">
        <v>2209</v>
      </c>
      <c r="I168" s="37" t="str">
        <f t="shared" si="5"/>
        <v>INSERT INTO `parqueadero`.`conductor` (`Oid`, `IdConductor`, `Nombre`, `Area`, `Piso`, `Celular`, `correo`, `Vinculacion`) VALUES ('161','1010222727','GERMAN ANDRES ORTIZ SABOGAL','Dirección Financiera','Piso 11','3212732590','german.ortiz@habitatbogota.gov.co','CONTRATISTA');</v>
      </c>
    </row>
    <row r="169" spans="1:9" ht="14.4" x14ac:dyDescent="0.3">
      <c r="A169" s="16">
        <f t="shared" si="4"/>
        <v>162</v>
      </c>
      <c r="B169" s="17">
        <v>11185678</v>
      </c>
      <c r="C169" s="17" t="s">
        <v>243</v>
      </c>
      <c r="D169" s="6" t="s">
        <v>434</v>
      </c>
      <c r="E169" s="6" t="s">
        <v>2198</v>
      </c>
      <c r="F169" s="17">
        <v>3204437547</v>
      </c>
      <c r="G169" s="8" t="s">
        <v>245</v>
      </c>
      <c r="H169" s="24" t="s">
        <v>2209</v>
      </c>
      <c r="I169" s="37" t="str">
        <f t="shared" si="5"/>
        <v>INSERT INTO `parqueadero`.`conductor` (`Oid`, `IdConductor`, `Nombre`, `Area`, `Piso`, `Celular`, `correo`, `Vinculacion`) VALUES ('162','11185678','GIOVANNI SOTO CAGUA','Dirección Administrativa','Piso 12','3204437547','giovanni.soto@habitatbogota.gov.co','CONTRATISTA');</v>
      </c>
    </row>
    <row r="170" spans="1:9" ht="14.4" x14ac:dyDescent="0.3">
      <c r="A170" s="16">
        <f t="shared" si="4"/>
        <v>163</v>
      </c>
      <c r="B170" s="6">
        <v>51563303</v>
      </c>
      <c r="C170" s="17" t="s">
        <v>898</v>
      </c>
      <c r="D170" s="6" t="s">
        <v>500</v>
      </c>
      <c r="E170" s="6"/>
      <c r="F170" s="6">
        <v>3003942680</v>
      </c>
      <c r="G170" s="8" t="s">
        <v>900</v>
      </c>
      <c r="H170" s="24" t="s">
        <v>2209</v>
      </c>
      <c r="I170" s="37" t="str">
        <f t="shared" si="5"/>
        <v>INSERT INTO `parqueadero`.`conductor` (`Oid`, `IdConductor`, `Nombre`, `Area`, `Piso`, `Celular`, `correo`, `Vinculacion`) VALUES ('163','51563303','GLADYS LUNA GAONA','Dirección de Financiación de Vivienda','','3003942680','gladys.luna@habitatbogota.gov.co','CONTRATISTA');</v>
      </c>
    </row>
    <row r="171" spans="1:9" ht="14.4" x14ac:dyDescent="0.3">
      <c r="A171" s="16">
        <f t="shared" si="4"/>
        <v>164</v>
      </c>
      <c r="B171" s="6">
        <v>1032357287</v>
      </c>
      <c r="C171" s="17" t="s">
        <v>25</v>
      </c>
      <c r="D171" s="6" t="s">
        <v>500</v>
      </c>
      <c r="E171" s="6"/>
      <c r="F171" s="6">
        <v>3058197451</v>
      </c>
      <c r="G171" s="8" t="s">
        <v>27</v>
      </c>
      <c r="H171" s="24" t="s">
        <v>2209</v>
      </c>
      <c r="I171" s="37" t="str">
        <f t="shared" si="5"/>
        <v>INSERT INTO `parqueadero`.`conductor` (`Oid`, `IdConductor`, `Nombre`, `Area`, `Piso`, `Celular`, `correo`, `Vinculacion`) VALUES ('164','1032357287','GUILLERMO ANDRES PALACIOS LOPEZ','Dirección de Financiación de Vivienda','','3058197451','guillermo.palacios@habitatbogota.gov.co','CONTRATISTA');</v>
      </c>
    </row>
    <row r="172" spans="1:9" ht="14.4" x14ac:dyDescent="0.3">
      <c r="A172" s="16">
        <f t="shared" si="4"/>
        <v>165</v>
      </c>
      <c r="B172" s="6">
        <v>79547192</v>
      </c>
      <c r="C172" s="17" t="s">
        <v>1241</v>
      </c>
      <c r="D172" s="6" t="s">
        <v>434</v>
      </c>
      <c r="E172" s="6" t="s">
        <v>2198</v>
      </c>
      <c r="F172" s="6">
        <v>3024403891</v>
      </c>
      <c r="G172" s="8" t="s">
        <v>1242</v>
      </c>
      <c r="H172" s="24" t="s">
        <v>119</v>
      </c>
      <c r="I172" s="37" t="str">
        <f t="shared" si="5"/>
        <v>INSERT INTO `parqueadero`.`conductor` (`Oid`, `IdConductor`, `Nombre`, `Area`, `Piso`, `Celular`, `correo`, `Vinculacion`) VALUES ('165','79547192','GUILLERMO ROJAS','Dirección Administrativa','Piso 12','3024403891','guillors@hotmail.com','FUNCIONARIO');</v>
      </c>
    </row>
    <row r="173" spans="1:9" ht="14.4" x14ac:dyDescent="0.3">
      <c r="A173" s="16">
        <f t="shared" si="4"/>
        <v>166</v>
      </c>
      <c r="B173" s="6">
        <v>1030636071</v>
      </c>
      <c r="C173" s="17" t="s">
        <v>1026</v>
      </c>
      <c r="D173" s="6" t="s">
        <v>1338</v>
      </c>
      <c r="E173" s="6"/>
      <c r="F173" s="6">
        <v>3123964150</v>
      </c>
      <c r="G173" s="8" t="s">
        <v>1028</v>
      </c>
      <c r="H173" s="24" t="s">
        <v>2209</v>
      </c>
      <c r="I173" s="37" t="str">
        <f t="shared" si="5"/>
        <v>INSERT INTO `parqueadero`.`conductor` (`Oid`, `IdConductor`, `Nombre`, `Area`, `Piso`, `Celular`, `correo`, `Vinculacion`) VALUES ('166','1030636071','HARLEY FERNEY FERNÁNDEZ ALVARADO','Oficina de Participación y Relacionamiento con la Ciudadanía','','3123964150','harley.fernandez@habitatbogota.gov.co','CONTRATISTA');</v>
      </c>
    </row>
    <row r="174" spans="1:9" ht="14.4" x14ac:dyDescent="0.3">
      <c r="A174" s="16">
        <f t="shared" si="4"/>
        <v>167</v>
      </c>
      <c r="B174" s="6">
        <v>1002524810</v>
      </c>
      <c r="C174" s="17" t="s">
        <v>1153</v>
      </c>
      <c r="D174" s="6" t="s">
        <v>1338</v>
      </c>
      <c r="E174" s="6"/>
      <c r="F174" s="6">
        <v>1002524810</v>
      </c>
      <c r="G174" s="8" t="s">
        <v>1155</v>
      </c>
      <c r="H174" s="24" t="s">
        <v>2209</v>
      </c>
      <c r="I174" s="37" t="str">
        <f t="shared" si="5"/>
        <v>INSERT INTO `parqueadero`.`conductor` (`Oid`, `IdConductor`, `Nombre`, `Area`, `Piso`, `Celular`, `correo`, `Vinculacion`) VALUES ('167','1002524810','HAROL SANTIAGO NUÑEZ PEÑA','Oficina de Participación y Relacionamiento con la Ciudadanía','','1002524810','harol.nunez@habitatbogota.gov.co','CONTRATISTA');</v>
      </c>
    </row>
    <row r="175" spans="1:9" ht="14.4" x14ac:dyDescent="0.3">
      <c r="A175" s="16">
        <f t="shared" si="4"/>
        <v>168</v>
      </c>
      <c r="B175" s="6">
        <v>88220846</v>
      </c>
      <c r="C175" s="17" t="s">
        <v>82</v>
      </c>
      <c r="D175" s="6" t="s">
        <v>500</v>
      </c>
      <c r="E175" s="6"/>
      <c r="F175" s="6">
        <v>3203005342</v>
      </c>
      <c r="G175" s="8" t="s">
        <v>84</v>
      </c>
      <c r="H175" s="24" t="s">
        <v>2209</v>
      </c>
      <c r="I175" s="37" t="str">
        <f t="shared" si="5"/>
        <v>INSERT INTO `parqueadero`.`conductor` (`Oid`, `IdConductor`, `Nombre`, `Area`, `Piso`, `Celular`, `correo`, `Vinculacion`) VALUES ('168','88220846','HELIZANDER VERA CASTRO','Dirección de Financiación de Vivienda','','3203005342','helizander.vera@habitatbogota.gov.co','CONTRATISTA');</v>
      </c>
    </row>
    <row r="176" spans="1:9" ht="14.4" x14ac:dyDescent="0.3">
      <c r="A176" s="16">
        <f t="shared" si="4"/>
        <v>169</v>
      </c>
      <c r="B176" s="6">
        <v>1019131919</v>
      </c>
      <c r="C176" s="17" t="s">
        <v>974</v>
      </c>
      <c r="D176" s="6" t="s">
        <v>1338</v>
      </c>
      <c r="E176" s="6"/>
      <c r="F176" s="6">
        <v>3214139115</v>
      </c>
      <c r="G176" s="8" t="s">
        <v>976</v>
      </c>
      <c r="H176" s="24" t="s">
        <v>2209</v>
      </c>
      <c r="I176" s="37" t="str">
        <f t="shared" si="5"/>
        <v>INSERT INTO `parqueadero`.`conductor` (`Oid`, `IdConductor`, `Nombre`, `Area`, `Piso`, `Celular`, `correo`, `Vinculacion`) VALUES ('169','1019131919','HENRY DUVAN LEÓN REYES','Oficina de Participación y Relacionamiento con la Ciudadanía','','3214139115','henry.leon@habitatbogota.gov.co','CONTRATISTA');</v>
      </c>
    </row>
    <row r="177" spans="1:9" ht="14.4" x14ac:dyDescent="0.3">
      <c r="A177" s="16">
        <f t="shared" si="4"/>
        <v>170</v>
      </c>
      <c r="B177" s="6">
        <v>1018431754</v>
      </c>
      <c r="C177" s="17" t="s">
        <v>1585</v>
      </c>
      <c r="D177" s="6" t="s">
        <v>1905</v>
      </c>
      <c r="E177" s="6"/>
      <c r="F177" s="6">
        <v>3192887080</v>
      </c>
      <c r="G177" s="8" t="s">
        <v>1586</v>
      </c>
      <c r="H177" s="24" t="s">
        <v>119</v>
      </c>
      <c r="I177" s="37" t="str">
        <f t="shared" si="5"/>
        <v>INSERT INTO `parqueadero`.`conductor` (`Oid`, `IdConductor`, `Nombre`, `Area`, `Piso`, `Celular`, `correo`, `Vinculacion`) VALUES ('170','1018431754','HERNAN DAVID SANCHEZ ARIAS','Dirección de Contratación','','3192887080','hernan.sanchez@habitatbogota.gov.co','FUNCIONARIO');</v>
      </c>
    </row>
    <row r="178" spans="1:9" ht="14.4" x14ac:dyDescent="0.3">
      <c r="A178" s="16">
        <f t="shared" si="4"/>
        <v>171</v>
      </c>
      <c r="B178" s="6">
        <v>7726196</v>
      </c>
      <c r="C178" s="17" t="s">
        <v>198</v>
      </c>
      <c r="D178" s="6" t="s">
        <v>201</v>
      </c>
      <c r="E178" s="6"/>
      <c r="F178" s="6">
        <v>3112227613</v>
      </c>
      <c r="G178" s="8" t="s">
        <v>200</v>
      </c>
      <c r="H178" s="24" t="s">
        <v>2209</v>
      </c>
      <c r="I178" s="37" t="str">
        <f t="shared" si="5"/>
        <v>INSERT INTO `parqueadero`.`conductor` (`Oid`, `IdConductor`, `Nombre`, `Area`, `Piso`, `Celular`, `correo`, `Vinculacion`) VALUES ('171','7726196','HERNAN JAVIER RODRÍGUEZ CERVANTES','Dirección de Mejoramiento Habitacional','','3112227613','hernan.rodriguezc@habitatbogotá.gov.co','CONTRATISTA');</v>
      </c>
    </row>
    <row r="179" spans="1:9" ht="14.4" x14ac:dyDescent="0.3">
      <c r="A179" s="16">
        <f t="shared" si="4"/>
        <v>172</v>
      </c>
      <c r="B179" s="6">
        <v>1049640375</v>
      </c>
      <c r="C179" s="17" t="s">
        <v>965</v>
      </c>
      <c r="D179" s="6" t="s">
        <v>270</v>
      </c>
      <c r="E179" s="6"/>
      <c r="F179" s="6">
        <v>3142417321</v>
      </c>
      <c r="G179" s="8" t="s">
        <v>967</v>
      </c>
      <c r="H179" s="24" t="s">
        <v>2209</v>
      </c>
      <c r="I179" s="37" t="str">
        <f t="shared" si="5"/>
        <v>INSERT INTO `parqueadero`.`conductor` (`Oid`, `IdConductor`, `Nombre`, `Area`, `Piso`, `Celular`, `correo`, `Vinculacion`) VALUES ('172','1049640375','HOLLMAN ANDRÉS SILVA GUZMÁN','Dirección de Investigaciones y Control de Vivienda','','3142417321','hollman.silva@habitatbogota.gov.co','CONTRATISTA');</v>
      </c>
    </row>
    <row r="180" spans="1:9" ht="14.4" x14ac:dyDescent="0.3">
      <c r="A180" s="16">
        <f t="shared" si="4"/>
        <v>173</v>
      </c>
      <c r="B180" s="6">
        <v>63548541</v>
      </c>
      <c r="C180" s="17" t="s">
        <v>1246</v>
      </c>
      <c r="D180" s="6" t="s">
        <v>1229</v>
      </c>
      <c r="E180" s="6"/>
      <c r="F180" s="6">
        <v>3014315127</v>
      </c>
      <c r="G180" s="8" t="s">
        <v>1248</v>
      </c>
      <c r="H180" s="24" t="s">
        <v>2209</v>
      </c>
      <c r="I180" s="37" t="str">
        <f t="shared" si="5"/>
        <v>INSERT INTO `parqueadero`.`conductor` (`Oid`, `IdConductor`, `Nombre`, `Area`, `Piso`, `Celular`, `correo`, `Vinculacion`) VALUES ('173','63548541','INDIRA BELIZA GOENAGA ARIZA','Dirección de Información de Políticas Públicas','','3014315127','indira.goenaga@habitabogota.gov.co','CONTRATISTA');</v>
      </c>
    </row>
    <row r="181" spans="1:9" ht="14.4" x14ac:dyDescent="0.3">
      <c r="A181" s="16">
        <f t="shared" si="4"/>
        <v>174</v>
      </c>
      <c r="B181" s="6">
        <v>51940883</v>
      </c>
      <c r="C181" s="17" t="s">
        <v>739</v>
      </c>
      <c r="D181" s="6" t="s">
        <v>742</v>
      </c>
      <c r="E181" s="6"/>
      <c r="F181" s="6">
        <v>3103348195</v>
      </c>
      <c r="G181" s="8" t="s">
        <v>741</v>
      </c>
      <c r="H181" s="24" t="s">
        <v>2209</v>
      </c>
      <c r="I181" s="37" t="str">
        <f t="shared" si="5"/>
        <v>INSERT INTO `parqueadero`.`conductor` (`Oid`, `IdConductor`, `Nombre`, `Area`, `Piso`, `Celular`, `correo`, `Vinculacion`) VALUES ('174','51940883','INGRID PIEDAD NIÑO BUITRAGO','Gestión Documental','','3103348195','ingrid.nino@habitatbogota.gov.co','CONTRATISTA');</v>
      </c>
    </row>
    <row r="182" spans="1:9" ht="14.4" x14ac:dyDescent="0.3">
      <c r="A182" s="16">
        <f t="shared" si="4"/>
        <v>175</v>
      </c>
      <c r="B182" s="6">
        <v>1001192097</v>
      </c>
      <c r="C182" s="17" t="s">
        <v>296</v>
      </c>
      <c r="D182" s="17" t="s">
        <v>299</v>
      </c>
      <c r="E182" s="17"/>
      <c r="F182" s="6">
        <v>3174248900</v>
      </c>
      <c r="G182" s="8" t="s">
        <v>298</v>
      </c>
      <c r="H182" s="24" t="s">
        <v>2209</v>
      </c>
      <c r="I182" s="37" t="str">
        <f t="shared" si="5"/>
        <v>INSERT INTO `parqueadero`.`conductor` (`Oid`, `IdConductor`, `Nombre`, `Area`, `Piso`, `Celular`, `correo`, `Vinculacion`) VALUES ('175','1001192097','ISABELLA SGUERRA RODRÍGUEZ','Despacho','','3174248900','isabella.sguerra@habitatbogota.gov.co','CONTRATISTA');</v>
      </c>
    </row>
    <row r="183" spans="1:9" ht="14.4" x14ac:dyDescent="0.3">
      <c r="A183" s="16">
        <f t="shared" si="4"/>
        <v>176</v>
      </c>
      <c r="B183" s="6">
        <v>4579016</v>
      </c>
      <c r="C183" s="17" t="s">
        <v>441</v>
      </c>
      <c r="D183" s="6" t="s">
        <v>270</v>
      </c>
      <c r="E183" s="6"/>
      <c r="F183" s="6">
        <v>3169705853</v>
      </c>
      <c r="G183" s="8" t="s">
        <v>442</v>
      </c>
      <c r="H183" s="24" t="s">
        <v>119</v>
      </c>
      <c r="I183" s="37" t="str">
        <f t="shared" si="5"/>
        <v>INSERT INTO `parqueadero`.`conductor` (`Oid`, `IdConductor`, `Nombre`, `Area`, `Piso`, `Celular`, `correo`, `Vinculacion`) VALUES ('176','4579016','IVÁN GIL ISAZA','Dirección de Investigaciones y Control de Vivienda','','3169705853','ivan.gil@habitatbogota.gov.co','FUNCIONARIO');</v>
      </c>
    </row>
    <row r="184" spans="1:9" ht="14.4" x14ac:dyDescent="0.3">
      <c r="A184" s="16">
        <f t="shared" si="4"/>
        <v>177</v>
      </c>
      <c r="B184" s="6">
        <v>80202549</v>
      </c>
      <c r="C184" s="17" t="s">
        <v>1688</v>
      </c>
      <c r="D184" s="6" t="s">
        <v>201</v>
      </c>
      <c r="E184" s="6"/>
      <c r="F184" s="6">
        <v>3147420641</v>
      </c>
      <c r="G184" s="8" t="s">
        <v>1690</v>
      </c>
      <c r="H184" s="24" t="s">
        <v>2209</v>
      </c>
      <c r="I184" s="37" t="str">
        <f t="shared" si="5"/>
        <v>INSERT INTO `parqueadero`.`conductor` (`Oid`, `IdConductor`, `Nombre`, `Area`, `Piso`, `Celular`, `correo`, `Vinculacion`) VALUES ('177','80202549','IVÁN NARVÁEZ FORERO','Dirección de Mejoramiento Habitacional','','3147420641','infconsultorlegal@gmail.com','CONTRATISTA');</v>
      </c>
    </row>
    <row r="185" spans="1:9" ht="14.4" x14ac:dyDescent="0.3">
      <c r="A185" s="16">
        <f t="shared" si="4"/>
        <v>178</v>
      </c>
      <c r="B185" s="6">
        <v>98561766</v>
      </c>
      <c r="C185" s="17" t="s">
        <v>45</v>
      </c>
      <c r="D185" s="6" t="s">
        <v>270</v>
      </c>
      <c r="E185" s="6"/>
      <c r="F185" s="6">
        <v>3173320602</v>
      </c>
      <c r="G185" s="8" t="s">
        <v>2107</v>
      </c>
      <c r="H185" s="24" t="s">
        <v>2209</v>
      </c>
      <c r="I185" s="37" t="str">
        <f t="shared" si="5"/>
        <v>INSERT INTO `parqueadero`.`conductor` (`Oid`, `IdConductor`, `Nombre`, `Area`, `Piso`, `Celular`, `correo`, `Vinculacion`) VALUES ('178','98561766','JAIME HUMBERTO ARBOLEDA RESTREPO','Dirección de Investigaciones y Control de Vivienda','','3173320602','jaime.arboleda@habitatbogota.gov.co','CONTRATISTA');</v>
      </c>
    </row>
    <row r="186" spans="1:9" ht="14.4" x14ac:dyDescent="0.3">
      <c r="A186" s="16">
        <f t="shared" si="4"/>
        <v>179</v>
      </c>
      <c r="B186" s="6">
        <v>7217591</v>
      </c>
      <c r="C186" s="17" t="s">
        <v>694</v>
      </c>
      <c r="D186" s="6" t="s">
        <v>270</v>
      </c>
      <c r="E186" s="6"/>
      <c r="F186" s="6">
        <v>3102059928</v>
      </c>
      <c r="G186" s="8" t="s">
        <v>695</v>
      </c>
      <c r="H186" s="24" t="s">
        <v>119</v>
      </c>
      <c r="I186" s="37" t="str">
        <f t="shared" si="5"/>
        <v>INSERT INTO `parqueadero`.`conductor` (`Oid`, `IdConductor`, `Nombre`, `Area`, `Piso`, `Celular`, `correo`, `Vinculacion`) VALUES ('179','7217591','JAIRO DE JESUS DUITAMA REYES','Dirección de Investigaciones y Control de Vivienda','','3102059928','jairo.duitama@habitatbogota.gov.co','FUNCIONARIO');</v>
      </c>
    </row>
    <row r="187" spans="1:9" ht="14.4" x14ac:dyDescent="0.3">
      <c r="A187" s="16">
        <f t="shared" si="4"/>
        <v>180</v>
      </c>
      <c r="B187" s="6">
        <v>5710812</v>
      </c>
      <c r="C187" s="17" t="s">
        <v>2238</v>
      </c>
      <c r="D187" s="6" t="s">
        <v>270</v>
      </c>
      <c r="E187" s="6"/>
      <c r="F187" s="6">
        <v>3153353328</v>
      </c>
      <c r="G187" s="8" t="s">
        <v>723</v>
      </c>
      <c r="H187" s="24" t="s">
        <v>2209</v>
      </c>
      <c r="I187" s="37" t="str">
        <f t="shared" si="5"/>
        <v>INSERT INTO `parqueadero`.`conductor` (`Oid`, `IdConductor`, `Nombre`, `Area`, `Piso`, `Celular`, `correo`, `Vinculacion`) VALUES ('180','5710812','JAIRO ENRIQUE MOSQUERA PÁEZ','Dirección de Investigaciones y Control de Vivienda','','3153353328','jairo.mosquera@habitatbogota.gov.co','CONTRATISTA');</v>
      </c>
    </row>
    <row r="188" spans="1:9" ht="14.4" x14ac:dyDescent="0.3">
      <c r="A188" s="16">
        <f t="shared" si="4"/>
        <v>181</v>
      </c>
      <c r="B188" s="6">
        <v>1090374848</v>
      </c>
      <c r="C188" s="17" t="s">
        <v>1954</v>
      </c>
      <c r="D188" s="6" t="s">
        <v>201</v>
      </c>
      <c r="E188" s="6"/>
      <c r="F188" s="6">
        <v>3133631892</v>
      </c>
      <c r="G188" s="8" t="s">
        <v>1956</v>
      </c>
      <c r="H188" s="24" t="s">
        <v>2209</v>
      </c>
      <c r="I188" s="37" t="str">
        <f t="shared" si="5"/>
        <v>INSERT INTO `parqueadero`.`conductor` (`Oid`, `IdConductor`, `Nombre`, `Area`, `Piso`, `Celular`, `correo`, `Vinculacion`) VALUES ('181','1090374848','JAMES FERNANDO NÚÑEZ RODRÍGUEZ','Dirección de Mejoramiento Habitacional','','3133631892','james.nunez@habitatbogota.gov.co','CONTRATISTA');</v>
      </c>
    </row>
    <row r="189" spans="1:9" ht="14.4" x14ac:dyDescent="0.3">
      <c r="A189" s="16">
        <f t="shared" si="4"/>
        <v>182</v>
      </c>
      <c r="B189" s="6">
        <v>1020828035</v>
      </c>
      <c r="C189" s="17" t="s">
        <v>1158</v>
      </c>
      <c r="D189" s="6" t="s">
        <v>500</v>
      </c>
      <c r="E189" s="6"/>
      <c r="F189" s="6">
        <v>3223455521</v>
      </c>
      <c r="G189" s="8" t="s">
        <v>1160</v>
      </c>
      <c r="H189" s="24" t="s">
        <v>2209</v>
      </c>
      <c r="I189" s="37" t="str">
        <f t="shared" si="5"/>
        <v>INSERT INTO `parqueadero`.`conductor` (`Oid`, `IdConductor`, `Nombre`, `Area`, `Piso`, `Celular`, `correo`, `Vinculacion`) VALUES ('182','1020828035','JAVIER DE JESUS DELGADO CARCAMO','Dirección de Financiación de Vivienda','','3223455521','javier.delgado@habitatbogota.gov.co','CONTRATISTA');</v>
      </c>
    </row>
    <row r="190" spans="1:9" ht="14.4" x14ac:dyDescent="0.3">
      <c r="A190" s="16">
        <f t="shared" si="4"/>
        <v>183</v>
      </c>
      <c r="B190" s="6">
        <v>1031156687</v>
      </c>
      <c r="C190" s="17" t="s">
        <v>2239</v>
      </c>
      <c r="D190" s="6" t="s">
        <v>2149</v>
      </c>
      <c r="E190" s="6"/>
      <c r="F190" s="6">
        <v>3102338749</v>
      </c>
      <c r="G190" s="8" t="s">
        <v>633</v>
      </c>
      <c r="H190" s="24" t="s">
        <v>2209</v>
      </c>
      <c r="I190" s="37" t="str">
        <f t="shared" si="5"/>
        <v>INSERT INTO `parqueadero`.`conductor` (`Oid`, `IdConductor`, `Nombre`, `Area`, `Piso`, `Celular`, `correo`, `Vinculacion`) VALUES ('183','1031156687','JAVIER FERNANDO CAICEDO MONTOYA','Subsecretaría de Inspección Vigilancia y Control de Vivienda','','3102338749','javier.caicedo@habitatbogota.gov.co','CONTRATISTA');</v>
      </c>
    </row>
    <row r="191" spans="1:9" ht="14.4" x14ac:dyDescent="0.3">
      <c r="A191" s="16">
        <f t="shared" si="4"/>
        <v>184</v>
      </c>
      <c r="B191" s="6">
        <v>32798171</v>
      </c>
      <c r="C191" s="17" t="s">
        <v>1521</v>
      </c>
      <c r="D191" s="6" t="s">
        <v>270</v>
      </c>
      <c r="E191" s="6"/>
      <c r="F191" s="6">
        <v>3212596174</v>
      </c>
      <c r="G191" s="8" t="s">
        <v>1522</v>
      </c>
      <c r="H191" s="24" t="s">
        <v>119</v>
      </c>
      <c r="I191" s="37" t="str">
        <f t="shared" si="5"/>
        <v>INSERT INTO `parqueadero`.`conductor` (`Oid`, `IdConductor`, `Nombre`, `Area`, `Piso`, `Celular`, `correo`, `Vinculacion`) VALUES ('184','32798171','JAZMÍN OROZCO RODRÍGUEZ','Dirección de Investigaciones y Control de Vivienda','','3212596174','jazmin.orozco@habitatbogota.gov.co','FUNCIONARIO');</v>
      </c>
    </row>
    <row r="192" spans="1:9" ht="14.4" x14ac:dyDescent="0.3">
      <c r="A192" s="16">
        <f t="shared" si="4"/>
        <v>185</v>
      </c>
      <c r="B192" s="6">
        <v>79645809</v>
      </c>
      <c r="C192" s="17" t="s">
        <v>1641</v>
      </c>
      <c r="D192" s="6" t="s">
        <v>325</v>
      </c>
      <c r="E192" s="6"/>
      <c r="F192" s="6">
        <v>3212563770</v>
      </c>
      <c r="G192" s="8" t="s">
        <v>1643</v>
      </c>
      <c r="H192" s="24" t="s">
        <v>2209</v>
      </c>
      <c r="I192" s="37" t="str">
        <f t="shared" si="5"/>
        <v>INSERT INTO `parqueadero`.`conductor` (`Oid`, `IdConductor`, `Nombre`, `Area`, `Piso`, `Celular`, `correo`, `Vinculacion`) VALUES ('185','79645809','JEAN ANGARITA VASQUEZ','Dirección de Operaciones','','3212563770','jean.angarita@habitatbogota.gov.co','CONTRATISTA');</v>
      </c>
    </row>
    <row r="193" spans="1:9" ht="14.4" x14ac:dyDescent="0.3">
      <c r="A193" s="16">
        <f t="shared" si="4"/>
        <v>186</v>
      </c>
      <c r="B193" s="6">
        <v>52907657</v>
      </c>
      <c r="C193" s="17" t="s">
        <v>2240</v>
      </c>
      <c r="D193" s="6" t="s">
        <v>2149</v>
      </c>
      <c r="E193" s="6"/>
      <c r="F193" s="6">
        <v>3123779731</v>
      </c>
      <c r="G193" s="8" t="s">
        <v>829</v>
      </c>
      <c r="H193" s="24" t="s">
        <v>2209</v>
      </c>
      <c r="I193" s="37" t="str">
        <f t="shared" si="5"/>
        <v>INSERT INTO `parqueadero`.`conductor` (`Oid`, `IdConductor`, `Nombre`, `Area`, `Piso`, `Celular`, `correo`, `Vinculacion`) VALUES ('186','52907657','JEIMMY LILIANA GÓMEZ OYOLA','Subsecretaría de Inspección Vigilancia y Control de Vivienda','','3123779731','jeimmy.gomez@habitatbogota.gov.co','CONTRATISTA');</v>
      </c>
    </row>
    <row r="194" spans="1:9" ht="14.4" x14ac:dyDescent="0.3">
      <c r="A194" s="16">
        <f t="shared" si="4"/>
        <v>187</v>
      </c>
      <c r="B194" s="6">
        <v>1010222054</v>
      </c>
      <c r="C194" s="17" t="s">
        <v>493</v>
      </c>
      <c r="D194" s="6" t="s">
        <v>500</v>
      </c>
      <c r="E194" s="6"/>
      <c r="F194" s="6">
        <v>3102900983</v>
      </c>
      <c r="G194" s="8" t="s">
        <v>495</v>
      </c>
      <c r="H194" s="24" t="s">
        <v>2209</v>
      </c>
      <c r="I194" s="37" t="str">
        <f t="shared" si="5"/>
        <v>INSERT INTO `parqueadero`.`conductor` (`Oid`, `IdConductor`, `Nombre`, `Area`, `Piso`, `Celular`, `correo`, `Vinculacion`) VALUES ('187','1010222054','JEIMY CATALINA MORENO CASTAÑEDA','Dirección de Financiación de Vivienda','','3102900983','jeimy.moreno@habitatbogota.gov.co','CONTRATISTA');</v>
      </c>
    </row>
    <row r="195" spans="1:9" ht="14.4" x14ac:dyDescent="0.3">
      <c r="A195" s="16">
        <f t="shared" si="4"/>
        <v>188</v>
      </c>
      <c r="B195" s="13">
        <v>80258283</v>
      </c>
      <c r="C195" s="24" t="s">
        <v>1852</v>
      </c>
      <c r="D195" s="6" t="s">
        <v>201</v>
      </c>
      <c r="E195" s="6"/>
      <c r="F195" s="13">
        <v>3142484242</v>
      </c>
      <c r="G195" s="8" t="s">
        <v>1854</v>
      </c>
      <c r="H195" s="24" t="s">
        <v>2209</v>
      </c>
      <c r="I195" s="37" t="str">
        <f t="shared" si="5"/>
        <v>INSERT INTO `parqueadero`.`conductor` (`Oid`, `IdConductor`, `Nombre`, `Area`, `Piso`, `Celular`, `correo`, `Vinculacion`) VALUES ('188','80258283','JEISON MAURICIO SANTOS TELLEZ','Dirección de Mejoramiento Habitacional','','3142484242','jeison.santos@habitatbogota.gov.co','CONTRATISTA');</v>
      </c>
    </row>
    <row r="196" spans="1:9" ht="14.4" x14ac:dyDescent="0.3">
      <c r="A196" s="16">
        <f t="shared" si="4"/>
        <v>189</v>
      </c>
      <c r="B196" s="6">
        <v>1016021569</v>
      </c>
      <c r="C196" s="17" t="s">
        <v>1490</v>
      </c>
      <c r="D196" s="6" t="s">
        <v>587</v>
      </c>
      <c r="E196" s="6"/>
      <c r="F196" s="6">
        <v>3006870651</v>
      </c>
      <c r="G196" s="8" t="s">
        <v>1492</v>
      </c>
      <c r="H196" s="24" t="s">
        <v>2209</v>
      </c>
      <c r="I196" s="37" t="str">
        <f t="shared" si="5"/>
        <v>INSERT INTO `parqueadero`.`conductor` (`Oid`, `IdConductor`, `Nombre`, `Area`, `Piso`, `Celular`, `correo`, `Vinculacion`) VALUES ('189','1016021569','JEISSON FABIÁN PÉREZ RODRIGUEZ','Dirección de Apoyo a la Contrucción','','3006870651','jeisson.perez@habitatbogota.gov.co','CONTRATISTA');</v>
      </c>
    </row>
    <row r="197" spans="1:9" ht="14.4" x14ac:dyDescent="0.3">
      <c r="A197" s="16">
        <f t="shared" si="4"/>
        <v>190</v>
      </c>
      <c r="B197" s="6">
        <v>1026568929</v>
      </c>
      <c r="C197" s="17" t="s">
        <v>774</v>
      </c>
      <c r="D197" s="6" t="s">
        <v>201</v>
      </c>
      <c r="E197" s="6"/>
      <c r="F197" s="6">
        <v>3156165304</v>
      </c>
      <c r="G197" s="8" t="s">
        <v>776</v>
      </c>
      <c r="H197" s="24" t="s">
        <v>2209</v>
      </c>
      <c r="I197" s="37" t="str">
        <f t="shared" si="5"/>
        <v>INSERT INTO `parqueadero`.`conductor` (`Oid`, `IdConductor`, `Nombre`, `Area`, `Piso`, `Celular`, `correo`, `Vinculacion`) VALUES ('190','1026568929','JENIFER LORENA BELTRAN PENAGOS','Dirección de Mejoramiento Habitacional','','3156165304','jenifer.beltran@habitat.gov.co','CONTRATISTA');</v>
      </c>
    </row>
    <row r="198" spans="1:9" ht="14.4" x14ac:dyDescent="0.3">
      <c r="A198" s="16">
        <f t="shared" si="4"/>
        <v>191</v>
      </c>
      <c r="B198" s="6">
        <v>1032464919</v>
      </c>
      <c r="C198" s="17" t="s">
        <v>2241</v>
      </c>
      <c r="D198" s="6" t="s">
        <v>270</v>
      </c>
      <c r="E198" s="6"/>
      <c r="F198" s="6">
        <v>3204134805</v>
      </c>
      <c r="G198" s="8" t="s">
        <v>650</v>
      </c>
      <c r="H198" s="24" t="s">
        <v>2209</v>
      </c>
      <c r="I198" s="37" t="str">
        <f t="shared" si="5"/>
        <v>INSERT INTO `parqueadero`.`conductor` (`Oid`, `IdConductor`, `Nombre`, `Area`, `Piso`, `Celular`, `correo`, `Vinculacion`) VALUES ('191','1032464919','JENNY FERNANDA VELANDIA CASTRO','Dirección de Investigaciones y Control de Vivienda','','3204134805','jenny.velandia@habitatbogota.gov.co','CONTRATISTA');</v>
      </c>
    </row>
    <row r="199" spans="1:9" ht="14.4" x14ac:dyDescent="0.3">
      <c r="A199" s="16">
        <f t="shared" si="4"/>
        <v>192</v>
      </c>
      <c r="B199" s="6">
        <v>1010185998</v>
      </c>
      <c r="C199" s="17" t="s">
        <v>222</v>
      </c>
      <c r="D199" s="6" t="s">
        <v>500</v>
      </c>
      <c r="E199" s="6"/>
      <c r="F199" s="6">
        <v>3208359808</v>
      </c>
      <c r="G199" s="8" t="s">
        <v>224</v>
      </c>
      <c r="H199" s="24" t="s">
        <v>2209</v>
      </c>
      <c r="I199" s="37" t="str">
        <f t="shared" si="5"/>
        <v>INSERT INTO `parqueadero`.`conductor` (`Oid`, `IdConductor`, `Nombre`, `Area`, `Piso`, `Celular`, `correo`, `Vinculacion`) VALUES ('192','1010185998','JENNY GARZON TRIVIÑO','Dirección de Financiación de Vivienda','','3208359808','jenny.garzon@habitatbogota.gov.co','CONTRATISTA');</v>
      </c>
    </row>
    <row r="200" spans="1:9" ht="15.9" customHeight="1" x14ac:dyDescent="0.3">
      <c r="A200" s="16">
        <f t="shared" ref="A200:A263" si="6">ROW()-7</f>
        <v>193</v>
      </c>
      <c r="B200" s="6">
        <v>52916779</v>
      </c>
      <c r="C200" s="17" t="s">
        <v>1632</v>
      </c>
      <c r="D200" s="6" t="s">
        <v>500</v>
      </c>
      <c r="E200" s="6"/>
      <c r="F200" s="6">
        <v>3102877763</v>
      </c>
      <c r="G200" s="8" t="s">
        <v>1634</v>
      </c>
      <c r="H200" s="24" t="s">
        <v>2209</v>
      </c>
      <c r="I200" s="37" t="str">
        <f t="shared" ref="I200:I263" si="7">CONCATENATE("INSERT INTO `parqueadero`.`conductor` (`",$A$7,"`, `",$B$7,"`, `",$C$7,"`, `",$D$7,"`, `",$E$7,"`, `",$F$7,"`, `",$G$7,"`, `",$H$7,"`) VALUES ('",A200,"','",B200,"','",C200,"','",D200,"','",E200,"','",F200,"','",G200,"','",H200,"');" )</f>
        <v>INSERT INTO `parqueadero`.`conductor` (`Oid`, `IdConductor`, `Nombre`, `Area`, `Piso`, `Celular`, `correo`, `Vinculacion`) VALUES ('193','52916779','JENNY MARCELA INFANTE RINCÓN','Dirección de Financiación de Vivienda','','3102877763','jenny.infante@habitatbogota.gov.co','CONTRATISTA');</v>
      </c>
    </row>
    <row r="201" spans="1:9" ht="14.4" x14ac:dyDescent="0.3">
      <c r="A201" s="16">
        <f t="shared" si="6"/>
        <v>194</v>
      </c>
      <c r="B201" s="6">
        <v>52820550</v>
      </c>
      <c r="C201" s="17" t="s">
        <v>2242</v>
      </c>
      <c r="D201" s="6" t="s">
        <v>434</v>
      </c>
      <c r="E201" s="6" t="s">
        <v>2198</v>
      </c>
      <c r="F201" s="6">
        <v>3005554875</v>
      </c>
      <c r="G201" s="8" t="s">
        <v>446</v>
      </c>
      <c r="H201" s="24" t="s">
        <v>119</v>
      </c>
      <c r="I201" s="37" t="str">
        <f t="shared" si="7"/>
        <v>INSERT INTO `parqueadero`.`conductor` (`Oid`, `IdConductor`, `Nombre`, `Area`, `Piso`, `Celular`, `correo`, `Vinculacion`) VALUES ('194','52820550','JENNY MARITZA BARRERA SUÁREZ','Dirección Administrativa','Piso 12','3005554875','jenny.barrera@habitatbogota.gov.co','FUNCIONARIO');</v>
      </c>
    </row>
    <row r="202" spans="1:9" ht="14.4" x14ac:dyDescent="0.3">
      <c r="A202" s="16">
        <f t="shared" si="6"/>
        <v>195</v>
      </c>
      <c r="B202" s="6">
        <v>1016008161</v>
      </c>
      <c r="C202" s="17" t="s">
        <v>1908</v>
      </c>
      <c r="D202" s="6" t="s">
        <v>500</v>
      </c>
      <c r="E202" s="6"/>
      <c r="F202" s="6">
        <v>3103430417</v>
      </c>
      <c r="G202" s="8" t="s">
        <v>1910</v>
      </c>
      <c r="H202" s="24" t="s">
        <v>2209</v>
      </c>
      <c r="I202" s="37" t="str">
        <f t="shared" si="7"/>
        <v>INSERT INTO `parqueadero`.`conductor` (`Oid`, `IdConductor`, `Nombre`, `Area`, `Piso`, `Celular`, `correo`, `Vinculacion`) VALUES ('195','1016008161','JENNY PAOLA BUENO LADINO','Dirección de Financiación de Vivienda','','3103430417','jenny.bueno@habitatbogota.gov.co','CONTRATISTA');</v>
      </c>
    </row>
    <row r="203" spans="1:9" ht="14.4" x14ac:dyDescent="0.3">
      <c r="A203" s="16">
        <f t="shared" si="6"/>
        <v>196</v>
      </c>
      <c r="B203" s="13">
        <v>1015447384</v>
      </c>
      <c r="C203" s="24" t="s">
        <v>1793</v>
      </c>
      <c r="D203" s="6" t="s">
        <v>500</v>
      </c>
      <c r="E203" s="6"/>
      <c r="F203" s="13">
        <v>3125579853</v>
      </c>
      <c r="G203" s="8" t="s">
        <v>1795</v>
      </c>
      <c r="H203" s="24" t="s">
        <v>2209</v>
      </c>
      <c r="I203" s="37" t="str">
        <f t="shared" si="7"/>
        <v>INSERT INTO `parqueadero`.`conductor` (`Oid`, `IdConductor`, `Nombre`, `Area`, `Piso`, `Celular`, `correo`, `Vinculacion`) VALUES ('196','1015447384','JENNY PAOLA PALOMA ORTÍZ','Dirección de Financiación de Vivienda','','3125579853','jenny.paloma@habitatbogota.gov.co','CONTRATISTA');</v>
      </c>
    </row>
    <row r="204" spans="1:9" ht="14.4" x14ac:dyDescent="0.3">
      <c r="A204" s="16">
        <f t="shared" si="6"/>
        <v>197</v>
      </c>
      <c r="B204" s="6">
        <v>52961000</v>
      </c>
      <c r="C204" s="17" t="s">
        <v>291</v>
      </c>
      <c r="D204" s="6" t="s">
        <v>201</v>
      </c>
      <c r="E204" s="6"/>
      <c r="F204" s="6">
        <v>3223513584</v>
      </c>
      <c r="G204" s="8" t="s">
        <v>293</v>
      </c>
      <c r="H204" s="24" t="s">
        <v>2209</v>
      </c>
      <c r="I204" s="37" t="str">
        <f t="shared" si="7"/>
        <v>INSERT INTO `parqueadero`.`conductor` (`Oid`, `IdConductor`, `Nombre`, `Area`, `Piso`, `Celular`, `correo`, `Vinculacion`) VALUES ('197','52961000','JENNY PATRICIA MUÑOZ CHAVES','Dirección de Mejoramiento Habitacional','','3223513584','jenny.munoz@habitatbogota.gov.co','CONTRATISTA');</v>
      </c>
    </row>
    <row r="205" spans="1:9" ht="14.4" x14ac:dyDescent="0.3">
      <c r="A205" s="16">
        <f t="shared" si="6"/>
        <v>198</v>
      </c>
      <c r="B205" s="6">
        <v>1030615542</v>
      </c>
      <c r="C205" s="17" t="s">
        <v>2032</v>
      </c>
      <c r="D205" s="6" t="s">
        <v>742</v>
      </c>
      <c r="E205" s="6"/>
      <c r="F205" s="6">
        <v>3196819874</v>
      </c>
      <c r="G205" s="8" t="s">
        <v>1268</v>
      </c>
      <c r="H205" s="24" t="s">
        <v>1280</v>
      </c>
      <c r="I205" s="37" t="str">
        <f t="shared" si="7"/>
        <v>INSERT INTO `parqueadero`.`conductor` (`Oid`, `IdConductor`, `Nombre`, `Area`, `Piso`, `Celular`, `correo`, `Vinculacion`) VALUES ('198','1030615542','JERSSON LÓPEZ BARRIOS','Gestión Documental','','3196819874','correspondenciasdht@habitatbogota.gov.co','EXTERNO');</v>
      </c>
    </row>
    <row r="206" spans="1:9" ht="14.4" x14ac:dyDescent="0.3">
      <c r="A206" s="16">
        <f t="shared" si="6"/>
        <v>199</v>
      </c>
      <c r="B206" s="6">
        <v>1121886960</v>
      </c>
      <c r="C206" s="17" t="s">
        <v>1926</v>
      </c>
      <c r="D206" s="6" t="s">
        <v>325</v>
      </c>
      <c r="E206" s="6"/>
      <c r="F206" s="6">
        <v>3102403763</v>
      </c>
      <c r="G206" s="8" t="s">
        <v>1928</v>
      </c>
      <c r="H206" s="24" t="s">
        <v>2209</v>
      </c>
      <c r="I206" s="37" t="str">
        <f t="shared" si="7"/>
        <v>INSERT INTO `parqueadero`.`conductor` (`Oid`, `IdConductor`, `Nombre`, `Area`, `Piso`, `Celular`, `correo`, `Vinculacion`) VALUES ('199','1121886960','JESSICA VALENCIA GUERRERO','Dirección de Operaciones','','3102403763','jessica.valencia@habitatbogota.gov.co','CONTRATISTA');</v>
      </c>
    </row>
    <row r="207" spans="1:9" ht="14.4" x14ac:dyDescent="0.3">
      <c r="A207" s="16">
        <f t="shared" si="6"/>
        <v>200</v>
      </c>
      <c r="B207" s="6">
        <v>1014196580</v>
      </c>
      <c r="C207" s="17" t="s">
        <v>1753</v>
      </c>
      <c r="D207" s="17" t="s">
        <v>1667</v>
      </c>
      <c r="E207" s="17"/>
      <c r="F207" s="6">
        <v>3017719375</v>
      </c>
      <c r="G207" s="8" t="s">
        <v>1755</v>
      </c>
      <c r="H207" s="24" t="s">
        <v>2209</v>
      </c>
      <c r="I207" s="37" t="str">
        <f t="shared" si="7"/>
        <v>INSERT INTO `parqueadero`.`conductor` (`Oid`, `IdConductor`, `Nombre`, `Area`, `Piso`, `Celular`, `correo`, `Vinculacion`) VALUES ('200','1014196580','JESSIKA NICOLE NIÑO GÓMEZ','Oficina de Tecnología y Transformación Digital','','3017719375','nicole.nino@habitatbogota.gov.co','CONTRATISTA');</v>
      </c>
    </row>
    <row r="208" spans="1:9" ht="14.4" x14ac:dyDescent="0.3">
      <c r="A208" s="16">
        <f t="shared" si="6"/>
        <v>201</v>
      </c>
      <c r="B208" s="6">
        <v>1010162896</v>
      </c>
      <c r="C208" s="17" t="s">
        <v>1456</v>
      </c>
      <c r="D208" s="6" t="s">
        <v>500</v>
      </c>
      <c r="E208" s="6"/>
      <c r="F208" s="6">
        <v>3195918577</v>
      </c>
      <c r="G208" s="8" t="s">
        <v>1452</v>
      </c>
      <c r="H208" s="24" t="s">
        <v>119</v>
      </c>
      <c r="I208" s="37" t="str">
        <f t="shared" si="7"/>
        <v>INSERT INTO `parqueadero`.`conductor` (`Oid`, `IdConductor`, `Nombre`, `Area`, `Piso`, `Celular`, `correo`, `Vinculacion`) VALUES ('201','1010162896','JESUS MAURICIO SANCHEZ SANCHEZ','Dirección de Financiación de Vivienda','','3195918577','jesus.sanchez@habitatbogota.gov.co','FUNCIONARIO');</v>
      </c>
    </row>
    <row r="209" spans="1:9" ht="14.4" x14ac:dyDescent="0.3">
      <c r="A209" s="16">
        <f t="shared" si="6"/>
        <v>202</v>
      </c>
      <c r="B209" s="6">
        <v>1001114395</v>
      </c>
      <c r="C209" s="17" t="s">
        <v>961</v>
      </c>
      <c r="D209" s="6" t="s">
        <v>270</v>
      </c>
      <c r="E209" s="6"/>
      <c r="F209" s="6">
        <v>3142011762</v>
      </c>
      <c r="G209" s="8" t="s">
        <v>963</v>
      </c>
      <c r="H209" s="24" t="s">
        <v>2209</v>
      </c>
      <c r="I209" s="37" t="str">
        <f t="shared" si="7"/>
        <v>INSERT INTO `parqueadero`.`conductor` (`Oid`, `IdConductor`, `Nombre`, `Area`, `Piso`, `Celular`, `correo`, `Vinculacion`) VALUES ('202','1001114395','JHOAN STEVE JIMENEZ HERNANDEZ','Dirección de Investigaciones y Control de Vivienda','','3142011762','jhoan.jimenez@habitatbogota.gov.co','CONTRATISTA');</v>
      </c>
    </row>
    <row r="210" spans="1:9" ht="14.4" x14ac:dyDescent="0.3">
      <c r="A210" s="16">
        <f t="shared" si="6"/>
        <v>203</v>
      </c>
      <c r="B210" s="6">
        <v>79956337</v>
      </c>
      <c r="C210" s="17" t="s">
        <v>1768</v>
      </c>
      <c r="D210" s="17" t="s">
        <v>207</v>
      </c>
      <c r="E210" s="17"/>
      <c r="F210" s="6">
        <v>3207707633</v>
      </c>
      <c r="G210" s="8" t="s">
        <v>1770</v>
      </c>
      <c r="H210" s="24" t="s">
        <v>2209</v>
      </c>
      <c r="I210" s="37" t="str">
        <f t="shared" si="7"/>
        <v>INSERT INTO `parqueadero`.`conductor` (`Oid`, `IdConductor`, `Nombre`, `Area`, `Piso`, `Celular`, `correo`, `Vinculacion`) VALUES ('203','79956337','JHON ALEXANDER MELGAREJO CELEITA','Dirección de Gestión de Suelo','','3207707633','jhonmelgarejoc@gmail.com','CONTRATISTA');</v>
      </c>
    </row>
    <row r="211" spans="1:9" ht="14.4" x14ac:dyDescent="0.3">
      <c r="A211" s="16">
        <f t="shared" si="6"/>
        <v>204</v>
      </c>
      <c r="B211" s="6">
        <v>79793117</v>
      </c>
      <c r="C211" s="17" t="s">
        <v>1033</v>
      </c>
      <c r="D211" s="6" t="s">
        <v>2109</v>
      </c>
      <c r="E211" s="6"/>
      <c r="F211" s="6">
        <v>3504147600</v>
      </c>
      <c r="G211" s="8" t="s">
        <v>1035</v>
      </c>
      <c r="H211" s="24" t="s">
        <v>2209</v>
      </c>
      <c r="I211" s="37" t="str">
        <f t="shared" si="7"/>
        <v>INSERT INTO `parqueadero`.`conductor` (`Oid`, `IdConductor`, `Nombre`, `Area`, `Piso`, `Celular`, `correo`, `Vinculacion`) VALUES ('204','79793117','JHON ALVARO PEREZ CRUZ','Dirección de Estructuracion de Proyectos','','3504147600','jhon.perez@habitatbogota.gov.co','CONTRATISTA');</v>
      </c>
    </row>
    <row r="212" spans="1:9" ht="14.4" x14ac:dyDescent="0.3">
      <c r="A212" s="16">
        <f t="shared" si="6"/>
        <v>205</v>
      </c>
      <c r="B212" s="17">
        <v>1020716220</v>
      </c>
      <c r="C212" s="17" t="s">
        <v>783</v>
      </c>
      <c r="D212" s="17" t="s">
        <v>299</v>
      </c>
      <c r="E212" s="17"/>
      <c r="F212" s="17">
        <v>3103201521</v>
      </c>
      <c r="G212" s="8" t="s">
        <v>785</v>
      </c>
      <c r="H212" s="24" t="s">
        <v>2209</v>
      </c>
      <c r="I212" s="37" t="str">
        <f t="shared" si="7"/>
        <v>INSERT INTO `parqueadero`.`conductor` (`Oid`, `IdConductor`, `Nombre`, `Area`, `Piso`, `Celular`, `correo`, `Vinculacion`) VALUES ('205','1020716220','JIMENA DACHIARDI CASTRO','Despacho','','3103201521','jimena.dachiardi@habitatbogota.gov.co','CONTRATISTA');</v>
      </c>
    </row>
    <row r="213" spans="1:9" ht="14.4" x14ac:dyDescent="0.3">
      <c r="A213" s="16">
        <f t="shared" si="6"/>
        <v>206</v>
      </c>
      <c r="B213" s="6">
        <v>80723272</v>
      </c>
      <c r="C213" s="17" t="s">
        <v>503</v>
      </c>
      <c r="D213" s="6" t="s">
        <v>500</v>
      </c>
      <c r="E213" s="6"/>
      <c r="F213" s="6">
        <v>3118556165</v>
      </c>
      <c r="G213" s="8" t="s">
        <v>505</v>
      </c>
      <c r="H213" s="24" t="s">
        <v>2209</v>
      </c>
      <c r="I213" s="37" t="str">
        <f t="shared" si="7"/>
        <v>INSERT INTO `parqueadero`.`conductor` (`Oid`, `IdConductor`, `Nombre`, `Area`, `Piso`, `Celular`, `correo`, `Vinculacion`) VALUES ('206','80723272','JOHN ALBERTO MARTINEZ VARGAS','Dirección de Financiación de Vivienda','','3118556165','john.martinezv@habitatbogota.gov.co','CONTRATISTA');</v>
      </c>
    </row>
    <row r="214" spans="1:9" ht="14.4" x14ac:dyDescent="0.3">
      <c r="A214" s="16">
        <f t="shared" si="6"/>
        <v>207</v>
      </c>
      <c r="B214" s="6">
        <v>80047722</v>
      </c>
      <c r="C214" s="17" t="s">
        <v>2243</v>
      </c>
      <c r="D214" s="17" t="s">
        <v>299</v>
      </c>
      <c r="E214" s="17"/>
      <c r="F214" s="6">
        <v>3902662039</v>
      </c>
      <c r="G214" s="8" t="s">
        <v>1581</v>
      </c>
      <c r="H214" s="24" t="s">
        <v>2209</v>
      </c>
      <c r="I214" s="37" t="str">
        <f t="shared" si="7"/>
        <v>INSERT INTO `parqueadero`.`conductor` (`Oid`, `IdConductor`, `Nombre`, `Area`, `Piso`, `Celular`, `correo`, `Vinculacion`) VALUES ('207','80047722','JOHN ALEXANDER CARDENAS MANCIPE','Despacho','','3902662039','john.cardenas@habitatbogota.gov.co','CONTRATISTA');</v>
      </c>
    </row>
    <row r="215" spans="1:9" ht="14.4" x14ac:dyDescent="0.3">
      <c r="A215" s="16">
        <f t="shared" si="6"/>
        <v>208</v>
      </c>
      <c r="B215" s="6">
        <v>79646925</v>
      </c>
      <c r="C215" s="17" t="s">
        <v>262</v>
      </c>
      <c r="D215" s="6" t="s">
        <v>587</v>
      </c>
      <c r="E215" s="6"/>
      <c r="F215" s="6">
        <v>3005305868</v>
      </c>
      <c r="G215" s="8" t="s">
        <v>264</v>
      </c>
      <c r="H215" s="24" t="s">
        <v>2209</v>
      </c>
      <c r="I215" s="37" t="str">
        <f t="shared" si="7"/>
        <v>INSERT INTO `parqueadero`.`conductor` (`Oid`, `IdConductor`, `Nombre`, `Area`, `Piso`, `Celular`, `correo`, `Vinculacion`) VALUES ('208','79646925','JOHN ALEXANDER CORREDOR FONSECA','Dirección de Apoyo a la Contrucción','','3005305868','john.corredor@habitatbogota.gov.co','CONTRATISTA');</v>
      </c>
    </row>
    <row r="216" spans="1:9" ht="14.4" x14ac:dyDescent="0.3">
      <c r="A216" s="16">
        <f t="shared" si="6"/>
        <v>209</v>
      </c>
      <c r="B216" s="13">
        <v>79737327</v>
      </c>
      <c r="C216" s="24" t="s">
        <v>1877</v>
      </c>
      <c r="D216" s="6" t="s">
        <v>500</v>
      </c>
      <c r="E216" s="6"/>
      <c r="F216" s="13">
        <v>3154213826</v>
      </c>
      <c r="G216" s="8" t="s">
        <v>1879</v>
      </c>
      <c r="H216" s="24" t="s">
        <v>2209</v>
      </c>
      <c r="I216" s="37" t="str">
        <f t="shared" si="7"/>
        <v>INSERT INTO `parqueadero`.`conductor` (`Oid`, `IdConductor`, `Nombre`, `Area`, `Piso`, `Celular`, `correo`, `Vinculacion`) VALUES ('209','79737327','JOHN FREDY VÁSQUEZ MORENO','Dirección de Financiación de Vivienda','','3154213826','john.vasquez@habitatbogota.gov.co','CONTRATISTA');</v>
      </c>
    </row>
    <row r="217" spans="1:9" ht="14.4" x14ac:dyDescent="0.3">
      <c r="A217" s="16">
        <f t="shared" si="6"/>
        <v>210</v>
      </c>
      <c r="B217" s="6">
        <v>1032433866</v>
      </c>
      <c r="C217" s="17" t="s">
        <v>400</v>
      </c>
      <c r="D217" s="17" t="s">
        <v>1667</v>
      </c>
      <c r="E217" s="17"/>
      <c r="F217" s="6">
        <v>3118221968</v>
      </c>
      <c r="G217" s="8" t="s">
        <v>402</v>
      </c>
      <c r="H217" s="24" t="s">
        <v>2209</v>
      </c>
      <c r="I217" s="37" t="str">
        <f t="shared" si="7"/>
        <v>INSERT INTO `parqueadero`.`conductor` (`Oid`, `IdConductor`, `Nombre`, `Area`, `Piso`, `Celular`, `correo`, `Vinculacion`) VALUES ('210','1032433866','JOHN HENRY RAMIREZ RAMIREZ','Oficina de Tecnología y Transformación Digital','','3118221968','john.ramirezr@habitatbogota.gov.co','CONTRATISTA');</v>
      </c>
    </row>
    <row r="218" spans="1:9" ht="14.4" x14ac:dyDescent="0.3">
      <c r="A218" s="16">
        <f t="shared" si="6"/>
        <v>211</v>
      </c>
      <c r="B218" s="17">
        <v>1032405392</v>
      </c>
      <c r="C218" s="17" t="s">
        <v>458</v>
      </c>
      <c r="D218" s="6" t="s">
        <v>270</v>
      </c>
      <c r="E218" s="6"/>
      <c r="F218" s="17">
        <v>3507072865</v>
      </c>
      <c r="G218" s="8" t="s">
        <v>460</v>
      </c>
      <c r="H218" s="24" t="s">
        <v>2209</v>
      </c>
      <c r="I218" s="37" t="str">
        <f t="shared" si="7"/>
        <v>INSERT INTO `parqueadero`.`conductor` (`Oid`, `IdConductor`, `Nombre`, `Area`, `Piso`, `Celular`, `correo`, `Vinculacion`) VALUES ('211','1032405392','JOHN JAVIER TORRES PAVA','Dirección de Investigaciones y Control de Vivienda','','3507072865','john.torres@habitatbogota.gov.co','CONTRATISTA');</v>
      </c>
    </row>
    <row r="219" spans="1:9" ht="14.4" x14ac:dyDescent="0.3">
      <c r="A219" s="16">
        <f t="shared" si="6"/>
        <v>212</v>
      </c>
      <c r="B219" s="6">
        <v>79867042</v>
      </c>
      <c r="C219" s="17" t="s">
        <v>2244</v>
      </c>
      <c r="D219" s="6" t="s">
        <v>434</v>
      </c>
      <c r="E219" s="6" t="s">
        <v>2198</v>
      </c>
      <c r="F219" s="6">
        <v>3163575233</v>
      </c>
      <c r="G219" s="8" t="s">
        <v>1130</v>
      </c>
      <c r="H219" s="24" t="s">
        <v>119</v>
      </c>
      <c r="I219" s="37" t="str">
        <f t="shared" si="7"/>
        <v>INSERT INTO `parqueadero`.`conductor` (`Oid`, `IdConductor`, `Nombre`, `Area`, `Piso`, `Celular`, `correo`, `Vinculacion`) VALUES ('212','79867042','JOHNN FREDDY VARGAS BRICEÑO','Dirección Administrativa','Piso 12','3163575233','johnn.vargas@habitatbogota.gov.co','FUNCIONARIO');</v>
      </c>
    </row>
    <row r="220" spans="1:9" ht="14.4" x14ac:dyDescent="0.3">
      <c r="A220" s="16">
        <f t="shared" si="6"/>
        <v>213</v>
      </c>
      <c r="B220" s="6">
        <v>1233512206</v>
      </c>
      <c r="C220" s="17" t="s">
        <v>1916</v>
      </c>
      <c r="D220" s="6" t="s">
        <v>434</v>
      </c>
      <c r="E220" s="6" t="s">
        <v>2198</v>
      </c>
      <c r="F220" s="6">
        <v>3222171182</v>
      </c>
      <c r="G220" s="8" t="s">
        <v>1917</v>
      </c>
      <c r="H220" s="24" t="s">
        <v>119</v>
      </c>
      <c r="I220" s="37" t="str">
        <f t="shared" si="7"/>
        <v>INSERT INTO `parqueadero`.`conductor` (`Oid`, `IdConductor`, `Nombre`, `Area`, `Piso`, `Celular`, `correo`, `Vinculacion`) VALUES ('213','1233512206','JOHNNY DERANXEL ARANZAZU QUIROGA','Dirección Administrativa','Piso 12','3222171182','deranxel2@gmail.com','FUNCIONARIO');</v>
      </c>
    </row>
    <row r="221" spans="1:9" ht="14.4" x14ac:dyDescent="0.3">
      <c r="A221" s="16">
        <f t="shared" si="6"/>
        <v>214</v>
      </c>
      <c r="B221" s="6">
        <v>80060504</v>
      </c>
      <c r="C221" s="17" t="s">
        <v>792</v>
      </c>
      <c r="D221" s="6" t="s">
        <v>587</v>
      </c>
      <c r="E221" s="6"/>
      <c r="F221" s="6">
        <v>3176435060</v>
      </c>
      <c r="G221" s="8" t="s">
        <v>794</v>
      </c>
      <c r="H221" s="24" t="s">
        <v>2209</v>
      </c>
      <c r="I221" s="37" t="str">
        <f t="shared" si="7"/>
        <v>INSERT INTO `parqueadero`.`conductor` (`Oid`, `IdConductor`, `Nombre`, `Area`, `Piso`, `Celular`, `correo`, `Vinculacion`) VALUES ('214','80060504','JOHNY CUÉLLAR PELAEZ','Dirección de Apoyo a la Contrucción','','3176435060','johny.cuellar@habitatbogota.gov.co','CONTRATISTA');</v>
      </c>
    </row>
    <row r="222" spans="1:9" ht="14.4" x14ac:dyDescent="0.3">
      <c r="A222" s="16">
        <f t="shared" si="6"/>
        <v>215</v>
      </c>
      <c r="B222" s="6">
        <v>80213841</v>
      </c>
      <c r="C222" s="17" t="s">
        <v>932</v>
      </c>
      <c r="D222" s="6" t="s">
        <v>500</v>
      </c>
      <c r="E222" s="6"/>
      <c r="F222" s="6"/>
      <c r="G222" s="8" t="s">
        <v>934</v>
      </c>
      <c r="H222" s="24" t="s">
        <v>2209</v>
      </c>
      <c r="I222" s="37" t="str">
        <f t="shared" si="7"/>
        <v>INSERT INTO `parqueadero`.`conductor` (`Oid`, `IdConductor`, `Nombre`, `Area`, `Piso`, `Celular`, `correo`, `Vinculacion`) VALUES ('215','80213841','JORGE ANDRÉS GONZÁLEZ CETINA','Dirección de Financiación de Vivienda','','','jorge.gonzalez@habitatbogota.gov.co','CONTRATISTA');</v>
      </c>
    </row>
    <row r="223" spans="1:9" ht="14.4" x14ac:dyDescent="0.3">
      <c r="A223" s="16">
        <f t="shared" si="6"/>
        <v>216</v>
      </c>
      <c r="B223" s="6">
        <v>1010196411</v>
      </c>
      <c r="C223" s="17" t="s">
        <v>1621</v>
      </c>
      <c r="D223" s="13" t="s">
        <v>2149</v>
      </c>
      <c r="E223" s="13"/>
      <c r="F223" s="6">
        <v>3125945407</v>
      </c>
      <c r="G223" s="8" t="s">
        <v>1619</v>
      </c>
      <c r="H223" s="24" t="s">
        <v>2209</v>
      </c>
      <c r="I223" s="37" t="str">
        <f t="shared" si="7"/>
        <v>INSERT INTO `parqueadero`.`conductor` (`Oid`, `IdConductor`, `Nombre`, `Area`, `Piso`, `Celular`, `correo`, `Vinculacion`) VALUES ('216','1010196411','JORGE ANDRES MORALES ROMERO','Subsecretaría de Inspección Vigilancia y Control de Vivienda','','3125945407','jorge.morales@habitatbogota.gov.co','CONTRATISTA');</v>
      </c>
    </row>
    <row r="224" spans="1:9" ht="14.4" x14ac:dyDescent="0.3">
      <c r="A224" s="16">
        <f t="shared" si="6"/>
        <v>217</v>
      </c>
      <c r="B224" s="6">
        <v>1118649429</v>
      </c>
      <c r="C224" s="17" t="s">
        <v>2061</v>
      </c>
      <c r="D224" s="6" t="s">
        <v>285</v>
      </c>
      <c r="E224" s="6"/>
      <c r="F224" s="6">
        <v>3142416752</v>
      </c>
      <c r="G224" s="8" t="s">
        <v>2062</v>
      </c>
      <c r="H224" s="24" t="s">
        <v>119</v>
      </c>
      <c r="I224" s="37" t="str">
        <f t="shared" si="7"/>
        <v>INSERT INTO `parqueadero`.`conductor` (`Oid`, `IdConductor`, `Nombre`, `Area`, `Piso`, `Celular`, `correo`, `Vinculacion`) VALUES ('217','1118649429','JORGE ANDRÉS RIVEROS TONCÓN','Oficina Asesora de Planeación','','3142416752','jorge.riveros@habitatbogota.gov.co','FUNCIONARIO');</v>
      </c>
    </row>
    <row r="225" spans="1:9" ht="14.4" x14ac:dyDescent="0.3">
      <c r="A225" s="16">
        <f t="shared" si="6"/>
        <v>218</v>
      </c>
      <c r="B225" s="6">
        <v>3181809</v>
      </c>
      <c r="C225" s="17" t="s">
        <v>2245</v>
      </c>
      <c r="D225" s="6" t="s">
        <v>500</v>
      </c>
      <c r="E225" s="6"/>
      <c r="F225" s="6">
        <v>3118770630</v>
      </c>
      <c r="G225" s="8" t="s">
        <v>1072</v>
      </c>
      <c r="H225" s="24" t="s">
        <v>2209</v>
      </c>
      <c r="I225" s="37" t="str">
        <f t="shared" si="7"/>
        <v>INSERT INTO `parqueadero`.`conductor` (`Oid`, `IdConductor`, `Nombre`, `Area`, `Piso`, `Celular`, `correo`, `Vinculacion`) VALUES ('218','3181809','JORGE ARMANDO MOJICA RODRÍGUEZ','Dirección de Financiación de Vivienda','','3118770630','jorge.mojica@habitatbogota.gov.co','CONTRATISTA');</v>
      </c>
    </row>
    <row r="226" spans="1:9" ht="14.4" x14ac:dyDescent="0.3">
      <c r="A226" s="16">
        <f t="shared" si="6"/>
        <v>219</v>
      </c>
      <c r="B226" s="6">
        <v>80075631</v>
      </c>
      <c r="C226" s="17" t="s">
        <v>2246</v>
      </c>
      <c r="D226" s="6" t="s">
        <v>587</v>
      </c>
      <c r="E226" s="6"/>
      <c r="F226" s="6">
        <v>3017960778</v>
      </c>
      <c r="G226" s="8" t="s">
        <v>1571</v>
      </c>
      <c r="H226" s="24" t="s">
        <v>2209</v>
      </c>
      <c r="I226" s="37" t="str">
        <f t="shared" si="7"/>
        <v>INSERT INTO `parqueadero`.`conductor` (`Oid`, `IdConductor`, `Nombre`, `Area`, `Piso`, `Celular`, `correo`, `Vinculacion`) VALUES ('219','80075631','JORGE IVÁN GARZÓN PINZÓN','Dirección de Apoyo a la Contrucción','','3017960778','jorge.garzon@habitatbogota.gov.co','CONTRATISTA');</v>
      </c>
    </row>
    <row r="227" spans="1:9" ht="14.4" x14ac:dyDescent="0.3">
      <c r="A227" s="16">
        <f t="shared" si="6"/>
        <v>220</v>
      </c>
      <c r="B227" s="6">
        <v>1019104675</v>
      </c>
      <c r="C227" s="17" t="s">
        <v>622</v>
      </c>
      <c r="D227" s="6" t="s">
        <v>270</v>
      </c>
      <c r="E227" s="6"/>
      <c r="F227" s="6">
        <v>3102390866</v>
      </c>
      <c r="G227" s="8" t="s">
        <v>624</v>
      </c>
      <c r="H227" s="24" t="s">
        <v>2209</v>
      </c>
      <c r="I227" s="37" t="str">
        <f t="shared" si="7"/>
        <v>INSERT INTO `parqueadero`.`conductor` (`Oid`, `IdConductor`, `Nombre`, `Area`, `Piso`, `Celular`, `correo`, `Vinculacion`) VALUES ('220','1019104675','JORGE LUIS JIMENEZ PLAZAS','Dirección de Investigaciones y Control de Vivienda','','3102390866','jorge.jimenez@habitatbogota.gov.co','CONTRATISTA');</v>
      </c>
    </row>
    <row r="228" spans="1:9" ht="14.4" x14ac:dyDescent="0.3">
      <c r="A228" s="16">
        <f t="shared" si="6"/>
        <v>221</v>
      </c>
      <c r="B228" s="6">
        <v>1015442158</v>
      </c>
      <c r="C228" s="17" t="s">
        <v>2247</v>
      </c>
      <c r="D228" s="6" t="s">
        <v>201</v>
      </c>
      <c r="E228" s="6"/>
      <c r="F228" s="6">
        <v>3118086859</v>
      </c>
      <c r="G228" s="8" t="s">
        <v>1469</v>
      </c>
      <c r="H228" s="24" t="s">
        <v>2209</v>
      </c>
      <c r="I228" s="37" t="str">
        <f t="shared" si="7"/>
        <v>INSERT INTO `parqueadero`.`conductor` (`Oid`, `IdConductor`, `Nombre`, `Area`, `Piso`, `Celular`, `correo`, `Vinculacion`) VALUES ('221','1015442158','JOSE ALEJANDRO CUERVO RODRÍGUEZ','Dirección de Mejoramiento Habitacional','','3118086859','jose.cuervo@habitatbogota.gov.co','CONTRATISTA');</v>
      </c>
    </row>
    <row r="229" spans="1:9" ht="14.4" x14ac:dyDescent="0.3">
      <c r="A229" s="16">
        <f t="shared" si="6"/>
        <v>222</v>
      </c>
      <c r="B229" s="6">
        <v>79786845</v>
      </c>
      <c r="C229" s="17" t="s">
        <v>1982</v>
      </c>
      <c r="D229" s="17" t="s">
        <v>1041</v>
      </c>
      <c r="E229" s="17"/>
      <c r="F229" s="6">
        <v>3103097228</v>
      </c>
      <c r="G229" s="8" t="s">
        <v>1984</v>
      </c>
      <c r="H229" s="24" t="s">
        <v>2209</v>
      </c>
      <c r="I229" s="37" t="str">
        <f t="shared" si="7"/>
        <v>INSERT INTO `parqueadero`.`conductor` (`Oid`, `IdConductor`, `Nombre`, `Area`, `Piso`, `Celular`, `correo`, `Vinculacion`) VALUES ('222','79786845','JOSÉ ALEJANDRO SUÁREZ ÁLVAREZ','Dirección de Hábitat y Entorno','','3103097228','jose.suarez@habitatbogota.gov.co','CONTRATISTA');</v>
      </c>
    </row>
    <row r="230" spans="1:9" ht="14.4" x14ac:dyDescent="0.3">
      <c r="A230" s="16">
        <f t="shared" si="6"/>
        <v>223</v>
      </c>
      <c r="B230" s="17">
        <v>80239647</v>
      </c>
      <c r="C230" s="17" t="s">
        <v>868</v>
      </c>
      <c r="D230" s="6" t="s">
        <v>1716</v>
      </c>
      <c r="E230" s="6"/>
      <c r="F230" s="17">
        <v>3102659301</v>
      </c>
      <c r="G230" s="8" t="s">
        <v>869</v>
      </c>
      <c r="H230" s="24" t="s">
        <v>119</v>
      </c>
      <c r="I230" s="37" t="str">
        <f t="shared" si="7"/>
        <v>INSERT INTO `parqueadero`.`conductor` (`Oid`, `IdConductor`, `Nombre`, `Area`, `Piso`, `Celular`, `correo`, `Vinculacion`) VALUES ('223','80239647','JOSE ALEXANDER MORENO PAEZ','Subsecretaría Corporativa','','3102659301','jose.moreno@habitatbogota.gov.co','FUNCIONARIO');</v>
      </c>
    </row>
    <row r="231" spans="1:9" ht="14.4" x14ac:dyDescent="0.3">
      <c r="A231" s="16">
        <f t="shared" si="6"/>
        <v>224</v>
      </c>
      <c r="B231" s="6">
        <v>13499548</v>
      </c>
      <c r="C231" s="17" t="s">
        <v>2058</v>
      </c>
      <c r="D231" s="6" t="s">
        <v>270</v>
      </c>
      <c r="E231" s="6"/>
      <c r="F231" s="6">
        <v>3124473029</v>
      </c>
      <c r="G231" s="8" t="s">
        <v>2059</v>
      </c>
      <c r="H231" s="24" t="s">
        <v>119</v>
      </c>
      <c r="I231" s="37" t="str">
        <f t="shared" si="7"/>
        <v>INSERT INTO `parqueadero`.`conductor` (`Oid`, `IdConductor`, `Nombre`, `Area`, `Piso`, `Celular`, `correo`, `Vinculacion`) VALUES ('224','13499548','JOSÉ ALFONSO GRANADOS SANTOS','Dirección de Investigaciones y Control de Vivienda','','3124473029','jose.granados@habitatbogota.gov.co','FUNCIONARIO');</v>
      </c>
    </row>
    <row r="232" spans="1:9" ht="14.4" x14ac:dyDescent="0.3">
      <c r="A232" s="16">
        <f t="shared" si="6"/>
        <v>225</v>
      </c>
      <c r="B232" s="6">
        <v>19272805</v>
      </c>
      <c r="C232" s="17" t="s">
        <v>1696</v>
      </c>
      <c r="D232" s="6" t="s">
        <v>1698</v>
      </c>
      <c r="E232" s="6"/>
      <c r="F232" s="6">
        <v>3124177877</v>
      </c>
      <c r="G232" s="8" t="s">
        <v>1697</v>
      </c>
      <c r="H232" s="24" t="s">
        <v>1280</v>
      </c>
      <c r="I232" s="37" t="str">
        <f t="shared" si="7"/>
        <v>INSERT INTO `parqueadero`.`conductor` (`Oid`, `IdConductor`, `Nombre`, `Area`, `Piso`, `Celular`, `correo`, `Vinculacion`) VALUES ('225','19272805','JOSÉ BENITO INFANTE QUEVEDO','Contraloría de Bogotá','','3124177877','jinfante@contraloriabogota.gov.co','EXTERNO');</v>
      </c>
    </row>
    <row r="233" spans="1:9" ht="14.4" x14ac:dyDescent="0.3">
      <c r="A233" s="16">
        <f t="shared" si="6"/>
        <v>226</v>
      </c>
      <c r="B233" s="13">
        <v>80791247</v>
      </c>
      <c r="C233" s="24" t="s">
        <v>1833</v>
      </c>
      <c r="D233" s="6" t="s">
        <v>2109</v>
      </c>
      <c r="E233" s="6"/>
      <c r="F233" s="13">
        <v>3225125023</v>
      </c>
      <c r="G233" s="8" t="s">
        <v>1835</v>
      </c>
      <c r="H233" s="24" t="s">
        <v>2209</v>
      </c>
      <c r="I233" s="37" t="str">
        <f t="shared" si="7"/>
        <v>INSERT INTO `parqueadero`.`conductor` (`Oid`, `IdConductor`, `Nombre`, `Area`, `Piso`, `Celular`, `correo`, `Vinculacion`) VALUES ('226','80791247','JOSÉ DARWIN SALGUINO VÉLEZ','Dirección de Estructuracion de Proyectos','','3225125023','jose.sanguino@habitatbogota.gov.co','CONTRATISTA');</v>
      </c>
    </row>
    <row r="234" spans="1:9" ht="14.4" x14ac:dyDescent="0.3">
      <c r="A234" s="16">
        <f t="shared" si="6"/>
        <v>227</v>
      </c>
      <c r="B234" s="6">
        <v>1075624493</v>
      </c>
      <c r="C234" s="17" t="s">
        <v>1597</v>
      </c>
      <c r="D234" s="6" t="s">
        <v>500</v>
      </c>
      <c r="E234" s="6"/>
      <c r="F234" s="6">
        <v>3178933490</v>
      </c>
      <c r="G234" s="8" t="s">
        <v>1599</v>
      </c>
      <c r="H234" s="24" t="s">
        <v>2209</v>
      </c>
      <c r="I234" s="37" t="str">
        <f t="shared" si="7"/>
        <v>INSERT INTO `parqueadero`.`conductor` (`Oid`, `IdConductor`, `Nombre`, `Area`, `Piso`, `Celular`, `correo`, `Vinculacion`) VALUES ('227','1075624493','JOSE DAVID GOMEZ REYES','Dirección de Financiación de Vivienda','','3178933490','jose.gomezr@habitatbogota.gov.co','CONTRATISTA');</v>
      </c>
    </row>
    <row r="235" spans="1:9" ht="14.4" x14ac:dyDescent="0.3">
      <c r="A235" s="16">
        <f t="shared" si="6"/>
        <v>228</v>
      </c>
      <c r="B235" s="6">
        <v>80755333</v>
      </c>
      <c r="C235" s="17" t="s">
        <v>1236</v>
      </c>
      <c r="D235" s="6" t="s">
        <v>2150</v>
      </c>
      <c r="E235" s="6"/>
      <c r="F235" s="6">
        <v>3115901496</v>
      </c>
      <c r="G235" s="8" t="s">
        <v>1238</v>
      </c>
      <c r="H235" s="24" t="s">
        <v>2209</v>
      </c>
      <c r="I235" s="37" t="str">
        <f t="shared" si="7"/>
        <v>INSERT INTO `parqueadero`.`conductor` (`Oid`, `IdConductor`, `Nombre`, `Area`, `Piso`, `Celular`, `correo`, `Vinculacion`) VALUES ('228','80755333','JOSE FERNANDO SANCHEZ BORDA','Dirección de Prevención Arrendamiento y Control de Enajenación','','3115901496','jose.sanchez@habitatbogota.gov.co','CONTRATISTA');</v>
      </c>
    </row>
    <row r="236" spans="1:9" ht="14.4" x14ac:dyDescent="0.3">
      <c r="A236" s="16">
        <f t="shared" si="6"/>
        <v>229</v>
      </c>
      <c r="B236" s="6">
        <v>1023867746</v>
      </c>
      <c r="C236" s="17" t="s">
        <v>2248</v>
      </c>
      <c r="D236" s="6" t="s">
        <v>1338</v>
      </c>
      <c r="E236" s="6"/>
      <c r="F236" s="6">
        <v>3118179706</v>
      </c>
      <c r="G236" s="8" t="s">
        <v>529</v>
      </c>
      <c r="H236" s="24" t="s">
        <v>2209</v>
      </c>
      <c r="I236" s="37" t="str">
        <f t="shared" si="7"/>
        <v>INSERT INTO `parqueadero`.`conductor` (`Oid`, `IdConductor`, `Nombre`, `Area`, `Piso`, `Celular`, `correo`, `Vinculacion`) VALUES ('229','1023867746','JOSÉ FRANCK MACHADO MORENO','Oficina de Participación y Relacionamiento con la Ciudadanía','','3118179706','josé.machado@habitatbogota.gov.co','CONTRATISTA');</v>
      </c>
    </row>
    <row r="237" spans="1:9" ht="14.4" x14ac:dyDescent="0.3">
      <c r="A237" s="16">
        <f t="shared" si="6"/>
        <v>230</v>
      </c>
      <c r="B237" s="17">
        <v>13741047</v>
      </c>
      <c r="C237" s="17" t="s">
        <v>543</v>
      </c>
      <c r="D237" s="6" t="s">
        <v>1905</v>
      </c>
      <c r="E237" s="6"/>
      <c r="F237" s="17">
        <v>3108128412</v>
      </c>
      <c r="G237" s="8" t="s">
        <v>545</v>
      </c>
      <c r="H237" s="24" t="s">
        <v>2209</v>
      </c>
      <c r="I237" s="37" t="str">
        <f t="shared" si="7"/>
        <v>INSERT INTO `parqueadero`.`conductor` (`Oid`, `IdConductor`, `Nombre`, `Area`, `Piso`, `Celular`, `correo`, `Vinculacion`) VALUES ('230','13741047','JOSÉ LUIS AGUILAR CASAS','Dirección de Contratación','','3108128412','jose.aguilar@habitatbogota.gov.co','CONTRATISTA');</v>
      </c>
    </row>
    <row r="238" spans="1:9" ht="14.4" x14ac:dyDescent="0.3">
      <c r="A238" s="16">
        <f t="shared" si="6"/>
        <v>231</v>
      </c>
      <c r="B238" s="17">
        <v>1106892760</v>
      </c>
      <c r="C238" s="17" t="s">
        <v>410</v>
      </c>
      <c r="D238" s="17" t="s">
        <v>1667</v>
      </c>
      <c r="E238" s="17"/>
      <c r="F238" s="17">
        <v>3015168315</v>
      </c>
      <c r="G238" s="8" t="s">
        <v>412</v>
      </c>
      <c r="H238" s="24" t="s">
        <v>2209</v>
      </c>
      <c r="I238" s="37" t="str">
        <f t="shared" si="7"/>
        <v>INSERT INTO `parqueadero`.`conductor` (`Oid`, `IdConductor`, `Nombre`, `Area`, `Piso`, `Celular`, `correo`, `Vinculacion`) VALUES ('231','1106892760','JOSE LUIS DAZA PEREZ','Oficina de Tecnología y Transformación Digital','','3015168315','jose.daza@habitatbogota.gov.co','CONTRATISTA');</v>
      </c>
    </row>
    <row r="239" spans="1:9" ht="14.4" x14ac:dyDescent="0.3">
      <c r="A239" s="16">
        <f t="shared" si="6"/>
        <v>232</v>
      </c>
      <c r="B239" s="6">
        <v>19494499</v>
      </c>
      <c r="C239" s="17" t="s">
        <v>1368</v>
      </c>
      <c r="D239" s="17" t="s">
        <v>1041</v>
      </c>
      <c r="E239" s="17"/>
      <c r="F239" s="6">
        <v>3124932667</v>
      </c>
      <c r="G239" s="8" t="s">
        <v>1369</v>
      </c>
      <c r="H239" s="24" t="s">
        <v>119</v>
      </c>
      <c r="I239" s="37" t="str">
        <f t="shared" si="7"/>
        <v>INSERT INTO `parqueadero`.`conductor` (`Oid`, `IdConductor`, `Nombre`, `Area`, `Piso`, `Celular`, `correo`, `Vinculacion`) VALUES ('232','19494499','JOSE MAURICIO ILLERA REYES','Dirección de Hábitat y Entorno','','3124932667','jose.illera@habitatbogota.gov.co','FUNCIONARIO');</v>
      </c>
    </row>
    <row r="240" spans="1:9" ht="14.4" x14ac:dyDescent="0.3">
      <c r="A240" s="16">
        <f t="shared" si="6"/>
        <v>233</v>
      </c>
      <c r="B240" s="6">
        <v>79507738</v>
      </c>
      <c r="C240" s="17" t="s">
        <v>1636</v>
      </c>
      <c r="D240" s="6" t="s">
        <v>201</v>
      </c>
      <c r="E240" s="6"/>
      <c r="F240" s="6">
        <v>3005566126</v>
      </c>
      <c r="G240" s="8" t="s">
        <v>1638</v>
      </c>
      <c r="H240" s="24" t="s">
        <v>2209</v>
      </c>
      <c r="I240" s="37" t="str">
        <f t="shared" si="7"/>
        <v>INSERT INTO `parqueadero`.`conductor` (`Oid`, `IdConductor`, `Nombre`, `Area`, `Piso`, `Celular`, `correo`, `Vinculacion`) VALUES ('233','79507738','JOSE MIGUEL BARRERA GRANADOS','Dirección de Mejoramiento Habitacional','','3005566126','jose.barrera@habitatbogota.gov.co','CONTRATISTA');</v>
      </c>
    </row>
    <row r="241" spans="1:9" ht="14.4" x14ac:dyDescent="0.3">
      <c r="A241" s="16">
        <f t="shared" si="6"/>
        <v>234</v>
      </c>
      <c r="B241" s="6">
        <v>79923325</v>
      </c>
      <c r="C241" s="17" t="s">
        <v>1736</v>
      </c>
      <c r="D241" s="17" t="s">
        <v>1667</v>
      </c>
      <c r="E241" s="17"/>
      <c r="F241" s="6">
        <v>3192975840</v>
      </c>
      <c r="G241" s="8" t="s">
        <v>1738</v>
      </c>
      <c r="H241" s="24" t="s">
        <v>2209</v>
      </c>
      <c r="I241" s="37" t="str">
        <f t="shared" si="7"/>
        <v>INSERT INTO `parqueadero`.`conductor` (`Oid`, `IdConductor`, `Nombre`, `Area`, `Piso`, `Celular`, `correo`, `Vinculacion`) VALUES ('234','79923325','JOSÉ MOISES CETINA TALADICHE','Oficina de Tecnología y Transformación Digital','','3192975840','jose.cetina@habitatbogota.gov.co','CONTRATISTA');</v>
      </c>
    </row>
    <row r="242" spans="1:9" ht="14.4" x14ac:dyDescent="0.3">
      <c r="A242" s="16">
        <f t="shared" si="6"/>
        <v>235</v>
      </c>
      <c r="B242" s="6">
        <v>13745497</v>
      </c>
      <c r="C242" s="17" t="s">
        <v>952</v>
      </c>
      <c r="D242" s="6" t="s">
        <v>500</v>
      </c>
      <c r="E242" s="6"/>
      <c r="F242" s="6">
        <v>3168346153</v>
      </c>
      <c r="G242" s="8" t="s">
        <v>954</v>
      </c>
      <c r="H242" s="24" t="s">
        <v>2209</v>
      </c>
      <c r="I242" s="37" t="str">
        <f t="shared" si="7"/>
        <v>INSERT INTO `parqueadero`.`conductor` (`Oid`, `IdConductor`, `Nombre`, `Area`, `Piso`, `Celular`, `correo`, `Vinculacion`) VALUES ('235','13745497','JOSE PABLO RUEDA SERRANO','Dirección de Financiación de Vivienda','','3168346153','jose.rueda@habitatbogota.gov.co','CONTRATISTA');</v>
      </c>
    </row>
    <row r="243" spans="1:9" ht="14.4" x14ac:dyDescent="0.3">
      <c r="A243" s="16">
        <f t="shared" si="6"/>
        <v>236</v>
      </c>
      <c r="B243" s="6">
        <v>79637566</v>
      </c>
      <c r="C243" s="17" t="s">
        <v>2077</v>
      </c>
      <c r="D243" s="6" t="s">
        <v>742</v>
      </c>
      <c r="E243" s="6"/>
      <c r="F243" s="6">
        <v>3132375796</v>
      </c>
      <c r="G243" s="8" t="s">
        <v>1268</v>
      </c>
      <c r="H243" s="24" t="s">
        <v>1280</v>
      </c>
      <c r="I243" s="37" t="str">
        <f t="shared" si="7"/>
        <v>INSERT INTO `parqueadero`.`conductor` (`Oid`, `IdConductor`, `Nombre`, `Area`, `Piso`, `Celular`, `correo`, `Vinculacion`) VALUES ('236','79637566','JOSÉ REINELIO MARÍN BETANCUR','Gestión Documental','','3132375796','correspondenciasdht@habitatbogota.gov.co','EXTERNO');</v>
      </c>
    </row>
    <row r="244" spans="1:9" ht="14.4" x14ac:dyDescent="0.3">
      <c r="A244" s="16">
        <f t="shared" si="6"/>
        <v>237</v>
      </c>
      <c r="B244" s="6">
        <v>1018493388</v>
      </c>
      <c r="C244" s="17" t="s">
        <v>2040</v>
      </c>
      <c r="D244" s="6" t="s">
        <v>1338</v>
      </c>
      <c r="E244" s="6"/>
      <c r="F244" s="6">
        <v>3102507006</v>
      </c>
      <c r="G244" s="8" t="s">
        <v>2042</v>
      </c>
      <c r="H244" s="24" t="s">
        <v>2209</v>
      </c>
      <c r="I244" s="37" t="str">
        <f t="shared" si="7"/>
        <v>INSERT INTO `parqueadero`.`conductor` (`Oid`, `IdConductor`, `Nombre`, `Area`, `Piso`, `Celular`, `correo`, `Vinculacion`) VALUES ('237','1018493388','JOSHUA MURILLO CUBEROS','Oficina de Participación y Relacionamiento con la Ciudadanía','','3102507006','joshua.murillo@habitatbogota.gov.co','CONTRATISTA');</v>
      </c>
    </row>
    <row r="245" spans="1:9" ht="14.4" x14ac:dyDescent="0.3">
      <c r="A245" s="16">
        <f t="shared" si="6"/>
        <v>238</v>
      </c>
      <c r="B245" s="6">
        <v>79690499</v>
      </c>
      <c r="C245" s="17" t="s">
        <v>1719</v>
      </c>
      <c r="D245" s="6" t="s">
        <v>201</v>
      </c>
      <c r="E245" s="6"/>
      <c r="F245" s="6">
        <v>3208448671</v>
      </c>
      <c r="G245" s="8" t="s">
        <v>1721</v>
      </c>
      <c r="H245" s="24" t="s">
        <v>2209</v>
      </c>
      <c r="I245" s="37" t="str">
        <f t="shared" si="7"/>
        <v>INSERT INTO `parqueadero`.`conductor` (`Oid`, `IdConductor`, `Nombre`, `Area`, `Piso`, `Celular`, `correo`, `Vinculacion`) VALUES ('238','79690499','JUAN ALBERTO RAMÍREZ RAMÍREZ','Dirección de Mejoramiento Habitacional','','3208448671','juan.ramirezra@habitatbogota.gov.co','CONTRATISTA');</v>
      </c>
    </row>
    <row r="246" spans="1:9" ht="14.4" x14ac:dyDescent="0.3">
      <c r="A246" s="16">
        <f t="shared" si="6"/>
        <v>239</v>
      </c>
      <c r="B246" s="17">
        <v>1012383494</v>
      </c>
      <c r="C246" s="17" t="s">
        <v>1222</v>
      </c>
      <c r="D246" s="6" t="s">
        <v>201</v>
      </c>
      <c r="E246" s="6"/>
      <c r="F246" s="17">
        <v>3124369221</v>
      </c>
      <c r="G246" s="8" t="s">
        <v>1224</v>
      </c>
      <c r="H246" s="24" t="s">
        <v>2209</v>
      </c>
      <c r="I246" s="37" t="str">
        <f t="shared" si="7"/>
        <v>INSERT INTO `parqueadero`.`conductor` (`Oid`, `IdConductor`, `Nombre`, `Area`, `Piso`, `Celular`, `correo`, `Vinculacion`) VALUES ('239','1012383494','JUAN ANDRES GONZALEZ MENDOZA','Dirección de Mejoramiento Habitacional','','3124369221','juan.gonzalezm@habitatbogota.gov.co','CONTRATISTA');</v>
      </c>
    </row>
    <row r="247" spans="1:9" ht="14.4" x14ac:dyDescent="0.3">
      <c r="A247" s="16">
        <f t="shared" si="6"/>
        <v>240</v>
      </c>
      <c r="B247" s="6">
        <v>1057593307</v>
      </c>
      <c r="C247" s="17" t="s">
        <v>167</v>
      </c>
      <c r="D247" s="6" t="s">
        <v>1562</v>
      </c>
      <c r="E247" s="6" t="s">
        <v>2200</v>
      </c>
      <c r="F247" s="6">
        <v>3183881512</v>
      </c>
      <c r="G247" s="8" t="s">
        <v>169</v>
      </c>
      <c r="H247" s="24" t="s">
        <v>2209</v>
      </c>
      <c r="I247" s="37" t="str">
        <f t="shared" si="7"/>
        <v>INSERT INTO `parqueadero`.`conductor` (`Oid`, `IdConductor`, `Nombre`, `Area`, `Piso`, `Celular`, `correo`, `Vinculacion`) VALUES ('240','1057593307','JUAN CAMILO CASTAÑEDA SANDOVAL','Dirección Financiera','Piso 11','3183881512','juan.castanedas@habitatbogota.gov.co','CONTRATISTA');</v>
      </c>
    </row>
    <row r="248" spans="1:9" ht="14.4" x14ac:dyDescent="0.3">
      <c r="A248" s="16">
        <f t="shared" si="6"/>
        <v>241</v>
      </c>
      <c r="B248" s="6">
        <v>1018402818</v>
      </c>
      <c r="C248" s="17" t="s">
        <v>183</v>
      </c>
      <c r="D248" s="6" t="s">
        <v>2111</v>
      </c>
      <c r="E248" s="6"/>
      <c r="F248" s="6">
        <v>3153923570</v>
      </c>
      <c r="G248" s="8" t="s">
        <v>185</v>
      </c>
      <c r="H248" s="24" t="s">
        <v>2209</v>
      </c>
      <c r="I248" s="37" t="str">
        <f t="shared" si="7"/>
        <v>INSERT INTO `parqueadero`.`conductor` (`Oid`, `IdConductor`, `Nombre`, `Area`, `Piso`, `Celular`, `correo`, `Vinculacion`) VALUES ('241','1018402818','JUAN CAMILO MOYA PATIÑO','Subsecretaría de Intervenciones Integrales','','3153923570','juan.moya@habitatbogota.gov.co','CONTRATISTA');</v>
      </c>
    </row>
    <row r="249" spans="1:9" ht="14.4" x14ac:dyDescent="0.3">
      <c r="A249" s="16">
        <f t="shared" si="6"/>
        <v>242</v>
      </c>
      <c r="B249" s="6">
        <v>11204191</v>
      </c>
      <c r="C249" s="17" t="s">
        <v>2249</v>
      </c>
      <c r="D249" s="6" t="s">
        <v>1338</v>
      </c>
      <c r="E249" s="6"/>
      <c r="F249" s="6">
        <v>3125349131</v>
      </c>
      <c r="G249" s="8" t="s">
        <v>515</v>
      </c>
      <c r="H249" s="24" t="s">
        <v>2209</v>
      </c>
      <c r="I249" s="37" t="str">
        <f t="shared" si="7"/>
        <v>INSERT INTO `parqueadero`.`conductor` (`Oid`, `IdConductor`, `Nombre`, `Area`, `Piso`, `Celular`, `correo`, `Vinculacion`) VALUES ('242','11204191','JUAN CARLOS CASTILLO QUINTANA','Oficina de Participación y Relacionamiento con la Ciudadanía','','3125349131','juan.castillo@habitatbogota.gov.co','CONTRATISTA');</v>
      </c>
    </row>
    <row r="250" spans="1:9" ht="14.4" x14ac:dyDescent="0.3">
      <c r="A250" s="16">
        <f t="shared" si="6"/>
        <v>243</v>
      </c>
      <c r="B250" s="6">
        <v>10270105</v>
      </c>
      <c r="C250" s="17" t="s">
        <v>278</v>
      </c>
      <c r="D250" s="6" t="s">
        <v>270</v>
      </c>
      <c r="E250" s="6"/>
      <c r="F250" s="6">
        <v>3002067716</v>
      </c>
      <c r="G250" s="8" t="s">
        <v>279</v>
      </c>
      <c r="H250" s="24" t="s">
        <v>119</v>
      </c>
      <c r="I250" s="37" t="str">
        <f t="shared" si="7"/>
        <v>INSERT INTO `parqueadero`.`conductor` (`Oid`, `IdConductor`, `Nombre`, `Area`, `Piso`, `Celular`, `correo`, `Vinculacion`) VALUES ('243','10270105','JUAN CARLOS HOYOS RODRIGUEZ','Dirección de Investigaciones y Control de Vivienda','','3002067716','juan.hoyosro@habitatbogota.gov.co','FUNCIONARIO');</v>
      </c>
    </row>
    <row r="251" spans="1:9" ht="14.4" x14ac:dyDescent="0.3">
      <c r="A251" s="16">
        <f t="shared" si="6"/>
        <v>244</v>
      </c>
      <c r="B251" s="6">
        <v>79754530</v>
      </c>
      <c r="C251" s="17" t="s">
        <v>2250</v>
      </c>
      <c r="D251" s="17" t="s">
        <v>207</v>
      </c>
      <c r="E251" s="17"/>
      <c r="F251" s="6">
        <v>3162263936</v>
      </c>
      <c r="G251" s="8" t="s">
        <v>475</v>
      </c>
      <c r="H251" s="24" t="s">
        <v>2209</v>
      </c>
      <c r="I251" s="37" t="str">
        <f t="shared" si="7"/>
        <v>INSERT INTO `parqueadero`.`conductor` (`Oid`, `IdConductor`, `Nombre`, `Area`, `Piso`, `Celular`, `correo`, `Vinculacion`) VALUES ('244','79754530','JUAN CARLOS LOZANO MAHECHA','Dirección de Gestión de Suelo','','3162263936','juan.lozano@habitatbogota.gov.co','CONTRATISTA');</v>
      </c>
    </row>
    <row r="252" spans="1:9" ht="14.4" x14ac:dyDescent="0.3">
      <c r="A252" s="16">
        <f t="shared" si="6"/>
        <v>245</v>
      </c>
      <c r="B252" s="6">
        <v>11204730</v>
      </c>
      <c r="C252" s="17" t="s">
        <v>718</v>
      </c>
      <c r="D252" s="17" t="s">
        <v>1395</v>
      </c>
      <c r="E252" s="17"/>
      <c r="F252" s="6">
        <v>3003093074</v>
      </c>
      <c r="G252" s="8" t="s">
        <v>719</v>
      </c>
      <c r="H252" s="24" t="s">
        <v>119</v>
      </c>
      <c r="I252" s="37" t="str">
        <f t="shared" si="7"/>
        <v>INSERT INTO `parqueadero`.`conductor` (`Oid`, `IdConductor`, `Nombre`, `Area`, `Piso`, `Celular`, `correo`, `Vinculacion`) VALUES ('245','11204730','JUAN CARLOS TORRES','Dirección de Servicios Públicos','','3003093074','juanc.torres@habitatbogota.gov.co','FUNCIONARIO');</v>
      </c>
    </row>
    <row r="253" spans="1:9" ht="14.4" x14ac:dyDescent="0.3">
      <c r="A253" s="16">
        <f t="shared" si="6"/>
        <v>246</v>
      </c>
      <c r="B253" s="6">
        <v>79798056</v>
      </c>
      <c r="C253" s="17" t="s">
        <v>836</v>
      </c>
      <c r="D253" s="6" t="s">
        <v>1353</v>
      </c>
      <c r="E253" s="6"/>
      <c r="F253" s="6">
        <v>3112816837</v>
      </c>
      <c r="G253" s="8" t="s">
        <v>838</v>
      </c>
      <c r="H253" s="24" t="s">
        <v>2209</v>
      </c>
      <c r="I253" s="37" t="str">
        <f t="shared" si="7"/>
        <v>INSERT INTO `parqueadero`.`conductor` (`Oid`, `IdConductor`, `Nombre`, `Area`, `Piso`, `Celular`, `correo`, `Vinculacion`) VALUES ('246','79798056','JUAN CARLOS TORRES BAUTISTA','Oficina Asesora de Comunicaciones','','3112816837','juan.torresb@habitatbogota.gov.co','CONTRATISTA');</v>
      </c>
    </row>
    <row r="254" spans="1:9" ht="14.4" x14ac:dyDescent="0.3">
      <c r="A254" s="16">
        <f t="shared" si="6"/>
        <v>247</v>
      </c>
      <c r="B254" s="17">
        <v>1140821506</v>
      </c>
      <c r="C254" s="17" t="s">
        <v>1084</v>
      </c>
      <c r="D254" s="6" t="s">
        <v>2150</v>
      </c>
      <c r="E254" s="6"/>
      <c r="F254" s="17">
        <v>3017541019</v>
      </c>
      <c r="G254" s="8" t="s">
        <v>1086</v>
      </c>
      <c r="H254" s="24" t="s">
        <v>2209</v>
      </c>
      <c r="I254" s="37" t="str">
        <f t="shared" si="7"/>
        <v>INSERT INTO `parqueadero`.`conductor` (`Oid`, `IdConductor`, `Nombre`, `Area`, `Piso`, `Celular`, `correo`, `Vinculacion`) VALUES ('247','1140821506','JUAN DAVID GUZMAN RIVERA','Dirección de Prevención Arrendamiento y Control de Enajenación','','3017541019','juan.guzman@habitatbogota.gov.co','CONTRATISTA');</v>
      </c>
    </row>
    <row r="255" spans="1:9" ht="14.4" x14ac:dyDescent="0.3">
      <c r="A255" s="16">
        <f t="shared" si="6"/>
        <v>248</v>
      </c>
      <c r="B255" s="17">
        <v>1015407149</v>
      </c>
      <c r="C255" s="17" t="s">
        <v>1787</v>
      </c>
      <c r="D255" s="17" t="s">
        <v>1395</v>
      </c>
      <c r="E255" s="17"/>
      <c r="F255" s="17">
        <v>3046732889</v>
      </c>
      <c r="G255" s="8" t="s">
        <v>1789</v>
      </c>
      <c r="H255" s="24" t="s">
        <v>2209</v>
      </c>
      <c r="I255" s="37" t="str">
        <f t="shared" si="7"/>
        <v>INSERT INTO `parqueadero`.`conductor` (`Oid`, `IdConductor`, `Nombre`, `Area`, `Piso`, `Celular`, `correo`, `Vinculacion`) VALUES ('248','1015407149','JUAN DAVID PULIDO REYES','Dirección de Servicios Públicos','','3046732889','juan.pulido@habitatbogota.gov.co','CONTRATISTA');</v>
      </c>
    </row>
    <row r="256" spans="1:9" ht="14.4" x14ac:dyDescent="0.3">
      <c r="A256" s="16">
        <f t="shared" si="6"/>
        <v>249</v>
      </c>
      <c r="B256" s="6">
        <v>19226003</v>
      </c>
      <c r="C256" s="17" t="s">
        <v>2082</v>
      </c>
      <c r="D256" s="6" t="s">
        <v>1006</v>
      </c>
      <c r="E256" s="6"/>
      <c r="F256" s="6">
        <v>3107778371</v>
      </c>
      <c r="G256" s="8" t="s">
        <v>2084</v>
      </c>
      <c r="H256" s="24" t="s">
        <v>2209</v>
      </c>
      <c r="I256" s="37" t="str">
        <f t="shared" si="7"/>
        <v>INSERT INTO `parqueadero`.`conductor` (`Oid`, `IdConductor`, `Nombre`, `Area`, `Piso`, `Celular`, `correo`, `Vinculacion`) VALUES ('249','19226003','JUAN FRANCISCO FORERO','Subsecretaría Jurídica','','3107778371','juan.forerog@habitatbogota.gov.co','CONTRATISTA');</v>
      </c>
    </row>
    <row r="257" spans="1:9" ht="14.4" x14ac:dyDescent="0.3">
      <c r="A257" s="16">
        <f t="shared" si="6"/>
        <v>250</v>
      </c>
      <c r="B257" s="6">
        <v>1026271116</v>
      </c>
      <c r="C257" s="17" t="s">
        <v>816</v>
      </c>
      <c r="D257" s="6" t="s">
        <v>270</v>
      </c>
      <c r="E257" s="6"/>
      <c r="F257" s="6">
        <v>3187948753</v>
      </c>
      <c r="G257" s="8" t="s">
        <v>817</v>
      </c>
      <c r="H257" s="24" t="s">
        <v>119</v>
      </c>
      <c r="I257" s="37" t="str">
        <f t="shared" si="7"/>
        <v>INSERT INTO `parqueadero`.`conductor` (`Oid`, `IdConductor`, `Nombre`, `Area`, `Piso`, `Celular`, `correo`, `Vinculacion`) VALUES ('250','1026271116','JUAN JOSÉ CORREDOR CABUYA','Dirección de Investigaciones y Control de Vivienda','','3187948753','juan.corredorc@habitatbogota.gov.co','FUNCIONARIO');</v>
      </c>
    </row>
    <row r="258" spans="1:9" ht="14.4" x14ac:dyDescent="0.3">
      <c r="A258" s="16">
        <f t="shared" si="6"/>
        <v>251</v>
      </c>
      <c r="B258" s="6">
        <v>94486941</v>
      </c>
      <c r="C258" s="17" t="s">
        <v>1758</v>
      </c>
      <c r="D258" s="17" t="s">
        <v>299</v>
      </c>
      <c r="E258" s="17"/>
      <c r="F258" s="6">
        <v>3108679091</v>
      </c>
      <c r="G258" s="8" t="s">
        <v>1760</v>
      </c>
      <c r="H258" s="24" t="s">
        <v>2209</v>
      </c>
      <c r="I258" s="37" t="str">
        <f t="shared" si="7"/>
        <v>INSERT INTO `parqueadero`.`conductor` (`Oid`, `IdConductor`, `Nombre`, `Area`, `Piso`, `Celular`, `correo`, `Vinculacion`) VALUES ('251','94486941','JUAN MANUEL CAICEDO CARDONA','Despacho','','3108679091','juan.caicedo@habitatbogota.gov.co','CONTRATISTA');</v>
      </c>
    </row>
    <row r="259" spans="1:9" ht="14.4" x14ac:dyDescent="0.3">
      <c r="A259" s="16">
        <f t="shared" si="6"/>
        <v>252</v>
      </c>
      <c r="B259" s="6">
        <v>1030579761</v>
      </c>
      <c r="C259" s="17" t="s">
        <v>1371</v>
      </c>
      <c r="D259" s="17" t="s">
        <v>1667</v>
      </c>
      <c r="E259" s="17"/>
      <c r="F259" s="6">
        <v>3168764102</v>
      </c>
      <c r="G259" s="8" t="s">
        <v>1373</v>
      </c>
      <c r="H259" s="24" t="s">
        <v>2209</v>
      </c>
      <c r="I259" s="37" t="str">
        <f t="shared" si="7"/>
        <v>INSERT INTO `parqueadero`.`conductor` (`Oid`, `IdConductor`, `Nombre`, `Area`, `Piso`, `Celular`, `correo`, `Vinculacion`) VALUES ('252','1030579761','JUAN PABLO ESCOBAR ROA','Oficina de Tecnología y Transformación Digital','','3168764102','juan.escobar@habitatbogota.gov.co','CONTRATISTA');</v>
      </c>
    </row>
    <row r="260" spans="1:9" ht="14.4" x14ac:dyDescent="0.3">
      <c r="A260" s="16">
        <f t="shared" si="6"/>
        <v>253</v>
      </c>
      <c r="B260" s="13">
        <v>1000522089</v>
      </c>
      <c r="C260" s="24" t="s">
        <v>1902</v>
      </c>
      <c r="D260" s="6" t="s">
        <v>1905</v>
      </c>
      <c r="E260" s="6"/>
      <c r="F260" s="13">
        <v>3204810462</v>
      </c>
      <c r="G260" s="8" t="s">
        <v>1904</v>
      </c>
      <c r="H260" s="24" t="s">
        <v>2209</v>
      </c>
      <c r="I260" s="37" t="str">
        <f t="shared" si="7"/>
        <v>INSERT INTO `parqueadero`.`conductor` (`Oid`, `IdConductor`, `Nombre`, `Area`, `Piso`, `Celular`, `correo`, `Vinculacion`) VALUES ('253','1000522089','JUAN PABLO LOBO LÓPEZ','Dirección de Contratación','','3204810462','juan.lobo@habitatbogota.gov.co','CONTRATISTA');</v>
      </c>
    </row>
    <row r="261" spans="1:9" ht="14.4" x14ac:dyDescent="0.3">
      <c r="A261" s="16">
        <f t="shared" si="6"/>
        <v>254</v>
      </c>
      <c r="B261" s="6">
        <v>80197126</v>
      </c>
      <c r="C261" s="17" t="s">
        <v>1415</v>
      </c>
      <c r="D261" s="6" t="s">
        <v>1338</v>
      </c>
      <c r="E261" s="6"/>
      <c r="F261" s="6">
        <v>3202098175</v>
      </c>
      <c r="G261" s="8" t="s">
        <v>1417</v>
      </c>
      <c r="H261" s="24" t="s">
        <v>2209</v>
      </c>
      <c r="I261" s="37" t="str">
        <f t="shared" si="7"/>
        <v>INSERT INTO `parqueadero`.`conductor` (`Oid`, `IdConductor`, `Nombre`, `Area`, `Piso`, `Celular`, `correo`, `Vinculacion`) VALUES ('254','80197126','JUAN PABLO RUBIO SGUERRA','Oficina de Participación y Relacionamiento con la Ciudadanía','','3202098175','juan.rubio@habitatbogota.gov.co','CONTRATISTA');</v>
      </c>
    </row>
    <row r="262" spans="1:9" ht="14.4" x14ac:dyDescent="0.3">
      <c r="A262" s="16">
        <f t="shared" si="6"/>
        <v>255</v>
      </c>
      <c r="B262" s="6">
        <v>79792606</v>
      </c>
      <c r="C262" s="17" t="s">
        <v>1742</v>
      </c>
      <c r="D262" s="6" t="s">
        <v>2150</v>
      </c>
      <c r="E262" s="6"/>
      <c r="F262" s="6">
        <v>3006658901</v>
      </c>
      <c r="G262" s="8" t="s">
        <v>1744</v>
      </c>
      <c r="H262" s="24" t="s">
        <v>2209</v>
      </c>
      <c r="I262" s="37" t="str">
        <f t="shared" si="7"/>
        <v>INSERT INTO `parqueadero`.`conductor` (`Oid`, `IdConductor`, `Nombre`, `Area`, `Piso`, `Celular`, `correo`, `Vinculacion`) VALUES ('255','79792606','JUAN PABLO VÁSQUES LINARES','Dirección de Prevención Arrendamiento y Control de Enajenación','','3006658901','juanpablo.vasques@gmail.com','CONTRATISTA');</v>
      </c>
    </row>
    <row r="263" spans="1:9" ht="14.4" x14ac:dyDescent="0.3">
      <c r="A263" s="16">
        <f t="shared" si="6"/>
        <v>256</v>
      </c>
      <c r="B263" s="6">
        <v>1016019711</v>
      </c>
      <c r="C263" s="17" t="s">
        <v>2251</v>
      </c>
      <c r="D263" s="6" t="s">
        <v>2150</v>
      </c>
      <c r="E263" s="6"/>
      <c r="F263" s="6">
        <v>3163210299</v>
      </c>
      <c r="G263" s="8" t="s">
        <v>1362</v>
      </c>
      <c r="H263" s="24" t="s">
        <v>2209</v>
      </c>
      <c r="I263" s="37" t="str">
        <f t="shared" si="7"/>
        <v>INSERT INTO `parqueadero`.`conductor` (`Oid`, `IdConductor`, `Nombre`, `Area`, `Piso`, `Celular`, `correo`, `Vinculacion`) VALUES ('256','1016019711','JULIAN ALEXANDER ZAMBRANO DIAZ','Dirección de Prevención Arrendamiento y Control de Enajenación','','3163210299','julianzambranodiaz@gmail.com','CONTRATISTA');</v>
      </c>
    </row>
    <row r="264" spans="1:9" ht="14.4" x14ac:dyDescent="0.3">
      <c r="A264" s="16">
        <f t="shared" ref="A264:A327" si="8">ROW()-7</f>
        <v>257</v>
      </c>
      <c r="B264" s="6">
        <v>1022356860</v>
      </c>
      <c r="C264" s="17" t="s">
        <v>667</v>
      </c>
      <c r="D264" s="6" t="s">
        <v>587</v>
      </c>
      <c r="E264" s="6"/>
      <c r="F264" s="6">
        <v>3004842838</v>
      </c>
      <c r="G264" s="8" t="s">
        <v>669</v>
      </c>
      <c r="H264" s="24" t="s">
        <v>2209</v>
      </c>
      <c r="I264" s="37" t="str">
        <f t="shared" ref="I264:I327" si="9">CONCATENATE("INSERT INTO `parqueadero`.`conductor` (`",$A$7,"`, `",$B$7,"`, `",$C$7,"`, `",$D$7,"`, `",$E$7,"`, `",$F$7,"`, `",$G$7,"`, `",$H$7,"`) VALUES ('",A264,"','",B264,"','",C264,"','",D264,"','",E264,"','",F264,"','",G264,"','",H264,"');" )</f>
        <v>INSERT INTO `parqueadero`.`conductor` (`Oid`, `IdConductor`, `Nombre`, `Area`, `Piso`, `Celular`, `correo`, `Vinculacion`) VALUES ('257','1022356860','JULIÁN DARÍO BONILLA RIOS','Dirección de Apoyo a la Contrucción','','3004842838','julian.bonillar@habitatbogota.gov.co','CONTRATISTA');</v>
      </c>
    </row>
    <row r="265" spans="1:9" ht="14.4" x14ac:dyDescent="0.3">
      <c r="A265" s="16">
        <f t="shared" si="8"/>
        <v>258</v>
      </c>
      <c r="B265" s="17">
        <v>1020806493</v>
      </c>
      <c r="C265" s="17" t="s">
        <v>978</v>
      </c>
      <c r="D265" s="6" t="s">
        <v>201</v>
      </c>
      <c r="E265" s="6"/>
      <c r="F265" s="17">
        <v>3115008521</v>
      </c>
      <c r="G265" s="8" t="s">
        <v>980</v>
      </c>
      <c r="H265" s="24" t="s">
        <v>2209</v>
      </c>
      <c r="I265" s="37" t="str">
        <f t="shared" si="9"/>
        <v>INSERT INTO `parqueadero`.`conductor` (`Oid`, `IdConductor`, `Nombre`, `Area`, `Piso`, `Celular`, `correo`, `Vinculacion`) VALUES ('258','1020806493','JULIÁN DAVID CASTRILLÓN UMAÑA','Dirección de Mejoramiento Habitacional','','3115008521','julian.castrillon@habitatbogota.gov.co','CONTRATISTA');</v>
      </c>
    </row>
    <row r="266" spans="1:9" ht="14.4" x14ac:dyDescent="0.3">
      <c r="A266" s="16">
        <f t="shared" si="8"/>
        <v>259</v>
      </c>
      <c r="B266" s="6">
        <v>1110473907</v>
      </c>
      <c r="C266" s="17" t="s">
        <v>1124</v>
      </c>
      <c r="D266" s="6" t="s">
        <v>500</v>
      </c>
      <c r="E266" s="6"/>
      <c r="F266" s="6">
        <v>3014300439</v>
      </c>
      <c r="G266" s="8" t="s">
        <v>1126</v>
      </c>
      <c r="H266" s="24" t="s">
        <v>2209</v>
      </c>
      <c r="I266" s="37" t="str">
        <f t="shared" si="9"/>
        <v>INSERT INTO `parqueadero`.`conductor` (`Oid`, `IdConductor`, `Nombre`, `Area`, `Piso`, `Celular`, `correo`, `Vinculacion`) VALUES ('259','1110473907','JULIÁN EDUARDO GUZMÁN LEÓN','Dirección de Financiación de Vivienda','','3014300439','julian.guzman@habitatbogota.gov.co','CONTRATISTA');</v>
      </c>
    </row>
    <row r="267" spans="1:9" ht="14.4" x14ac:dyDescent="0.3">
      <c r="A267" s="16">
        <f t="shared" si="8"/>
        <v>260</v>
      </c>
      <c r="B267" s="6">
        <v>11433116</v>
      </c>
      <c r="C267" s="17" t="s">
        <v>749</v>
      </c>
      <c r="D267" s="6" t="s">
        <v>270</v>
      </c>
      <c r="E267" s="6"/>
      <c r="F267" s="6">
        <v>3123789683</v>
      </c>
      <c r="G267" s="8" t="s">
        <v>750</v>
      </c>
      <c r="H267" s="24" t="s">
        <v>119</v>
      </c>
      <c r="I267" s="37" t="str">
        <f t="shared" si="9"/>
        <v>INSERT INTO `parqueadero`.`conductor` (`Oid`, `IdConductor`, `Nombre`, `Area`, `Piso`, `Celular`, `correo`, `Vinculacion`) VALUES ('260','11433116','JULIAN ERNESTO RODRIGUEZ SIERRA','Dirección de Investigaciones y Control de Vivienda','','3123789683','julian.rodriguez@habitatbogota.gov.co','FUNCIONARIO');</v>
      </c>
    </row>
    <row r="268" spans="1:9" ht="14.4" x14ac:dyDescent="0.3">
      <c r="A268" s="16">
        <f t="shared" si="8"/>
        <v>261</v>
      </c>
      <c r="B268" s="6">
        <v>1018437843</v>
      </c>
      <c r="C268" s="17" t="s">
        <v>1612</v>
      </c>
      <c r="D268" s="6" t="s">
        <v>1041</v>
      </c>
      <c r="E268" s="6"/>
      <c r="F268" s="6">
        <v>3008072126</v>
      </c>
      <c r="G268" s="8" t="s">
        <v>1614</v>
      </c>
      <c r="H268" s="24" t="s">
        <v>2209</v>
      </c>
      <c r="I268" s="37" t="str">
        <f t="shared" si="9"/>
        <v>INSERT INTO `parqueadero`.`conductor` (`Oid`, `IdConductor`, `Nombre`, `Area`, `Piso`, `Celular`, `correo`, `Vinculacion`) VALUES ('261','1018437843','JULIAN LIEVANO BERNAL','Dirección de Hábitat y Entorno','','3008072126','julianlievano@habitatbogota.gov.co','CONTRATISTA');</v>
      </c>
    </row>
    <row r="269" spans="1:9" ht="14.4" x14ac:dyDescent="0.3">
      <c r="A269" s="16">
        <f t="shared" si="8"/>
        <v>262</v>
      </c>
      <c r="B269" s="6">
        <v>1033698663</v>
      </c>
      <c r="C269" s="17" t="s">
        <v>1778</v>
      </c>
      <c r="D269" s="6" t="s">
        <v>1702</v>
      </c>
      <c r="E269" s="6"/>
      <c r="F269" s="6">
        <v>3229641950</v>
      </c>
      <c r="G269" s="8" t="s">
        <v>1779</v>
      </c>
      <c r="H269" s="24" t="s">
        <v>1280</v>
      </c>
      <c r="I269" s="37" t="str">
        <f t="shared" si="9"/>
        <v>INSERT INTO `parqueadero`.`conductor` (`Oid`, `IdConductor`, `Nombre`, `Area`, `Piso`, `Celular`, `correo`, `Vinculacion`) VALUES ('262','1033698663','JULIET PAOLA MUÑÓZ GÓMEZ','UT Clean Colombia','','3229641950','pm6979884@gmail.com','EXTERNO');</v>
      </c>
    </row>
    <row r="270" spans="1:9" ht="14.4" x14ac:dyDescent="0.3">
      <c r="A270" s="16">
        <f t="shared" si="8"/>
        <v>263</v>
      </c>
      <c r="B270" s="17">
        <v>79290465</v>
      </c>
      <c r="C270" s="17" t="s">
        <v>1380</v>
      </c>
      <c r="D270" s="6" t="s">
        <v>2150</v>
      </c>
      <c r="E270" s="6"/>
      <c r="F270" s="17">
        <v>3003117175</v>
      </c>
      <c r="G270" s="8" t="s">
        <v>1381</v>
      </c>
      <c r="H270" s="24" t="s">
        <v>119</v>
      </c>
      <c r="I270" s="37" t="str">
        <f t="shared" si="9"/>
        <v>INSERT INTO `parqueadero`.`conductor` (`Oid`, `IdConductor`, `Nombre`, `Area`, `Piso`, `Celular`, `correo`, `Vinculacion`) VALUES ('263','79290465','JULIO CESAR RAMIREZ LEON','Dirección de Prevención Arrendamiento y Control de Enajenación','','3003117175','julio.ramirez@habitatbogota.gov.co','FUNCIONARIO');</v>
      </c>
    </row>
    <row r="271" spans="1:9" ht="14.4" x14ac:dyDescent="0.3">
      <c r="A271" s="16">
        <f t="shared" si="8"/>
        <v>264</v>
      </c>
      <c r="B271" s="6">
        <v>53075545</v>
      </c>
      <c r="C271" s="17" t="s">
        <v>478</v>
      </c>
      <c r="D271" s="6" t="s">
        <v>500</v>
      </c>
      <c r="E271" s="6"/>
      <c r="F271" s="6">
        <v>3013397612</v>
      </c>
      <c r="G271" s="8" t="s">
        <v>480</v>
      </c>
      <c r="H271" s="24" t="s">
        <v>2209</v>
      </c>
      <c r="I271" s="37" t="str">
        <f t="shared" si="9"/>
        <v>INSERT INTO `parqueadero`.`conductor` (`Oid`, `IdConductor`, `Nombre`, `Area`, `Piso`, `Celular`, `correo`, `Vinculacion`) VALUES ('264','53075545','KAREN LORENA GAITAN MEDINA','Dirección de Financiación de Vivienda','','3013397612','karen.gaitan@habitatbogota.gov.co','CONTRATISTA');</v>
      </c>
    </row>
    <row r="272" spans="1:9" ht="14.4" x14ac:dyDescent="0.3">
      <c r="A272" s="16">
        <f t="shared" si="8"/>
        <v>265</v>
      </c>
      <c r="B272" s="6">
        <v>1000008186</v>
      </c>
      <c r="C272" s="17" t="s">
        <v>907</v>
      </c>
      <c r="D272" s="6" t="s">
        <v>2110</v>
      </c>
      <c r="E272" s="6"/>
      <c r="F272" s="6">
        <v>3006087040</v>
      </c>
      <c r="G272" s="8" t="s">
        <v>909</v>
      </c>
      <c r="H272" s="24" t="s">
        <v>2209</v>
      </c>
      <c r="I272" s="37" t="str">
        <f t="shared" si="9"/>
        <v>INSERT INTO `parqueadero`.`conductor` (`Oid`, `IdConductor`, `Nombre`, `Area`, `Piso`, `Celular`, `correo`, `Vinculacion`) VALUES ('265','1000008186','KAREN TATIANA RINCÓN ROZO','Subsecretaría de Vivienda','','3006087040','karen.rrozo28@gmail.com','CONTRATISTA');</v>
      </c>
    </row>
    <row r="273" spans="1:9" ht="14.4" x14ac:dyDescent="0.3">
      <c r="A273" s="16">
        <f t="shared" si="8"/>
        <v>266</v>
      </c>
      <c r="B273" s="6">
        <v>1023893878</v>
      </c>
      <c r="C273" s="17" t="s">
        <v>2252</v>
      </c>
      <c r="D273" s="6" t="s">
        <v>270</v>
      </c>
      <c r="E273" s="6"/>
      <c r="F273" s="6">
        <v>3144632678</v>
      </c>
      <c r="G273" s="8" t="s">
        <v>987</v>
      </c>
      <c r="H273" s="24" t="s">
        <v>119</v>
      </c>
      <c r="I273" s="37" t="str">
        <f t="shared" si="9"/>
        <v>INSERT INTO `parqueadero`.`conductor` (`Oid`, `IdConductor`, `Nombre`, `Area`, `Piso`, `Celular`, `correo`, `Vinculacion`) VALUES ('266','1023893878','KARENT RAMÍREZ BERNAL','Dirección de Investigaciones y Control de Vivienda','','3144632678','karent.ramirez@habitatbogota.gov.co','FUNCIONARIO');</v>
      </c>
    </row>
    <row r="274" spans="1:9" ht="14.4" x14ac:dyDescent="0.3">
      <c r="A274" s="16">
        <f t="shared" si="8"/>
        <v>267</v>
      </c>
      <c r="B274" s="6">
        <v>275407</v>
      </c>
      <c r="C274" s="17" t="s">
        <v>1281</v>
      </c>
      <c r="D274" s="6" t="s">
        <v>587</v>
      </c>
      <c r="E274" s="6"/>
      <c r="F274" s="6">
        <v>3123879339</v>
      </c>
      <c r="G274" s="8" t="s">
        <v>1283</v>
      </c>
      <c r="H274" s="24" t="s">
        <v>2209</v>
      </c>
      <c r="I274" s="37" t="str">
        <f t="shared" si="9"/>
        <v>INSERT INTO `parqueadero`.`conductor` (`Oid`, `IdConductor`, `Nombre`, `Area`, `Piso`, `Celular`, `correo`, `Vinculacion`) VALUES ('267','275407','KARLA IVETTE GÓMEZ HERNÁNDEZ','Dirección de Apoyo a la Contrucción','','3123879339','karla.gomez@habitatbogota.gov.co','CONTRATISTA');</v>
      </c>
    </row>
    <row r="275" spans="1:9" ht="14.4" x14ac:dyDescent="0.3">
      <c r="A275" s="16">
        <f t="shared" si="8"/>
        <v>268</v>
      </c>
      <c r="B275" s="6">
        <v>1010247161</v>
      </c>
      <c r="C275" s="17" t="s">
        <v>875</v>
      </c>
      <c r="D275" s="17" t="s">
        <v>1395</v>
      </c>
      <c r="E275" s="17"/>
      <c r="F275" s="6">
        <v>3014130619</v>
      </c>
      <c r="G275" s="8" t="s">
        <v>877</v>
      </c>
      <c r="H275" s="24" t="s">
        <v>2209</v>
      </c>
      <c r="I275" s="37" t="str">
        <f t="shared" si="9"/>
        <v>INSERT INTO `parqueadero`.`conductor` (`Oid`, `IdConductor`, `Nombre`, `Area`, `Piso`, `Celular`, `correo`, `Vinculacion`) VALUES ('268','1010247161','KENNY CATALINA GUEVARA BAQUERO','Dirección de Servicios Públicos','','3014130619','kenny.guevara@habitatbogota.gov.co','CONTRATISTA');</v>
      </c>
    </row>
    <row r="276" spans="1:9" ht="14.4" x14ac:dyDescent="0.3">
      <c r="A276" s="16">
        <f t="shared" si="8"/>
        <v>269</v>
      </c>
      <c r="B276" s="6">
        <v>1030545762</v>
      </c>
      <c r="C276" s="17" t="s">
        <v>35</v>
      </c>
      <c r="D276" s="6" t="s">
        <v>285</v>
      </c>
      <c r="E276" s="6"/>
      <c r="F276" s="6">
        <v>3105580024</v>
      </c>
      <c r="G276" s="8" t="s">
        <v>37</v>
      </c>
      <c r="H276" s="24" t="s">
        <v>2209</v>
      </c>
      <c r="I276" s="37" t="str">
        <f t="shared" si="9"/>
        <v>INSERT INTO `parqueadero`.`conductor` (`Oid`, `IdConductor`, `Nombre`, `Area`, `Piso`, `Celular`, `correo`, `Vinculacion`) VALUES ('269','1030545762','LADY CATERINE SUAREZ ARIAS','Oficina Asesora de Planeación','','3105580024','lady.suarez@habitatbogota.gov.co','CONTRATISTA');</v>
      </c>
    </row>
    <row r="277" spans="1:9" ht="14.4" x14ac:dyDescent="0.3">
      <c r="A277" s="16">
        <f t="shared" si="8"/>
        <v>270</v>
      </c>
      <c r="B277" s="6">
        <v>67023991</v>
      </c>
      <c r="C277" s="17" t="s">
        <v>745</v>
      </c>
      <c r="D277" s="6" t="s">
        <v>2110</v>
      </c>
      <c r="E277" s="6"/>
      <c r="F277" s="6">
        <v>3214263022</v>
      </c>
      <c r="G277" s="8" t="s">
        <v>747</v>
      </c>
      <c r="H277" s="24" t="s">
        <v>2209</v>
      </c>
      <c r="I277" s="37" t="str">
        <f t="shared" si="9"/>
        <v>INSERT INTO `parqueadero`.`conductor` (`Oid`, `IdConductor`, `Nombre`, `Area`, `Piso`, `Celular`, `correo`, `Vinculacion`) VALUES ('270','67023991','LADY JHOVANNA CANCHINVO VERNY','Subsecretaría de Vivienda','','3214263022','lady.canchinvo@habitatbogota.gov.co','CONTRATISTA');</v>
      </c>
    </row>
    <row r="278" spans="1:9" ht="14.4" x14ac:dyDescent="0.3">
      <c r="A278" s="16">
        <f t="shared" si="8"/>
        <v>271</v>
      </c>
      <c r="B278" s="17">
        <v>1020834737</v>
      </c>
      <c r="C278" s="17" t="s">
        <v>539</v>
      </c>
      <c r="D278" s="6" t="s">
        <v>1905</v>
      </c>
      <c r="E278" s="6"/>
      <c r="F278" s="17">
        <v>3176797300</v>
      </c>
      <c r="G278" s="8" t="s">
        <v>541</v>
      </c>
      <c r="H278" s="24" t="s">
        <v>2209</v>
      </c>
      <c r="I278" s="37" t="str">
        <f t="shared" si="9"/>
        <v>INSERT INTO `parqueadero`.`conductor` (`Oid`, `IdConductor`, `Nombre`, `Area`, `Piso`, `Celular`, `correo`, `Vinculacion`) VALUES ('271','1020834737','LAURA ALEJANDRA BARRAGÁN MONTENEGRO','Dirección de Contratación','','3176797300','laura.barragan@habitatbogota.gov.co','CONTRATISTA');</v>
      </c>
    </row>
    <row r="279" spans="1:9" ht="14.4" x14ac:dyDescent="0.3">
      <c r="A279" s="16">
        <f t="shared" si="8"/>
        <v>272</v>
      </c>
      <c r="B279" s="6">
        <v>1010206263</v>
      </c>
      <c r="C279" s="17" t="s">
        <v>2253</v>
      </c>
      <c r="D279" s="6" t="s">
        <v>2110</v>
      </c>
      <c r="E279" s="6"/>
      <c r="F279" s="6">
        <v>3204811196</v>
      </c>
      <c r="G279" s="8" t="s">
        <v>766</v>
      </c>
      <c r="H279" s="24" t="s">
        <v>2209</v>
      </c>
      <c r="I279" s="37" t="str">
        <f t="shared" si="9"/>
        <v>INSERT INTO `parqueadero`.`conductor` (`Oid`, `IdConductor`, `Nombre`, `Area`, `Piso`, `Celular`, `correo`, `Vinculacion`) VALUES ('272','1010206263','LAURA CAMILA DE LA HOZ','Subsecretaría de Vivienda','','3204811196','laura.delahoz@habitatbogota.gov.co','CONTRATISTA');</v>
      </c>
    </row>
    <row r="280" spans="1:9" ht="14.4" x14ac:dyDescent="0.3">
      <c r="A280" s="16">
        <f t="shared" si="8"/>
        <v>273</v>
      </c>
      <c r="B280" s="6">
        <v>1022399279</v>
      </c>
      <c r="C280" s="17" t="s">
        <v>1313</v>
      </c>
      <c r="D280" s="6" t="s">
        <v>325</v>
      </c>
      <c r="E280" s="6"/>
      <c r="F280" s="6">
        <v>3012115899</v>
      </c>
      <c r="G280" s="8" t="s">
        <v>1315</v>
      </c>
      <c r="H280" s="24" t="s">
        <v>2209</v>
      </c>
      <c r="I280" s="37" t="str">
        <f t="shared" si="9"/>
        <v>INSERT INTO `parqueadero`.`conductor` (`Oid`, `IdConductor`, `Nombre`, `Area`, `Piso`, `Celular`, `correo`, `Vinculacion`) VALUES ('273','1022399279','LAURA CAMILA ORDUÑA MONCADA','Dirección de Operaciones','','3012115899','laura.orduna@habitatbogota.gov.co','CONTRATISTA');</v>
      </c>
    </row>
    <row r="281" spans="1:9" ht="14.4" x14ac:dyDescent="0.3">
      <c r="A281" s="16">
        <f t="shared" si="8"/>
        <v>274</v>
      </c>
      <c r="B281" s="17">
        <v>1022437241</v>
      </c>
      <c r="C281" s="17" t="s">
        <v>1763</v>
      </c>
      <c r="D281" s="17" t="s">
        <v>1041</v>
      </c>
      <c r="E281" s="17"/>
      <c r="F281" s="17">
        <v>3102740524</v>
      </c>
      <c r="G281" s="8" t="s">
        <v>1765</v>
      </c>
      <c r="H281" s="24" t="s">
        <v>2209</v>
      </c>
      <c r="I281" s="37" t="str">
        <f t="shared" si="9"/>
        <v>INSERT INTO `parqueadero`.`conductor` (`Oid`, `IdConductor`, `Nombre`, `Area`, `Piso`, `Celular`, `correo`, `Vinculacion`) VALUES ('274','1022437241','LAURA CATALINA GÓMEZ LINARES ','Dirección de Hábitat y Entorno','','3102740524','gomezlaura.c98@gmail.com','CONTRATISTA');</v>
      </c>
    </row>
    <row r="282" spans="1:9" ht="14.4" x14ac:dyDescent="0.3">
      <c r="A282" s="16">
        <f t="shared" si="8"/>
        <v>275</v>
      </c>
      <c r="B282" s="6">
        <v>1026279388</v>
      </c>
      <c r="C282" s="17" t="s">
        <v>2254</v>
      </c>
      <c r="D282" s="6" t="s">
        <v>434</v>
      </c>
      <c r="E282" s="6" t="s">
        <v>2198</v>
      </c>
      <c r="F282" s="6">
        <v>3012286118</v>
      </c>
      <c r="G282" s="8" t="s">
        <v>484</v>
      </c>
      <c r="H282" s="24" t="s">
        <v>2209</v>
      </c>
      <c r="I282" s="37" t="str">
        <f t="shared" si="9"/>
        <v>INSERT INTO `parqueadero`.`conductor` (`Oid`, `IdConductor`, `Nombre`, `Area`, `Piso`, `Celular`, `correo`, `Vinculacion`) VALUES ('275','1026279388','LAURA CATALINA MARTÍNEZ LÓPEZ','Dirección Administrativa','Piso 12','3012286118','laura.martinez@habitatbogota.gov.co','CONTRATISTA');</v>
      </c>
    </row>
    <row r="283" spans="1:9" ht="14.4" x14ac:dyDescent="0.3">
      <c r="A283" s="16">
        <f t="shared" si="8"/>
        <v>276</v>
      </c>
      <c r="B283" s="6">
        <v>1020797353</v>
      </c>
      <c r="C283" s="17" t="s">
        <v>97</v>
      </c>
      <c r="D283" s="6" t="s">
        <v>325</v>
      </c>
      <c r="E283" s="6"/>
      <c r="F283" s="6">
        <v>3125877916</v>
      </c>
      <c r="G283" s="8" t="s">
        <v>99</v>
      </c>
      <c r="H283" s="24" t="s">
        <v>2209</v>
      </c>
      <c r="I283" s="37" t="str">
        <f t="shared" si="9"/>
        <v>INSERT INTO `parqueadero`.`conductor` (`Oid`, `IdConductor`, `Nombre`, `Area`, `Piso`, `Celular`, `correo`, `Vinculacion`) VALUES ('276','1020797353','LAURA JULIANA CRUZ BARRERA','Dirección de Operaciones','','3125877916','laura.cruz@habitatbogota.gov.co','CONTRATISTA');</v>
      </c>
    </row>
    <row r="284" spans="1:9" ht="14.4" x14ac:dyDescent="0.3">
      <c r="A284" s="16">
        <f t="shared" si="8"/>
        <v>277</v>
      </c>
      <c r="B284" s="6">
        <v>1010244782</v>
      </c>
      <c r="C284" s="17" t="s">
        <v>340</v>
      </c>
      <c r="D284" s="6" t="s">
        <v>325</v>
      </c>
      <c r="E284" s="6"/>
      <c r="F284" s="6">
        <v>3196717980</v>
      </c>
      <c r="G284" s="8" t="s">
        <v>342</v>
      </c>
      <c r="H284" s="24" t="s">
        <v>2209</v>
      </c>
      <c r="I284" s="37" t="str">
        <f t="shared" si="9"/>
        <v>INSERT INTO `parqueadero`.`conductor` (`Oid`, `IdConductor`, `Nombre`, `Area`, `Piso`, `Celular`, `correo`, `Vinculacion`) VALUES ('277','1010244782','LAURA JULIANA SANCHEZ SIACHOQUE','Dirección de Operaciones','','3196717980','laura.sanchezs@habitatbogota.gov.co','CONTRATISTA');</v>
      </c>
    </row>
    <row r="285" spans="1:9" ht="14.4" x14ac:dyDescent="0.3">
      <c r="A285" s="16">
        <f t="shared" si="8"/>
        <v>278</v>
      </c>
      <c r="B285" s="6">
        <v>52547327</v>
      </c>
      <c r="C285" s="17" t="s">
        <v>360</v>
      </c>
      <c r="D285" s="6" t="s">
        <v>325</v>
      </c>
      <c r="E285" s="6"/>
      <c r="F285" s="6">
        <v>3158496892</v>
      </c>
      <c r="G285" s="8" t="s">
        <v>362</v>
      </c>
      <c r="H285" s="24" t="s">
        <v>2209</v>
      </c>
      <c r="I285" s="37" t="str">
        <f t="shared" si="9"/>
        <v>INSERT INTO `parqueadero`.`conductor` (`Oid`, `IdConductor`, `Nombre`, `Area`, `Piso`, `Celular`, `correo`, `Vinculacion`) VALUES ('278','52547327','LAURA MANTILLA VILLA','Dirección de Operaciones','','3158496892','laura.mantilla@habitatbogota.gov.co','CONTRATISTA');</v>
      </c>
    </row>
    <row r="286" spans="1:9" ht="14.4" x14ac:dyDescent="0.3">
      <c r="A286" s="16">
        <f t="shared" si="8"/>
        <v>279</v>
      </c>
      <c r="B286" s="6">
        <v>52707802</v>
      </c>
      <c r="C286" s="17" t="s">
        <v>1529</v>
      </c>
      <c r="D286" s="17" t="s">
        <v>1395</v>
      </c>
      <c r="E286" s="17"/>
      <c r="F286" s="6">
        <v>3008281052</v>
      </c>
      <c r="G286" s="8" t="s">
        <v>1530</v>
      </c>
      <c r="H286" s="24" t="s">
        <v>119</v>
      </c>
      <c r="I286" s="37" t="str">
        <f t="shared" si="9"/>
        <v>INSERT INTO `parqueadero`.`conductor` (`Oid`, `IdConductor`, `Nombre`, `Area`, `Piso`, `Celular`, `correo`, `Vinculacion`) VALUES ('279','52707802','LAURA MARINA GALEANO CASTILLO','Dirección de Servicios Públicos','','3008281052','laura.galeano@habitatbogota.gov.co','FUNCIONARIO');</v>
      </c>
    </row>
    <row r="287" spans="1:9" ht="14.4" x14ac:dyDescent="0.3">
      <c r="A287" s="16">
        <f t="shared" si="8"/>
        <v>280</v>
      </c>
      <c r="B287" s="6">
        <v>1019111965</v>
      </c>
      <c r="C287" s="17" t="s">
        <v>1030</v>
      </c>
      <c r="D287" s="17" t="s">
        <v>299</v>
      </c>
      <c r="E287" s="17"/>
      <c r="F287" s="6">
        <v>3183795565</v>
      </c>
      <c r="G287" s="8" t="s">
        <v>1031</v>
      </c>
      <c r="H287" s="24" t="s">
        <v>119</v>
      </c>
      <c r="I287" s="37" t="str">
        <f t="shared" si="9"/>
        <v>INSERT INTO `parqueadero`.`conductor` (`Oid`, `IdConductor`, `Nombre`, `Area`, `Piso`, `Celular`, `correo`, `Vinculacion`) VALUES ('280','1019111965','LAURA ROJAS','Despacho','','3183795565','laura.rojasc@habitatbogota.gov.co','FUNCIONARIO');</v>
      </c>
    </row>
    <row r="288" spans="1:9" ht="14.4" x14ac:dyDescent="0.3">
      <c r="A288" s="16">
        <f t="shared" si="8"/>
        <v>281</v>
      </c>
      <c r="B288" s="17">
        <v>1000604330</v>
      </c>
      <c r="C288" s="17" t="s">
        <v>1038</v>
      </c>
      <c r="D288" s="17" t="s">
        <v>1041</v>
      </c>
      <c r="E288" s="17"/>
      <c r="F288" s="17">
        <v>3042217727</v>
      </c>
      <c r="G288" s="8" t="s">
        <v>1040</v>
      </c>
      <c r="H288" s="24" t="s">
        <v>2209</v>
      </c>
      <c r="I288" s="37" t="str">
        <f t="shared" si="9"/>
        <v>INSERT INTO `parqueadero`.`conductor` (`Oid`, `IdConductor`, `Nombre`, `Area`, `Piso`, `Celular`, `correo`, `Vinculacion`) VALUES ('281','1000604330','LAURA VALENTINA ALIPIO PEDREROS','Dirección de Hábitat y Entorno','','3042217727','laura.alipio@habitatbogota.gov.co','CONTRATISTA');</v>
      </c>
    </row>
    <row r="289" spans="1:9" ht="14.4" x14ac:dyDescent="0.3">
      <c r="A289" s="16">
        <f t="shared" si="8"/>
        <v>282</v>
      </c>
      <c r="B289" s="6">
        <v>1018491200</v>
      </c>
      <c r="C289" s="17" t="s">
        <v>1335</v>
      </c>
      <c r="D289" s="6" t="s">
        <v>1338</v>
      </c>
      <c r="E289" s="6"/>
      <c r="F289" s="6">
        <v>3125891253</v>
      </c>
      <c r="G289" s="8" t="s">
        <v>1337</v>
      </c>
      <c r="H289" s="24" t="s">
        <v>2209</v>
      </c>
      <c r="I289" s="37" t="str">
        <f t="shared" si="9"/>
        <v>INSERT INTO `parqueadero`.`conductor` (`Oid`, `IdConductor`, `Nombre`, `Area`, `Piso`, `Celular`, `correo`, `Vinculacion`) VALUES ('282','1018491200','LAURA VALENTINA CAMPOS MONROY','Oficina de Participación y Relacionamiento con la Ciudadanía','','3125891253','laura.campos@habitatbogota.gov.co','CONTRATISTA');</v>
      </c>
    </row>
    <row r="290" spans="1:9" ht="14.4" x14ac:dyDescent="0.3">
      <c r="A290" s="16">
        <f t="shared" si="8"/>
        <v>283</v>
      </c>
      <c r="B290" s="6">
        <v>63560810</v>
      </c>
      <c r="C290" s="17" t="s">
        <v>1554</v>
      </c>
      <c r="D290" s="6" t="s">
        <v>1229</v>
      </c>
      <c r="E290" s="6"/>
      <c r="F290" s="6">
        <v>3166898811</v>
      </c>
      <c r="G290" s="8" t="s">
        <v>1556</v>
      </c>
      <c r="H290" s="24" t="s">
        <v>2209</v>
      </c>
      <c r="I290" s="37" t="str">
        <f t="shared" si="9"/>
        <v>INSERT INTO `parqueadero`.`conductor` (`Oid`, `IdConductor`, `Nombre`, `Area`, `Piso`, `Celular`, `correo`, `Vinculacion`) VALUES ('283','63560810','LAURA YADIRA ACEVEDO LOPEZ','Dirección de Información de Políticas Públicas','','3166898811','laura.acevedo@habitatbogota.gov.co','CONTRATISTA');</v>
      </c>
    </row>
    <row r="291" spans="1:9" ht="14.4" x14ac:dyDescent="0.3">
      <c r="A291" s="16">
        <f t="shared" si="8"/>
        <v>284</v>
      </c>
      <c r="B291" s="6">
        <v>1024496377</v>
      </c>
      <c r="C291" s="17" t="s">
        <v>2255</v>
      </c>
      <c r="D291" s="6" t="s">
        <v>325</v>
      </c>
      <c r="E291" s="6"/>
      <c r="F291" s="6">
        <v>3193786568</v>
      </c>
      <c r="G291" s="8" t="s">
        <v>711</v>
      </c>
      <c r="H291" s="24" t="s">
        <v>2209</v>
      </c>
      <c r="I291" s="37" t="str">
        <f t="shared" si="9"/>
        <v>INSERT INTO `parqueadero`.`conductor` (`Oid`, `IdConductor`, `Nombre`, `Area`, `Piso`, `Celular`, `correo`, `Vinculacion`) VALUES ('284','1024496377','LEIDY MARCELA TRUJILLO MATIZ','Dirección de Operaciones','','3193786568','leidy.trujillo@habitatbogota.gov.co','CONTRATISTA');</v>
      </c>
    </row>
    <row r="292" spans="1:9" ht="14.4" x14ac:dyDescent="0.3">
      <c r="A292" s="16">
        <f t="shared" si="8"/>
        <v>285</v>
      </c>
      <c r="B292" s="6">
        <v>1014261209</v>
      </c>
      <c r="C292" s="17" t="s">
        <v>1355</v>
      </c>
      <c r="D292" s="6" t="s">
        <v>2111</v>
      </c>
      <c r="E292" s="6"/>
      <c r="F292" s="6">
        <v>3023851942</v>
      </c>
      <c r="G292" s="8" t="s">
        <v>1357</v>
      </c>
      <c r="H292" s="24" t="s">
        <v>2209</v>
      </c>
      <c r="I292" s="37" t="str">
        <f t="shared" si="9"/>
        <v>INSERT INTO `parqueadero`.`conductor` (`Oid`, `IdConductor`, `Nombre`, `Area`, `Piso`, `Celular`, `correo`, `Vinculacion`) VALUES ('285','1014261209','LEIDY MILENA MONTAÑA GUTIERREZ','Subsecretaría de Intervenciones Integrales','','3023851942','leidy.montana@habitatbogota.gov.co','CONTRATISTA');</v>
      </c>
    </row>
    <row r="293" spans="1:9" ht="14.4" x14ac:dyDescent="0.3">
      <c r="A293" s="16">
        <f t="shared" si="8"/>
        <v>286</v>
      </c>
      <c r="B293" s="6">
        <v>1018428215</v>
      </c>
      <c r="C293" s="17" t="s">
        <v>1267</v>
      </c>
      <c r="D293" s="6" t="s">
        <v>742</v>
      </c>
      <c r="E293" s="6"/>
      <c r="F293" s="6">
        <v>3024705162</v>
      </c>
      <c r="G293" s="8" t="s">
        <v>1268</v>
      </c>
      <c r="H293" s="24" t="s">
        <v>1280</v>
      </c>
      <c r="I293" s="37" t="str">
        <f t="shared" si="9"/>
        <v>INSERT INTO `parqueadero`.`conductor` (`Oid`, `IdConductor`, `Nombre`, `Area`, `Piso`, `Celular`, `correo`, `Vinculacion`) VALUES ('286','1018428215','LEONARDO GOMEZ ROSAS','Gestión Documental','','3024705162','correspondenciasdht@habitatbogota.gov.co','EXTERNO');</v>
      </c>
    </row>
    <row r="294" spans="1:9" ht="14.4" x14ac:dyDescent="0.3">
      <c r="A294" s="16">
        <f t="shared" si="8"/>
        <v>287</v>
      </c>
      <c r="B294" s="6">
        <v>1078347237</v>
      </c>
      <c r="C294" s="17" t="s">
        <v>2256</v>
      </c>
      <c r="D294" s="6" t="s">
        <v>500</v>
      </c>
      <c r="E294" s="6"/>
      <c r="F294" s="6">
        <v>3015595583</v>
      </c>
      <c r="G294" s="8" t="s">
        <v>997</v>
      </c>
      <c r="H294" s="24" t="s">
        <v>2209</v>
      </c>
      <c r="I294" s="37" t="str">
        <f t="shared" si="9"/>
        <v>INSERT INTO `parqueadero`.`conductor` (`Oid`, `IdConductor`, `Nombre`, `Area`, `Piso`, `Celular`, `correo`, `Vinculacion`) VALUES ('287','1078347237','LEYDI ROCIO AYALA CAMARGO','Dirección de Financiación de Vivienda','','3015595583','leydi.ayala@habitatbogota.gov.co','CONTRATISTA');</v>
      </c>
    </row>
    <row r="295" spans="1:9" ht="14.4" x14ac:dyDescent="0.3">
      <c r="A295" s="16">
        <f t="shared" si="8"/>
        <v>288</v>
      </c>
      <c r="B295" s="6">
        <v>53047446</v>
      </c>
      <c r="C295" s="17" t="s">
        <v>619</v>
      </c>
      <c r="D295" s="6" t="s">
        <v>2110</v>
      </c>
      <c r="E295" s="6"/>
      <c r="F295" s="6">
        <v>3214141813</v>
      </c>
      <c r="G295" s="8" t="s">
        <v>620</v>
      </c>
      <c r="H295" s="24" t="s">
        <v>119</v>
      </c>
      <c r="I295" s="37" t="str">
        <f t="shared" si="9"/>
        <v>INSERT INTO `parqueadero`.`conductor` (`Oid`, `IdConductor`, `Nombre`, `Area`, `Piso`, `Celular`, `correo`, `Vinculacion`) VALUES ('288','53047446','LILIANA MARCELA BASTO ZABALA','Subsecretaría de Vivienda','','3214141813','liliana.basto@habitatbogota.gov.co','FUNCIONARIO');</v>
      </c>
    </row>
    <row r="296" spans="1:9" ht="14.4" x14ac:dyDescent="0.3">
      <c r="A296" s="16">
        <f t="shared" si="8"/>
        <v>289</v>
      </c>
      <c r="B296" s="13">
        <v>52181754</v>
      </c>
      <c r="C296" s="24" t="s">
        <v>1804</v>
      </c>
      <c r="D296" s="17" t="s">
        <v>1395</v>
      </c>
      <c r="E296" s="17"/>
      <c r="F296" s="13">
        <v>3102953413</v>
      </c>
      <c r="G296" s="8" t="s">
        <v>1806</v>
      </c>
      <c r="H296" s="24" t="s">
        <v>2209</v>
      </c>
      <c r="I296" s="37" t="str">
        <f t="shared" si="9"/>
        <v>INSERT INTO `parqueadero`.`conductor` (`Oid`, `IdConductor`, `Nombre`, `Area`, `Piso`, `Celular`, `correo`, `Vinculacion`) VALUES ('289','52181754','LIZA PAOLA GRUESSO CELY','Dirección de Servicios Públicos','','3102953413','liza.gruesso@habitatbogota.gov.co','CONTRATISTA');</v>
      </c>
    </row>
    <row r="297" spans="1:9" ht="14.4" x14ac:dyDescent="0.3">
      <c r="A297" s="16">
        <f t="shared" si="8"/>
        <v>290</v>
      </c>
      <c r="B297" s="6">
        <v>1069078793</v>
      </c>
      <c r="C297" s="17" t="s">
        <v>2257</v>
      </c>
      <c r="D297" s="6" t="s">
        <v>325</v>
      </c>
      <c r="E297" s="6"/>
      <c r="F297" s="6">
        <v>3145019361</v>
      </c>
      <c r="G297" s="8" t="s">
        <v>1403</v>
      </c>
      <c r="H297" s="24" t="s">
        <v>2209</v>
      </c>
      <c r="I297" s="37" t="str">
        <f t="shared" si="9"/>
        <v>INSERT INTO `parqueadero`.`conductor` (`Oid`, `IdConductor`, `Nombre`, `Area`, `Piso`, `Celular`, `correo`, `Vinculacion`) VALUES ('290','1069078793','LIZETH KATHERINE BERMÚDEZ GÓMEZ','Dirección de Operaciones','','3145019361','lizeth.bermudez@habitatbogota.gov.co','CONTRATISTA');</v>
      </c>
    </row>
    <row r="298" spans="1:9" ht="14.4" x14ac:dyDescent="0.3">
      <c r="A298" s="16">
        <f t="shared" si="8"/>
        <v>291</v>
      </c>
      <c r="B298" s="6">
        <v>1026273797</v>
      </c>
      <c r="C298" s="17" t="s">
        <v>2050</v>
      </c>
      <c r="D298" s="6" t="s">
        <v>2149</v>
      </c>
      <c r="E298" s="6"/>
      <c r="F298" s="6">
        <v>3014965324</v>
      </c>
      <c r="G298" s="8" t="s">
        <v>2052</v>
      </c>
      <c r="H298" s="24" t="s">
        <v>2209</v>
      </c>
      <c r="I298" s="37" t="str">
        <f t="shared" si="9"/>
        <v>INSERT INTO `parqueadero`.`conductor` (`Oid`, `IdConductor`, `Nombre`, `Area`, `Piso`, `Celular`, `correo`, `Vinculacion`) VALUES ('291','1026273797','LIZETH XIMENA RINCÓN PRIETO','Subsecretaría de Inspección Vigilancia y Control de Vivienda','','3014965324','lizeth.rincon@habitatbogota.gov.co','CONTRATISTA');</v>
      </c>
    </row>
    <row r="299" spans="1:9" ht="14.4" x14ac:dyDescent="0.3">
      <c r="A299" s="16">
        <f t="shared" si="8"/>
        <v>292</v>
      </c>
      <c r="B299" s="17">
        <v>1014191355</v>
      </c>
      <c r="C299" s="17" t="s">
        <v>227</v>
      </c>
      <c r="D299" s="6" t="s">
        <v>2149</v>
      </c>
      <c r="E299" s="6"/>
      <c r="F299" s="17">
        <v>3202239548</v>
      </c>
      <c r="G299" s="8" t="s">
        <v>229</v>
      </c>
      <c r="H299" s="24" t="s">
        <v>2209</v>
      </c>
      <c r="I299" s="37" t="str">
        <f t="shared" si="9"/>
        <v>INSERT INTO `parqueadero`.`conductor` (`Oid`, `IdConductor`, `Nombre`, `Area`, `Piso`, `Celular`, `correo`, `Vinculacion`) VALUES ('292','1014191355','LORENA CAJAMARCA GALEANO','Subsecretaría de Inspección Vigilancia y Control de Vivienda','','3202239548','lorena.cajamarca@habitatbogota.gov.co','CONTRATISTA');</v>
      </c>
    </row>
    <row r="300" spans="1:9" ht="14.4" x14ac:dyDescent="0.3">
      <c r="A300" s="16">
        <f t="shared" si="8"/>
        <v>293</v>
      </c>
      <c r="B300" s="6">
        <v>19366198</v>
      </c>
      <c r="C300" s="17" t="s">
        <v>1187</v>
      </c>
      <c r="D300" s="6" t="s">
        <v>587</v>
      </c>
      <c r="E300" s="6"/>
      <c r="F300" s="6">
        <v>3112277645</v>
      </c>
      <c r="G300" s="8" t="s">
        <v>1189</v>
      </c>
      <c r="H300" s="24" t="s">
        <v>2209</v>
      </c>
      <c r="I300" s="37" t="str">
        <f t="shared" si="9"/>
        <v>INSERT INTO `parqueadero`.`conductor` (`Oid`, `IdConductor`, `Nombre`, `Area`, `Piso`, `Celular`, `correo`, `Vinculacion`) VALUES ('293','19366198','LUIS ALBERTO RODRÍGUEZ PUERTO','Dirección de Apoyo a la Contrucción','','3112277645','luis.rodriguez@habitatbogota.gov.co','CONTRATISTA');</v>
      </c>
    </row>
    <row r="301" spans="1:9" ht="14.4" x14ac:dyDescent="0.3">
      <c r="A301" s="16">
        <f t="shared" si="8"/>
        <v>294</v>
      </c>
      <c r="B301" s="6">
        <v>79938373</v>
      </c>
      <c r="C301" s="17" t="s">
        <v>574</v>
      </c>
      <c r="D301" s="6" t="s">
        <v>587</v>
      </c>
      <c r="E301" s="6"/>
      <c r="F301" s="6">
        <v>3015403942</v>
      </c>
      <c r="G301" s="8" t="s">
        <v>576</v>
      </c>
      <c r="H301" s="24" t="s">
        <v>2209</v>
      </c>
      <c r="I301" s="37" t="str">
        <f t="shared" si="9"/>
        <v>INSERT INTO `parqueadero`.`conductor` (`Oid`, `IdConductor`, `Nombre`, `Area`, `Piso`, `Celular`, `correo`, `Vinculacion`) VALUES ('294','79938373','LUIS ALEJANDRO FAJARDO RAMIREZ','Dirección de Apoyo a la Contrucción','','3015403942','luis.fajardo@habitatbogota.gov.co','CONTRATISTA');</v>
      </c>
    </row>
    <row r="302" spans="1:9" ht="14.4" x14ac:dyDescent="0.3">
      <c r="A302" s="16">
        <f t="shared" si="8"/>
        <v>295</v>
      </c>
      <c r="B302" s="6">
        <v>79881307</v>
      </c>
      <c r="C302" s="17" t="s">
        <v>926</v>
      </c>
      <c r="D302" s="6" t="s">
        <v>270</v>
      </c>
      <c r="E302" s="6"/>
      <c r="F302" s="6">
        <v>3125860568</v>
      </c>
      <c r="G302" s="8" t="s">
        <v>928</v>
      </c>
      <c r="H302" s="24" t="s">
        <v>2209</v>
      </c>
      <c r="I302" s="37" t="str">
        <f t="shared" si="9"/>
        <v>INSERT INTO `parqueadero`.`conductor` (`Oid`, `IdConductor`, `Nombre`, `Area`, `Piso`, `Celular`, `correo`, `Vinculacion`) VALUES ('295','79881307','LUIS ANDRÉS PEDRAZA GORDO','Dirección de Investigaciones y Control de Vivienda','','3125860568','luis.pedraza@habitatbogota.gov.co','CONTRATISTA');</v>
      </c>
    </row>
    <row r="303" spans="1:9" ht="14.4" x14ac:dyDescent="0.3">
      <c r="A303" s="16">
        <f t="shared" si="8"/>
        <v>296</v>
      </c>
      <c r="B303" s="6">
        <v>6769668</v>
      </c>
      <c r="C303" s="17" t="s">
        <v>852</v>
      </c>
      <c r="D303" s="6" t="s">
        <v>500</v>
      </c>
      <c r="E303" s="6"/>
      <c r="F303" s="6">
        <v>3105680410</v>
      </c>
      <c r="G303" s="8" t="s">
        <v>853</v>
      </c>
      <c r="H303" s="24" t="s">
        <v>119</v>
      </c>
      <c r="I303" s="37" t="str">
        <f t="shared" si="9"/>
        <v>INSERT INTO `parqueadero`.`conductor` (`Oid`, `IdConductor`, `Nombre`, `Area`, `Piso`, `Celular`, `correo`, `Vinculacion`) VALUES ('296','6769668','LUIS ANTONIO SARMIENTO MELO','Dirección de Financiación de Vivienda','','3105680410','luis.sarmiento@habitatbogota.gov.co','FUNCIONARIO');</v>
      </c>
    </row>
    <row r="304" spans="1:9" ht="14.4" x14ac:dyDescent="0.3">
      <c r="A304" s="16">
        <f t="shared" si="8"/>
        <v>297</v>
      </c>
      <c r="B304" s="6">
        <v>79385393</v>
      </c>
      <c r="C304" s="17" t="s">
        <v>1448</v>
      </c>
      <c r="D304" s="6" t="s">
        <v>434</v>
      </c>
      <c r="E304" s="6" t="s">
        <v>2198</v>
      </c>
      <c r="F304" s="6">
        <v>3013564276</v>
      </c>
      <c r="G304" s="8" t="s">
        <v>1449</v>
      </c>
      <c r="H304" s="24" t="s">
        <v>119</v>
      </c>
      <c r="I304" s="37" t="str">
        <f t="shared" si="9"/>
        <v>INSERT INTO `parqueadero`.`conductor` (`Oid`, `IdConductor`, `Nombre`, `Area`, `Piso`, `Celular`, `correo`, `Vinculacion`) VALUES ('297','79385393','LUIS EFREN CORTES BELTRAN','Dirección Administrativa','Piso 12','3013564276','luis.cortes@habitatbogota.gov.co','FUNCIONARIO');</v>
      </c>
    </row>
    <row r="305" spans="1:9" ht="14.4" x14ac:dyDescent="0.3">
      <c r="A305" s="16">
        <f t="shared" si="8"/>
        <v>298</v>
      </c>
      <c r="B305" s="6">
        <v>1140882040</v>
      </c>
      <c r="C305" s="17" t="s">
        <v>2064</v>
      </c>
      <c r="D305" s="6" t="s">
        <v>1905</v>
      </c>
      <c r="E305" s="6"/>
      <c r="F305" s="6">
        <v>3016863440</v>
      </c>
      <c r="G305" s="8" t="s">
        <v>2066</v>
      </c>
      <c r="H305" s="24" t="s">
        <v>2209</v>
      </c>
      <c r="I305" s="37" t="str">
        <f t="shared" si="9"/>
        <v>INSERT INTO `parqueadero`.`conductor` (`Oid`, `IdConductor`, `Nombre`, `Area`, `Piso`, `Celular`, `correo`, `Vinculacion`) VALUES ('298','1140882040','LUIS EMIRO MAESTRE DE LA ESPRIELLA','Dirección de Contratación','','3016863440','luis.maestre@habitatbogota.gov.co','CONTRATISTA');</v>
      </c>
    </row>
    <row r="306" spans="1:9" ht="14.4" x14ac:dyDescent="0.3">
      <c r="A306" s="16">
        <f t="shared" si="8"/>
        <v>299</v>
      </c>
      <c r="B306" s="6">
        <v>1010243381</v>
      </c>
      <c r="C306" s="17" t="s">
        <v>1259</v>
      </c>
      <c r="D306" s="6" t="s">
        <v>325</v>
      </c>
      <c r="E306" s="6"/>
      <c r="F306" s="6">
        <v>3334004194</v>
      </c>
      <c r="G306" s="8" t="s">
        <v>1261</v>
      </c>
      <c r="H306" s="24" t="s">
        <v>2209</v>
      </c>
      <c r="I306" s="37" t="str">
        <f t="shared" si="9"/>
        <v>INSERT INTO `parqueadero`.`conductor` (`Oid`, `IdConductor`, `Nombre`, `Area`, `Piso`, `Celular`, `correo`, `Vinculacion`) VALUES ('299','1010243381','LUIS FELIPE CARMONA MORENO','Dirección de Operaciones','','3334004194','luis.carmona@habitatbogota.gov.co','CONTRATISTA');</v>
      </c>
    </row>
    <row r="307" spans="1:9" ht="14.4" x14ac:dyDescent="0.3">
      <c r="A307" s="16">
        <f t="shared" si="8"/>
        <v>300</v>
      </c>
      <c r="B307" s="6">
        <v>1030579980</v>
      </c>
      <c r="C307" s="17" t="s">
        <v>832</v>
      </c>
      <c r="D307" s="6" t="s">
        <v>2109</v>
      </c>
      <c r="E307" s="6"/>
      <c r="F307" s="6">
        <v>3112350620</v>
      </c>
      <c r="G307" s="8" t="s">
        <v>834</v>
      </c>
      <c r="H307" s="24" t="s">
        <v>2209</v>
      </c>
      <c r="I307" s="37" t="str">
        <f t="shared" si="9"/>
        <v>INSERT INTO `parqueadero`.`conductor` (`Oid`, `IdConductor`, `Nombre`, `Area`, `Piso`, `Celular`, `correo`, `Vinculacion`) VALUES ('300','1030579980','LUIS FELIPE TAMARA RENZA','Dirección de Estructuracion de Proyectos','','3112350620','luis.tamara@habitatbogota.gov.co','CONTRATISTA');</v>
      </c>
    </row>
    <row r="308" spans="1:9" ht="14.4" x14ac:dyDescent="0.3">
      <c r="A308" s="16">
        <f t="shared" si="8"/>
        <v>301</v>
      </c>
      <c r="B308" s="6">
        <v>1015399199</v>
      </c>
      <c r="C308" s="17" t="s">
        <v>1211</v>
      </c>
      <c r="D308" s="6" t="s">
        <v>2149</v>
      </c>
      <c r="E308" s="6"/>
      <c r="F308" s="6">
        <v>3112896785</v>
      </c>
      <c r="G308" s="8" t="s">
        <v>1213</v>
      </c>
      <c r="H308" s="24" t="s">
        <v>2209</v>
      </c>
      <c r="I308" s="37" t="str">
        <f t="shared" si="9"/>
        <v>INSERT INTO `parqueadero`.`conductor` (`Oid`, `IdConductor`, `Nombre`, `Area`, `Piso`, `Celular`, `correo`, `Vinculacion`) VALUES ('301','1015399199','LUIS FERNANDO HOLGUIN SUAREZ','Subsecretaría de Inspección Vigilancia y Control de Vivienda','','3112896785','luis.holguin@habitatbogota.gov.co','CONTRATISTA');</v>
      </c>
    </row>
    <row r="309" spans="1:9" ht="14.4" x14ac:dyDescent="0.3">
      <c r="A309" s="16">
        <f t="shared" si="8"/>
        <v>302</v>
      </c>
      <c r="B309" s="13">
        <v>7225361</v>
      </c>
      <c r="C309" s="24" t="s">
        <v>1817</v>
      </c>
      <c r="D309" s="6" t="s">
        <v>2150</v>
      </c>
      <c r="E309" s="6"/>
      <c r="F309" s="13">
        <v>3125294122</v>
      </c>
      <c r="G309" s="8" t="s">
        <v>1819</v>
      </c>
      <c r="H309" s="24" t="s">
        <v>2209</v>
      </c>
      <c r="I309" s="37" t="str">
        <f t="shared" si="9"/>
        <v>INSERT INTO `parqueadero`.`conductor` (`Oid`, `IdConductor`, `Nombre`, `Area`, `Piso`, `Celular`, `correo`, `Vinculacion`) VALUES ('302','7225361','LUÍS GONZALO LÓPEZ CAMARGO','Dirección de Prevención Arrendamiento y Control de Enajenación','','3125294122','luis.lopez@habitatbogota.gov.co','CONTRATISTA');</v>
      </c>
    </row>
    <row r="310" spans="1:9" ht="14.4" x14ac:dyDescent="0.3">
      <c r="A310" s="16">
        <f t="shared" si="8"/>
        <v>303</v>
      </c>
      <c r="B310" s="6">
        <v>79941715</v>
      </c>
      <c r="C310" s="17" t="s">
        <v>2258</v>
      </c>
      <c r="D310" s="6" t="s">
        <v>201</v>
      </c>
      <c r="E310" s="6"/>
      <c r="F310" s="6">
        <v>3002063453</v>
      </c>
      <c r="G310" s="8" t="s">
        <v>1460</v>
      </c>
      <c r="H310" s="24" t="s">
        <v>2209</v>
      </c>
      <c r="I310" s="37" t="str">
        <f t="shared" si="9"/>
        <v>INSERT INTO `parqueadero`.`conductor` (`Oid`, `IdConductor`, `Nombre`, `Area`, `Piso`, `Celular`, `correo`, `Vinculacion`) VALUES ('303','79941715','LUIS HORACIO URQUIJO ADÁRRAGA','Dirección de Mejoramiento Habitacional','','3002063453','luis.urquijoa@habitatbogota.gov.co','CONTRATISTA');</v>
      </c>
    </row>
    <row r="311" spans="1:9" ht="14.4" x14ac:dyDescent="0.3">
      <c r="A311" s="16">
        <f t="shared" si="8"/>
        <v>304</v>
      </c>
      <c r="B311" s="6">
        <v>52710323</v>
      </c>
      <c r="C311" s="17" t="s">
        <v>282</v>
      </c>
      <c r="D311" s="6" t="s">
        <v>285</v>
      </c>
      <c r="E311" s="6"/>
      <c r="F311" s="6">
        <v>3133871937</v>
      </c>
      <c r="G311" s="8" t="s">
        <v>284</v>
      </c>
      <c r="H311" s="24" t="s">
        <v>2209</v>
      </c>
      <c r="I311" s="37" t="str">
        <f t="shared" si="9"/>
        <v>INSERT INTO `parqueadero`.`conductor` (`Oid`, `IdConductor`, `Nombre`, `Area`, `Piso`, `Celular`, `correo`, `Vinculacion`) VALUES ('304','52710323','LUISA FERNANDA AREVALO SANABRIA','Oficina Asesora de Planeación','','3133871937','luisa.arevalo@habitatbogota.gov.co','CONTRATISTA');</v>
      </c>
    </row>
    <row r="312" spans="1:9" ht="14.4" x14ac:dyDescent="0.3">
      <c r="A312" s="16">
        <f t="shared" si="8"/>
        <v>305</v>
      </c>
      <c r="B312" s="6">
        <v>1014255328</v>
      </c>
      <c r="C312" s="17" t="s">
        <v>405</v>
      </c>
      <c r="D312" s="6" t="s">
        <v>2111</v>
      </c>
      <c r="E312" s="6"/>
      <c r="F312" s="6">
        <v>3013244204</v>
      </c>
      <c r="G312" s="8" t="s">
        <v>407</v>
      </c>
      <c r="H312" s="24" t="s">
        <v>2209</v>
      </c>
      <c r="I312" s="37" t="str">
        <f t="shared" si="9"/>
        <v>INSERT INTO `parqueadero`.`conductor` (`Oid`, `IdConductor`, `Nombre`, `Area`, `Piso`, `Celular`, `correo`, `Vinculacion`) VALUES ('305','1014255328','LUISA FERNANDA MORENO LOMBANA','Subsecretaría de Intervenciones Integrales','','3013244204','luisa.moreno@habitatbogota.gov.co','CONTRATISTA');</v>
      </c>
    </row>
    <row r="313" spans="1:9" ht="14.4" x14ac:dyDescent="0.3">
      <c r="A313" s="16">
        <f t="shared" si="8"/>
        <v>306</v>
      </c>
      <c r="B313" s="6">
        <v>1010222069</v>
      </c>
      <c r="C313" s="17" t="s">
        <v>87</v>
      </c>
      <c r="D313" s="6" t="s">
        <v>1905</v>
      </c>
      <c r="E313" s="6"/>
      <c r="F313" s="6">
        <v>3106664184</v>
      </c>
      <c r="G313" s="8" t="s">
        <v>89</v>
      </c>
      <c r="H313" s="24" t="s">
        <v>2209</v>
      </c>
      <c r="I313" s="37" t="str">
        <f t="shared" si="9"/>
        <v>INSERT INTO `parqueadero`.`conductor` (`Oid`, `IdConductor`, `Nombre`, `Area`, `Piso`, `Celular`, `correo`, `Vinculacion`) VALUES ('306','1010222069','LUISA FERNANDA TOVAR CORAL','Dirección de Contratación','','3106664184','luisa.tovar@habitatbogota.gov.co','CONTRATISTA');</v>
      </c>
    </row>
    <row r="314" spans="1:9" ht="14.4" x14ac:dyDescent="0.3">
      <c r="A314" s="16">
        <f t="shared" si="8"/>
        <v>307</v>
      </c>
      <c r="B314" s="6">
        <v>51836043</v>
      </c>
      <c r="C314" s="17" t="s">
        <v>1934</v>
      </c>
      <c r="D314" s="6" t="s">
        <v>2150</v>
      </c>
      <c r="E314" s="6"/>
      <c r="F314" s="6">
        <v>3123602046</v>
      </c>
      <c r="G314" s="8" t="s">
        <v>1936</v>
      </c>
      <c r="H314" s="24" t="s">
        <v>2209</v>
      </c>
      <c r="I314" s="37" t="str">
        <f t="shared" si="9"/>
        <v>INSERT INTO `parqueadero`.`conductor` (`Oid`, `IdConductor`, `Nombre`, `Area`, `Piso`, `Celular`, `correo`, `Vinculacion`) VALUES ('307','51836043','LUZ AMANDA HERNÁNDEZ PÉREZ','Dirección de Prevención Arrendamiento y Control de Enajenación','','3123602046','luz.hernandez@habitatbogota.gov.co','CONTRATISTA');</v>
      </c>
    </row>
    <row r="315" spans="1:9" ht="14.4" x14ac:dyDescent="0.3">
      <c r="A315" s="16">
        <f t="shared" si="8"/>
        <v>308</v>
      </c>
      <c r="B315" s="6">
        <v>1032444607</v>
      </c>
      <c r="C315" s="17" t="s">
        <v>1946</v>
      </c>
      <c r="D315" s="6" t="s">
        <v>1698</v>
      </c>
      <c r="E315" s="6"/>
      <c r="F315" s="34"/>
      <c r="G315" s="8" t="s">
        <v>1947</v>
      </c>
      <c r="H315" s="24" t="s">
        <v>1280</v>
      </c>
      <c r="I315" s="37" t="str">
        <f t="shared" si="9"/>
        <v>INSERT INTO `parqueadero`.`conductor` (`Oid`, `IdConductor`, `Nombre`, `Area`, `Piso`, `Celular`, `correo`, `Vinculacion`) VALUES ('308','1032444607','LUZ GARCÍA SIERRA','Contraloría de Bogotá','','','contraloriadis@habitatbogota.gov.co','EXTERNO');</v>
      </c>
    </row>
    <row r="316" spans="1:9" ht="14.4" x14ac:dyDescent="0.3">
      <c r="A316" s="16">
        <f t="shared" si="8"/>
        <v>309</v>
      </c>
      <c r="B316" s="6">
        <v>51974917</v>
      </c>
      <c r="C316" s="17" t="s">
        <v>673</v>
      </c>
      <c r="D316" s="6" t="s">
        <v>500</v>
      </c>
      <c r="E316" s="6"/>
      <c r="F316" s="6">
        <v>3175767854</v>
      </c>
      <c r="G316" s="8" t="s">
        <v>675</v>
      </c>
      <c r="H316" s="24" t="s">
        <v>2209</v>
      </c>
      <c r="I316" s="37" t="str">
        <f t="shared" si="9"/>
        <v>INSERT INTO `parqueadero`.`conductor` (`Oid`, `IdConductor`, `Nombre`, `Area`, `Piso`, `Celular`, `correo`, `Vinculacion`) VALUES ('309','51974917','MAGDA ROSARIO MENDOZA GOMEZ','Dirección de Financiación de Vivienda','','3175767854','magda.mendoza@habitatbogota.gov.co','CONTRATISTA');</v>
      </c>
    </row>
    <row r="317" spans="1:9" ht="14.4" x14ac:dyDescent="0.3">
      <c r="A317" s="16">
        <f t="shared" si="8"/>
        <v>310</v>
      </c>
      <c r="B317" s="17">
        <v>37863986</v>
      </c>
      <c r="C317" s="17" t="s">
        <v>1429</v>
      </c>
      <c r="D317" s="6" t="s">
        <v>285</v>
      </c>
      <c r="E317" s="6"/>
      <c r="F317" s="17">
        <v>3142962242</v>
      </c>
      <c r="G317" s="8" t="s">
        <v>1431</v>
      </c>
      <c r="H317" s="24" t="s">
        <v>2209</v>
      </c>
      <c r="I317" s="37" t="str">
        <f t="shared" si="9"/>
        <v>INSERT INTO `parqueadero`.`conductor` (`Oid`, `IdConductor`, `Nombre`, `Area`, `Piso`, `Celular`, `correo`, `Vinculacion`) VALUES ('310','37863986','MAGDA YOLIMA PEÑA CARREÑO','Oficina Asesora de Planeación','','3142962242','magda.pena@habitatbogota.gov.co','CONTRATISTA');</v>
      </c>
    </row>
    <row r="318" spans="1:9" ht="14.4" x14ac:dyDescent="0.3">
      <c r="A318" s="16">
        <f t="shared" si="8"/>
        <v>311</v>
      </c>
      <c r="B318" s="6">
        <v>51655384</v>
      </c>
      <c r="C318" s="17" t="s">
        <v>1183</v>
      </c>
      <c r="D318" s="6" t="s">
        <v>270</v>
      </c>
      <c r="E318" s="6"/>
      <c r="F318" s="6">
        <v>3132946422</v>
      </c>
      <c r="G318" s="8" t="s">
        <v>1185</v>
      </c>
      <c r="H318" s="24" t="s">
        <v>2209</v>
      </c>
      <c r="I318" s="37" t="str">
        <f t="shared" si="9"/>
        <v>INSERT INTO `parqueadero`.`conductor` (`Oid`, `IdConductor`, `Nombre`, `Area`, `Piso`, `Celular`, `correo`, `Vinculacion`) VALUES ('311','51655384','MAGNOLIA CAMARGO','Dirección de Investigaciones y Control de Vivienda','','3132946422','magnolia.camargo@habitatbogota.gov.co','CONTRATISTA');</v>
      </c>
    </row>
    <row r="319" spans="1:9" ht="14.4" x14ac:dyDescent="0.3">
      <c r="A319" s="16">
        <f t="shared" si="8"/>
        <v>312</v>
      </c>
      <c r="B319" s="6">
        <v>52353521</v>
      </c>
      <c r="C319" s="17" t="s">
        <v>2259</v>
      </c>
      <c r="D319" s="6" t="s">
        <v>500</v>
      </c>
      <c r="E319" s="6"/>
      <c r="F319" s="6">
        <v>3008310602</v>
      </c>
      <c r="G319" s="8" t="s">
        <v>1096</v>
      </c>
      <c r="H319" s="24" t="s">
        <v>2209</v>
      </c>
      <c r="I319" s="37" t="str">
        <f t="shared" si="9"/>
        <v>INSERT INTO `parqueadero`.`conductor` (`Oid`, `IdConductor`, `Nombre`, `Area`, `Piso`, `Celular`, `correo`, `Vinculacion`) VALUES ('312','52353521','MAIA GARCIA CARDOSO','Dirección de Financiación de Vivienda','','3008310602','maia.garcia@habitatbogota.gov.co','CONTRATISTA');</v>
      </c>
    </row>
    <row r="320" spans="1:9" ht="14.4" x14ac:dyDescent="0.3">
      <c r="A320" s="16">
        <f t="shared" si="8"/>
        <v>313</v>
      </c>
      <c r="B320" s="6">
        <v>80205861</v>
      </c>
      <c r="C320" s="17" t="s">
        <v>13</v>
      </c>
      <c r="D320" s="6" t="s">
        <v>434</v>
      </c>
      <c r="E320" s="6" t="s">
        <v>2198</v>
      </c>
      <c r="F320" s="6">
        <v>3004470549</v>
      </c>
      <c r="G320" s="8" t="s">
        <v>2108</v>
      </c>
      <c r="H320" s="24" t="s">
        <v>2209</v>
      </c>
      <c r="I320" s="37" t="str">
        <f t="shared" si="9"/>
        <v>INSERT INTO `parqueadero`.`conductor` (`Oid`, `IdConductor`, `Nombre`, `Area`, `Piso`, `Celular`, `correo`, `Vinculacion`) VALUES ('313','80205861','MANUEL ALEJANDRO VALENCIA MURILLO','Dirección Administrativa','Piso 12','3004470549','manuel.valencia@habitatbogota.gov.co','CONTRATISTA');</v>
      </c>
    </row>
    <row r="321" spans="1:9" ht="14.4" x14ac:dyDescent="0.3">
      <c r="A321" s="16">
        <f t="shared" si="8"/>
        <v>314</v>
      </c>
      <c r="B321" s="6">
        <v>1072656830</v>
      </c>
      <c r="C321" s="17" t="s">
        <v>1538</v>
      </c>
      <c r="D321" s="6" t="s">
        <v>1338</v>
      </c>
      <c r="E321" s="6"/>
      <c r="F321" s="6">
        <v>3150464421</v>
      </c>
      <c r="G321" s="8" t="s">
        <v>1540</v>
      </c>
      <c r="H321" s="24" t="s">
        <v>2209</v>
      </c>
      <c r="I321" s="37" t="str">
        <f t="shared" si="9"/>
        <v>INSERT INTO `parqueadero`.`conductor` (`Oid`, `IdConductor`, `Nombre`, `Area`, `Piso`, `Celular`, `correo`, `Vinculacion`) VALUES ('314','1072656830','MANUEL DAVID AREVALO HIGARRERO','Oficina de Participación y Relacionamiento con la Ciudadanía','','3150464421','manuel.arevalo@habitatbogota.gov.co','CONTRATISTA');</v>
      </c>
    </row>
    <row r="322" spans="1:9" ht="14.4" x14ac:dyDescent="0.3">
      <c r="A322" s="16">
        <f t="shared" si="8"/>
        <v>315</v>
      </c>
      <c r="B322" s="6">
        <v>79334791</v>
      </c>
      <c r="C322" s="17" t="s">
        <v>1660</v>
      </c>
      <c r="D322" s="6" t="s">
        <v>434</v>
      </c>
      <c r="E322" s="6" t="s">
        <v>2198</v>
      </c>
      <c r="F322" s="6">
        <v>3105537440</v>
      </c>
      <c r="G322" s="8" t="s">
        <v>1661</v>
      </c>
      <c r="H322" s="24" t="s">
        <v>119</v>
      </c>
      <c r="I322" s="37" t="str">
        <f t="shared" si="9"/>
        <v>INSERT INTO `parqueadero`.`conductor` (`Oid`, `IdConductor`, `Nombre`, `Area`, `Piso`, `Celular`, `correo`, `Vinculacion`) VALUES ('315','79334791','MANUEL JAVIER MONCADA GALLÓN','Dirección Administrativa','Piso 12','3105537440','moncada.manuel@habitatbogota.gov.co','FUNCIONARIO');</v>
      </c>
    </row>
    <row r="323" spans="1:9" ht="14.4" x14ac:dyDescent="0.3">
      <c r="A323" s="16">
        <f t="shared" si="8"/>
        <v>316</v>
      </c>
      <c r="B323" s="17">
        <v>80019944</v>
      </c>
      <c r="C323" s="17" t="s">
        <v>1497</v>
      </c>
      <c r="D323" s="6" t="s">
        <v>434</v>
      </c>
      <c r="E323" s="6" t="s">
        <v>2198</v>
      </c>
      <c r="F323" s="17">
        <v>3015363830</v>
      </c>
      <c r="G323" s="8" t="s">
        <v>1499</v>
      </c>
      <c r="H323" s="24" t="s">
        <v>2209</v>
      </c>
      <c r="I323" s="37" t="str">
        <f t="shared" si="9"/>
        <v>INSERT INTO `parqueadero`.`conductor` (`Oid`, `IdConductor`, `Nombre`, `Area`, `Piso`, `Celular`, `correo`, `Vinculacion`) VALUES ('316','80019944','MANUEL ORLANDO PEÑA USCATEGUI','Dirección Administrativa','Piso 12','3015363830','manuel.pena@habitatbogota.gov.co','CONTRATISTA');</v>
      </c>
    </row>
    <row r="324" spans="1:9" ht="14.4" x14ac:dyDescent="0.3">
      <c r="A324" s="16">
        <f t="shared" si="8"/>
        <v>317</v>
      </c>
      <c r="B324" s="6">
        <v>79595346</v>
      </c>
      <c r="C324" s="17" t="s">
        <v>2260</v>
      </c>
      <c r="D324" s="6" t="s">
        <v>500</v>
      </c>
      <c r="E324" s="6"/>
      <c r="F324" s="6">
        <v>3174775788</v>
      </c>
      <c r="G324" s="8" t="s">
        <v>1435</v>
      </c>
      <c r="H324" s="24" t="s">
        <v>2209</v>
      </c>
      <c r="I324" s="37" t="str">
        <f t="shared" si="9"/>
        <v>INSERT INTO `parqueadero`.`conductor` (`Oid`, `IdConductor`, `Nombre`, `Area`, `Piso`, `Celular`, `correo`, `Vinculacion`) VALUES ('317','79595346','MARCO FIDEL GÓMEZ CORREDOR','Dirección de Financiación de Vivienda','','3174775788','marco.gomez@habitatbogota.gov.co','CONTRATISTA');</v>
      </c>
    </row>
    <row r="325" spans="1:9" ht="14.4" x14ac:dyDescent="0.3">
      <c r="A325" s="16">
        <f t="shared" si="8"/>
        <v>318</v>
      </c>
      <c r="B325" s="6">
        <v>1015461189</v>
      </c>
      <c r="C325" s="17" t="s">
        <v>594</v>
      </c>
      <c r="D325" s="6" t="s">
        <v>1353</v>
      </c>
      <c r="E325" s="6"/>
      <c r="F325" s="6">
        <v>3106959545</v>
      </c>
      <c r="G325" s="8" t="s">
        <v>596</v>
      </c>
      <c r="H325" s="24" t="s">
        <v>2209</v>
      </c>
      <c r="I325" s="37" t="str">
        <f t="shared" si="9"/>
        <v>INSERT INTO `parqueadero`.`conductor` (`Oid`, `IdConductor`, `Nombre`, `Area`, `Piso`, `Celular`, `correo`, `Vinculacion`) VALUES ('318','1015461189','MARÍA ALEJANDRA GÓMEZ GALEANO','Oficina Asesora de Comunicaciones','','3106959545','maria.gomezg@habitatbogota.gov.co','CONTRATISTA');</v>
      </c>
    </row>
    <row r="326" spans="1:9" ht="14.4" x14ac:dyDescent="0.3">
      <c r="A326" s="16">
        <f t="shared" si="8"/>
        <v>319</v>
      </c>
      <c r="B326" s="17">
        <v>1026261037</v>
      </c>
      <c r="C326" s="17" t="s">
        <v>1728</v>
      </c>
      <c r="D326" s="6" t="s">
        <v>1905</v>
      </c>
      <c r="E326" s="6"/>
      <c r="F326" s="17">
        <v>3005775183</v>
      </c>
      <c r="G326" s="8" t="s">
        <v>1730</v>
      </c>
      <c r="H326" s="24" t="s">
        <v>2209</v>
      </c>
      <c r="I326" s="37" t="str">
        <f t="shared" si="9"/>
        <v>INSERT INTO `parqueadero`.`conductor` (`Oid`, `IdConductor`, `Nombre`, `Area`, `Piso`, `Celular`, `correo`, `Vinculacion`) VALUES ('319','1026261037','MARÍA ANTONIA COVALEDA ALZATE','Dirección de Contratación','','3005775183','maria.covaleda@habitatbogota.gov.co','CONTRATISTA');</v>
      </c>
    </row>
    <row r="327" spans="1:9" ht="14.4" x14ac:dyDescent="0.3">
      <c r="A327" s="16">
        <f t="shared" si="8"/>
        <v>320</v>
      </c>
      <c r="B327" s="6">
        <v>1030669555</v>
      </c>
      <c r="C327" s="17" t="s">
        <v>2261</v>
      </c>
      <c r="D327" s="6" t="s">
        <v>2110</v>
      </c>
      <c r="E327" s="6"/>
      <c r="F327" s="6">
        <v>3142393483</v>
      </c>
      <c r="G327" s="8" t="s">
        <v>549</v>
      </c>
      <c r="H327" s="24" t="s">
        <v>2209</v>
      </c>
      <c r="I327" s="37" t="str">
        <f t="shared" si="9"/>
        <v>INSERT INTO `parqueadero`.`conductor` (`Oid`, `IdConductor`, `Nombre`, `Area`, `Piso`, `Celular`, `correo`, `Vinculacion`) VALUES ('320','1030669555','MARIA CAMILA CACERES MENDOZA','Subsecretaría de Vivienda','','3142393483','maria.caceres@habitatbogota.gov.co','CONTRATISTA');</v>
      </c>
    </row>
    <row r="328" spans="1:9" ht="14.4" x14ac:dyDescent="0.3">
      <c r="A328" s="16">
        <f t="shared" ref="A328:A391" si="10">ROW()-7</f>
        <v>321</v>
      </c>
      <c r="B328" s="6">
        <v>51769687</v>
      </c>
      <c r="C328" s="17" t="s">
        <v>2262</v>
      </c>
      <c r="D328" s="6" t="s">
        <v>500</v>
      </c>
      <c r="E328" s="6"/>
      <c r="F328" s="6">
        <v>3153111493</v>
      </c>
      <c r="G328" s="8" t="s">
        <v>706</v>
      </c>
      <c r="H328" s="24" t="s">
        <v>2209</v>
      </c>
      <c r="I328" s="37" t="str">
        <f t="shared" ref="I328:I391" si="11">CONCATENATE("INSERT INTO `parqueadero`.`conductor` (`",$A$7,"`, `",$B$7,"`, `",$C$7,"`, `",$D$7,"`, `",$E$7,"`, `",$F$7,"`, `",$G$7,"`, `",$H$7,"`) VALUES ('",A328,"','",B328,"','",C328,"','",D328,"','",E328,"','",F328,"','",G328,"','",H328,"');" )</f>
        <v>INSERT INTO `parqueadero`.`conductor` (`Oid`, `IdConductor`, `Nombre`, `Area`, `Piso`, `Celular`, `correo`, `Vinculacion`) VALUES ('321','51769687','MARIA CONSUELO RODRIGUEZ MORENO','Dirección de Financiación de Vivienda','','3153111493','maria.rodriguezm@habitatbogota.gov.co','CONTRATISTA');</v>
      </c>
    </row>
    <row r="329" spans="1:9" ht="14.4" x14ac:dyDescent="0.3">
      <c r="A329" s="16">
        <f t="shared" si="10"/>
        <v>322</v>
      </c>
      <c r="B329" s="6">
        <v>52825005</v>
      </c>
      <c r="C329" s="17" t="s">
        <v>2263</v>
      </c>
      <c r="D329" s="6" t="s">
        <v>325</v>
      </c>
      <c r="E329" s="6"/>
      <c r="F329" s="6">
        <v>3103237333</v>
      </c>
      <c r="G329" s="8" t="s">
        <v>386</v>
      </c>
      <c r="H329" s="24" t="s">
        <v>2209</v>
      </c>
      <c r="I329" s="37" t="str">
        <f t="shared" si="11"/>
        <v>INSERT INTO `parqueadero`.`conductor` (`Oid`, `IdConductor`, `Nombre`, `Area`, `Piso`, `Celular`, `correo`, `Vinculacion`) VALUES ('322','52825005','MARIA EUGENIA TAMAYO GUERRERO','Dirección de Operaciones','','3103237333','maria.tamayo@habitatbogota.gov.co','CONTRATISTA');</v>
      </c>
    </row>
    <row r="330" spans="1:9" ht="14.4" x14ac:dyDescent="0.3">
      <c r="A330" s="16">
        <f t="shared" si="10"/>
        <v>323</v>
      </c>
      <c r="B330" s="17">
        <v>1140882919</v>
      </c>
      <c r="C330" s="17" t="s">
        <v>812</v>
      </c>
      <c r="D330" s="6" t="s">
        <v>270</v>
      </c>
      <c r="E330" s="6"/>
      <c r="F330" s="17">
        <v>3012086860</v>
      </c>
      <c r="G330" s="8" t="s">
        <v>814</v>
      </c>
      <c r="H330" s="24" t="s">
        <v>2209</v>
      </c>
      <c r="I330" s="37" t="str">
        <f t="shared" si="11"/>
        <v>INSERT INTO `parqueadero`.`conductor` (`Oid`, `IdConductor`, `Nombre`, `Area`, `Piso`, `Celular`, `correo`, `Vinculacion`) VALUES ('323','1140882919','MARIA JOSE JARAMILLO CAMACHO','Dirección de Investigaciones y Control de Vivienda','','3012086860','maria.jaramillo@habitatbogota.gov.co','CONTRATISTA');</v>
      </c>
    </row>
    <row r="331" spans="1:9" ht="14.4" x14ac:dyDescent="0.3">
      <c r="A331" s="16">
        <f t="shared" si="10"/>
        <v>324</v>
      </c>
      <c r="B331" s="6">
        <v>1083000460</v>
      </c>
      <c r="C331" s="17" t="s">
        <v>1322</v>
      </c>
      <c r="D331" s="6" t="s">
        <v>2149</v>
      </c>
      <c r="E331" s="6"/>
      <c r="F331" s="6">
        <v>3008030796</v>
      </c>
      <c r="G331" s="8" t="s">
        <v>1324</v>
      </c>
      <c r="H331" s="24" t="s">
        <v>2209</v>
      </c>
      <c r="I331" s="37" t="str">
        <f t="shared" si="11"/>
        <v>INSERT INTO `parqueadero`.`conductor` (`Oid`, `IdConductor`, `Nombre`, `Area`, `Piso`, `Celular`, `correo`, `Vinculacion`) VALUES ('324','1083000460','MARIA JULIANA CABELLO CERVANTES','Subsecretaría de Inspección Vigilancia y Control de Vivienda','','3008030796','maria.cabello@habitatbogota.gov.co','CONTRATISTA');</v>
      </c>
    </row>
    <row r="332" spans="1:9" ht="14.4" x14ac:dyDescent="0.3">
      <c r="A332" s="16">
        <f t="shared" si="10"/>
        <v>325</v>
      </c>
      <c r="B332" s="6">
        <v>1019132150</v>
      </c>
      <c r="C332" s="17" t="s">
        <v>730</v>
      </c>
      <c r="D332" s="6" t="s">
        <v>2150</v>
      </c>
      <c r="E332" s="6"/>
      <c r="F332" s="6">
        <v>3115143524</v>
      </c>
      <c r="G332" s="8" t="s">
        <v>732</v>
      </c>
      <c r="H332" s="24" t="s">
        <v>2209</v>
      </c>
      <c r="I332" s="37" t="str">
        <f t="shared" si="11"/>
        <v>INSERT INTO `parqueadero`.`conductor` (`Oid`, `IdConductor`, `Nombre`, `Area`, `Piso`, `Celular`, `correo`, `Vinculacion`) VALUES ('325','1019132150','MARIA PAULA ANDREA SARMIENTO BEDOYA','Dirección de Prevención Arrendamiento y Control de Enajenación','','3115143524','maria.sarmiento@habitatbogota.gov.co','CONTRATISTA');</v>
      </c>
    </row>
    <row r="333" spans="1:9" ht="14.4" x14ac:dyDescent="0.3">
      <c r="A333" s="16">
        <f t="shared" si="10"/>
        <v>326</v>
      </c>
      <c r="B333" s="17">
        <v>1121869677</v>
      </c>
      <c r="C333" s="17" t="s">
        <v>819</v>
      </c>
      <c r="D333" s="6" t="s">
        <v>270</v>
      </c>
      <c r="E333" s="6"/>
      <c r="F333" s="17">
        <v>3212005607</v>
      </c>
      <c r="G333" s="8" t="s">
        <v>821</v>
      </c>
      <c r="H333" s="24" t="s">
        <v>2209</v>
      </c>
      <c r="I333" s="37" t="str">
        <f t="shared" si="11"/>
        <v>INSERT INTO `parqueadero`.`conductor` (`Oid`, `IdConductor`, `Nombre`, `Area`, `Piso`, `Celular`, `correo`, `Vinculacion`) VALUES ('326','1121869677','MARIAN ALEJANDRA RODRÍGUEZ DURAN','Dirección de Investigaciones y Control de Vivienda','','3212005607','maria.rodriguezd@habitatbogota.gov.co','CONTRATISTA');</v>
      </c>
    </row>
    <row r="334" spans="1:9" ht="14.4" x14ac:dyDescent="0.3">
      <c r="A334" s="16">
        <f t="shared" si="10"/>
        <v>327</v>
      </c>
      <c r="B334" s="6">
        <v>79265641</v>
      </c>
      <c r="C334" s="17" t="s">
        <v>936</v>
      </c>
      <c r="D334" s="6" t="s">
        <v>270</v>
      </c>
      <c r="E334" s="6"/>
      <c r="F334" s="6">
        <v>3108078188</v>
      </c>
      <c r="G334" s="8" t="s">
        <v>937</v>
      </c>
      <c r="H334" s="24" t="s">
        <v>119</v>
      </c>
      <c r="I334" s="37" t="str">
        <f t="shared" si="11"/>
        <v>INSERT INTO `parqueadero`.`conductor` (`Oid`, `IdConductor`, `Nombre`, `Area`, `Piso`, `Celular`, `correo`, `Vinculacion`) VALUES ('327','79265641','MARIO CASTILLO JIMENEZ','Dirección de Investigaciones y Control de Vivienda','','3108078188','mario.castillo@habitatbogota.gov.co','FUNCIONARIO');</v>
      </c>
    </row>
    <row r="335" spans="1:9" ht="14.4" x14ac:dyDescent="0.3">
      <c r="A335" s="16">
        <f t="shared" si="10"/>
        <v>328</v>
      </c>
      <c r="B335" s="17">
        <v>80112042</v>
      </c>
      <c r="C335" s="17" t="s">
        <v>1998</v>
      </c>
      <c r="D335" s="6" t="s">
        <v>1229</v>
      </c>
      <c r="E335" s="6"/>
      <c r="F335" s="17">
        <v>3178728376</v>
      </c>
      <c r="G335" s="8" t="s">
        <v>2000</v>
      </c>
      <c r="H335" s="24" t="s">
        <v>2209</v>
      </c>
      <c r="I335" s="37" t="str">
        <f t="shared" si="11"/>
        <v>INSERT INTO `parqueadero`.`conductor` (`Oid`, `IdConductor`, `Nombre`, `Area`, `Piso`, `Celular`, `correo`, `Vinculacion`) VALUES ('328','80112042','MARIO ORLANDO CUECA GONZÁLEZ','Dirección de Información de Políticas Públicas','','3178728376','mario.cueca@habitatbogota.gov.co','CONTRATISTA');</v>
      </c>
    </row>
    <row r="336" spans="1:9" ht="14.4" x14ac:dyDescent="0.3">
      <c r="A336" s="16">
        <f t="shared" si="10"/>
        <v>329</v>
      </c>
      <c r="B336" s="13">
        <v>1023890368</v>
      </c>
      <c r="C336" s="24" t="s">
        <v>1889</v>
      </c>
      <c r="D336" s="6" t="s">
        <v>2150</v>
      </c>
      <c r="E336" s="6"/>
      <c r="F336" s="13">
        <v>3142722271</v>
      </c>
      <c r="G336" s="8" t="s">
        <v>1891</v>
      </c>
      <c r="H336" s="24" t="s">
        <v>2209</v>
      </c>
      <c r="I336" s="37" t="str">
        <f t="shared" si="11"/>
        <v>INSERT INTO `parqueadero`.`conductor` (`Oid`, `IdConductor`, `Nombre`, `Area`, `Piso`, `Celular`, `correo`, `Vinculacion`) VALUES ('329','1023890368','MARISOL BALLESTEROS MARÍN','Dirección de Prevención Arrendamiento y Control de Enajenación','','3142722271','marisol.ballesteros@habitatbogota.gov.co','CONTRATISTA');</v>
      </c>
    </row>
    <row r="337" spans="1:9" ht="14.4" x14ac:dyDescent="0.3">
      <c r="A337" s="16">
        <f t="shared" si="10"/>
        <v>330</v>
      </c>
      <c r="B337" s="6">
        <v>52028400</v>
      </c>
      <c r="C337" s="17" t="s">
        <v>2264</v>
      </c>
      <c r="D337" s="6" t="s">
        <v>500</v>
      </c>
      <c r="E337" s="6"/>
      <c r="F337" s="6">
        <v>3123500023</v>
      </c>
      <c r="G337" s="8" t="s">
        <v>857</v>
      </c>
      <c r="H337" s="24" t="s">
        <v>2209</v>
      </c>
      <c r="I337" s="37" t="str">
        <f t="shared" si="11"/>
        <v>INSERT INTO `parqueadero`.`conductor` (`Oid`, `IdConductor`, `Nombre`, `Area`, `Piso`, `Celular`, `correo`, `Vinculacion`) VALUES ('330','52028400','MARTHA PATRICIA TOVAR GONZALEZ','Dirección de Financiación de Vivienda','','3123500023','martha.tovar@habitatbogota.gov.co','CONTRATISTA');</v>
      </c>
    </row>
    <row r="338" spans="1:9" ht="14.4" x14ac:dyDescent="0.3">
      <c r="A338" s="16">
        <f t="shared" si="10"/>
        <v>331</v>
      </c>
      <c r="B338" s="6">
        <v>1104068630</v>
      </c>
      <c r="C338" s="17" t="s">
        <v>91</v>
      </c>
      <c r="D338" s="6" t="s">
        <v>325</v>
      </c>
      <c r="E338" s="6"/>
      <c r="F338" s="6">
        <v>3125332732</v>
      </c>
      <c r="G338" s="8" t="s">
        <v>93</v>
      </c>
      <c r="H338" s="24" t="s">
        <v>2209</v>
      </c>
      <c r="I338" s="37" t="str">
        <f t="shared" si="11"/>
        <v>INSERT INTO `parqueadero`.`conductor` (`Oid`, `IdConductor`, `Nombre`, `Area`, `Piso`, `Celular`, `correo`, `Vinculacion`) VALUES ('331','1104068630','MARTHA VIVIANA DURAN PLATA','Dirección de Operaciones','','3125332732','martha.duran@habitatbogota.gov.co','CONTRATISTA');</v>
      </c>
    </row>
    <row r="339" spans="1:9" ht="14.4" x14ac:dyDescent="0.3">
      <c r="A339" s="16">
        <f t="shared" si="10"/>
        <v>332</v>
      </c>
      <c r="B339" s="6">
        <v>52259108</v>
      </c>
      <c r="C339" s="17" t="s">
        <v>366</v>
      </c>
      <c r="D339" s="6" t="s">
        <v>325</v>
      </c>
      <c r="E339" s="6"/>
      <c r="F339" s="6">
        <v>3124472917</v>
      </c>
      <c r="G339" s="8" t="s">
        <v>368</v>
      </c>
      <c r="H339" s="24" t="s">
        <v>2209</v>
      </c>
      <c r="I339" s="37" t="str">
        <f t="shared" si="11"/>
        <v>INSERT INTO `parqueadero`.`conductor` (`Oid`, `IdConductor`, `Nombre`, `Area`, `Piso`, `Celular`, `correo`, `Vinculacion`) VALUES ('332','52259108','MARTHA XIMENA CASAS DUQUE','Dirección de Operaciones','','3124472917','martha.casas@habitatbogota.gov.co','CONTRATISTA');</v>
      </c>
    </row>
    <row r="340" spans="1:9" ht="14.4" x14ac:dyDescent="0.3">
      <c r="A340" s="16">
        <f t="shared" si="10"/>
        <v>333</v>
      </c>
      <c r="B340" s="17">
        <v>1090334186</v>
      </c>
      <c r="C340" s="17" t="s">
        <v>2265</v>
      </c>
      <c r="D340" s="17" t="s">
        <v>207</v>
      </c>
      <c r="E340" s="17"/>
      <c r="F340" s="17">
        <v>3202513080</v>
      </c>
      <c r="G340" s="8" t="s">
        <v>333</v>
      </c>
      <c r="H340" s="24" t="s">
        <v>2209</v>
      </c>
      <c r="I340" s="37" t="str">
        <f t="shared" si="11"/>
        <v>INSERT INTO `parqueadero`.`conductor` (`Oid`, `IdConductor`, `Nombre`, `Area`, `Piso`, `Celular`, `correo`, `Vinculacion`) VALUES ('333','1090334186','MARY SOL BATERO CALVO','Dirección de Gestión de Suelo','','3202513080','mary.batero@habitatbogota.gov.co','CONTRATISTA');</v>
      </c>
    </row>
    <row r="341" spans="1:9" ht="14.4" x14ac:dyDescent="0.3">
      <c r="A341" s="16">
        <f t="shared" si="10"/>
        <v>334</v>
      </c>
      <c r="B341" s="6">
        <v>10305307</v>
      </c>
      <c r="C341" s="17" t="s">
        <v>885</v>
      </c>
      <c r="D341" s="6" t="s">
        <v>201</v>
      </c>
      <c r="E341" s="6"/>
      <c r="F341" s="6">
        <v>3167222810</v>
      </c>
      <c r="G341" s="8" t="s">
        <v>887</v>
      </c>
      <c r="H341" s="24" t="s">
        <v>2209</v>
      </c>
      <c r="I341" s="37" t="str">
        <f t="shared" si="11"/>
        <v>INSERT INTO `parqueadero`.`conductor` (`Oid`, `IdConductor`, `Nombre`, `Area`, `Piso`, `Celular`, `correo`, `Vinculacion`) VALUES ('334','10305307','MAURICIO BETANCUR VIVAS','Dirección de Mejoramiento Habitacional','','3167222810','mauricio.betancur@habitatbogota.gov.co','CONTRATISTA');</v>
      </c>
    </row>
    <row r="342" spans="1:9" ht="14.4" x14ac:dyDescent="0.3">
      <c r="A342" s="16">
        <f t="shared" si="10"/>
        <v>335</v>
      </c>
      <c r="B342" s="6">
        <v>80504271</v>
      </c>
      <c r="C342" s="17" t="s">
        <v>2005</v>
      </c>
      <c r="D342" s="6" t="s">
        <v>270</v>
      </c>
      <c r="E342" s="6"/>
      <c r="F342" s="6">
        <v>3105507306</v>
      </c>
      <c r="G342" s="8" t="s">
        <v>2006</v>
      </c>
      <c r="H342" s="24" t="s">
        <v>119</v>
      </c>
      <c r="I342" s="37" t="str">
        <f t="shared" si="11"/>
        <v>INSERT INTO `parqueadero`.`conductor` (`Oid`, `IdConductor`, `Nombre`, `Area`, `Piso`, `Celular`, `correo`, `Vinculacion`) VALUES ('335','80504271','MAURICIO CEPEDA ARENAS','Dirección de Investigaciones y Control de Vivienda','','3105507306','m21cepedaarenas@gmail.com','FUNCIONARIO');</v>
      </c>
    </row>
    <row r="343" spans="1:9" ht="14.4" x14ac:dyDescent="0.3">
      <c r="A343" s="16">
        <f t="shared" si="10"/>
        <v>336</v>
      </c>
      <c r="B343" s="6">
        <v>91492909</v>
      </c>
      <c r="C343" s="17" t="s">
        <v>1506</v>
      </c>
      <c r="D343" s="6" t="s">
        <v>500</v>
      </c>
      <c r="E343" s="6"/>
      <c r="F343" s="6">
        <v>3057363503</v>
      </c>
      <c r="G343" s="8" t="s">
        <v>1508</v>
      </c>
      <c r="H343" s="24" t="s">
        <v>2209</v>
      </c>
      <c r="I343" s="37" t="str">
        <f t="shared" si="11"/>
        <v>INSERT INTO `parqueadero`.`conductor` (`Oid`, `IdConductor`, `Nombre`, `Area`, `Piso`, `Celular`, `correo`, `Vinculacion`) VALUES ('336','91492909','MAURICIO HERRERA BERMÚDEZ','Dirección de Financiación de Vivienda','','3057363503','mauricio.herrera@habitatbogota.gov.co','CONTRATISTA');</v>
      </c>
    </row>
    <row r="344" spans="1:9" ht="14.4" x14ac:dyDescent="0.3">
      <c r="A344" s="16">
        <f t="shared" si="10"/>
        <v>337</v>
      </c>
      <c r="B344" s="6">
        <v>79751974</v>
      </c>
      <c r="C344" s="17" t="s">
        <v>19</v>
      </c>
      <c r="D344" s="6" t="s">
        <v>434</v>
      </c>
      <c r="E344" s="6" t="s">
        <v>2198</v>
      </c>
      <c r="F344" s="6">
        <v>3108061470</v>
      </c>
      <c r="G344" s="8" t="s">
        <v>21</v>
      </c>
      <c r="H344" s="24" t="s">
        <v>119</v>
      </c>
      <c r="I344" s="37" t="str">
        <f t="shared" si="11"/>
        <v>INSERT INTO `parqueadero`.`conductor` (`Oid`, `IdConductor`, `Nombre`, `Area`, `Piso`, `Celular`, `correo`, `Vinculacion`) VALUES ('337','79751974','MAURICIO LIEVANO BERNAL','Dirección Administrativa','Piso 12','3108061470','mauricio.lievano@habitatbogota.gov.co','FUNCIONARIO');</v>
      </c>
    </row>
    <row r="345" spans="1:9" ht="14.4" x14ac:dyDescent="0.3">
      <c r="A345" s="16">
        <f t="shared" si="10"/>
        <v>338</v>
      </c>
      <c r="B345" s="6">
        <v>1101754110</v>
      </c>
      <c r="C345" s="17" t="s">
        <v>161</v>
      </c>
      <c r="D345" s="6" t="s">
        <v>1562</v>
      </c>
      <c r="E345" s="6" t="s">
        <v>2200</v>
      </c>
      <c r="F345" s="6">
        <v>3175339549</v>
      </c>
      <c r="G345" s="8" t="s">
        <v>163</v>
      </c>
      <c r="H345" s="24" t="s">
        <v>2209</v>
      </c>
      <c r="I345" s="37" t="str">
        <f t="shared" si="11"/>
        <v>INSERT INTO `parqueadero`.`conductor` (`Oid`, `IdConductor`, `Nombre`, `Area`, `Piso`, `Celular`, `correo`, `Vinculacion`) VALUES ('338','1101754110','MAYRA MELISSA HERNÁNDEZ TORRES','Dirección Financiera','Piso 11','3175339549','mayra.hernandez@habitatbogota.gov.co','CONTRATISTA');</v>
      </c>
    </row>
    <row r="346" spans="1:9" ht="14.4" x14ac:dyDescent="0.3">
      <c r="A346" s="16">
        <f t="shared" si="10"/>
        <v>339</v>
      </c>
      <c r="B346" s="6">
        <v>1022984445</v>
      </c>
      <c r="C346" s="17" t="s">
        <v>2266</v>
      </c>
      <c r="D346" s="6" t="s">
        <v>201</v>
      </c>
      <c r="E346" s="6"/>
      <c r="F346" s="6">
        <v>3053862189</v>
      </c>
      <c r="G346" s="8" t="s">
        <v>1464</v>
      </c>
      <c r="H346" s="24" t="s">
        <v>2209</v>
      </c>
      <c r="I346" s="37" t="str">
        <f t="shared" si="11"/>
        <v>INSERT INTO `parqueadero`.`conductor` (`Oid`, `IdConductor`, `Nombre`, `Area`, `Piso`, `Celular`, `correo`, `Vinculacion`) VALUES ('339','1022984445','MICHAEL STIVEN BAUTISTA SALAZAR','Dirección de Mejoramiento Habitacional','','3053862189','michael.bautista@habitatbogota.gov.co','CONTRATISTA');</v>
      </c>
    </row>
    <row r="347" spans="1:9" ht="14.4" x14ac:dyDescent="0.3">
      <c r="A347" s="16">
        <f t="shared" si="10"/>
        <v>340</v>
      </c>
      <c r="B347" s="6">
        <v>1032406226</v>
      </c>
      <c r="C347" s="17" t="s">
        <v>1957</v>
      </c>
      <c r="D347" s="6" t="s">
        <v>1960</v>
      </c>
      <c r="E347" s="6"/>
      <c r="F347" s="6">
        <v>3142744046</v>
      </c>
      <c r="G347" s="8" t="s">
        <v>1959</v>
      </c>
      <c r="H347" s="24" t="s">
        <v>2209</v>
      </c>
      <c r="I347" s="37" t="str">
        <f t="shared" si="11"/>
        <v>INSERT INTO `parqueadero`.`conductor` (`Oid`, `IdConductor`, `Nombre`, `Area`, `Piso`, `Celular`, `correo`, `Vinculacion`) VALUES ('340','1032406226','MIGUEL ÁNGEL ROMERO SUÁREZ','Subsecretaría de Planeación y Políticas','','3142744046','miguel.romero@habitatbogota.gov.co','CONTRATISTA');</v>
      </c>
    </row>
    <row r="348" spans="1:9" ht="14.4" x14ac:dyDescent="0.3">
      <c r="A348" s="16">
        <f t="shared" si="10"/>
        <v>341</v>
      </c>
      <c r="B348" s="6">
        <v>115068646</v>
      </c>
      <c r="C348" s="17" t="s">
        <v>53</v>
      </c>
      <c r="D348" s="6" t="s">
        <v>1338</v>
      </c>
      <c r="E348" s="6"/>
      <c r="F348" s="6">
        <v>3163490223</v>
      </c>
      <c r="G348" s="8" t="s">
        <v>55</v>
      </c>
      <c r="H348" s="24" t="s">
        <v>2209</v>
      </c>
      <c r="I348" s="37" t="str">
        <f t="shared" si="11"/>
        <v>INSERT INTO `parqueadero`.`conductor` (`Oid`, `IdConductor`, `Nombre`, `Area`, `Piso`, `Celular`, `correo`, `Vinculacion`) VALUES ('341','115068646','MIGUEL SVIER DUCUARA VERA','Oficina de Participación y Relacionamiento con la Ciudadanía','','3163490223','miguelducuara@habitatbogota.gov.co','CONTRATISTA');</v>
      </c>
    </row>
    <row r="349" spans="1:9" ht="14.4" x14ac:dyDescent="0.3">
      <c r="A349" s="16">
        <f t="shared" si="10"/>
        <v>342</v>
      </c>
      <c r="B349" s="6">
        <v>1023943099</v>
      </c>
      <c r="C349" s="17" t="s">
        <v>2267</v>
      </c>
      <c r="D349" s="6" t="s">
        <v>500</v>
      </c>
      <c r="E349" s="6"/>
      <c r="F349" s="6">
        <v>3118215076</v>
      </c>
      <c r="G349" s="8" t="s">
        <v>642</v>
      </c>
      <c r="H349" s="24" t="s">
        <v>2209</v>
      </c>
      <c r="I349" s="37" t="str">
        <f t="shared" si="11"/>
        <v>INSERT INTO `parqueadero`.`conductor` (`Oid`, `IdConductor`, `Nombre`, `Area`, `Piso`, `Celular`, `correo`, `Vinculacion`) VALUES ('342','1023943099','MISAEL ESTEBAN LINARES GARZON','Dirección de Financiación de Vivienda','','3118215076','misael.linares@habitatbogota.gov.co','CONTRATISTA');</v>
      </c>
    </row>
    <row r="350" spans="1:9" ht="14.4" x14ac:dyDescent="0.3">
      <c r="A350" s="16">
        <f t="shared" si="10"/>
        <v>343</v>
      </c>
      <c r="B350" s="6">
        <v>53021213</v>
      </c>
      <c r="C350" s="17" t="s">
        <v>916</v>
      </c>
      <c r="D350" s="6" t="s">
        <v>500</v>
      </c>
      <c r="E350" s="6"/>
      <c r="F350" s="6">
        <v>3137297394</v>
      </c>
      <c r="G350" s="8" t="s">
        <v>918</v>
      </c>
      <c r="H350" s="24" t="s">
        <v>2209</v>
      </c>
      <c r="I350" s="37" t="str">
        <f t="shared" si="11"/>
        <v>INSERT INTO `parqueadero`.`conductor` (`Oid`, `IdConductor`, `Nombre`, `Area`, `Piso`, `Celular`, `correo`, `Vinculacion`) VALUES ('343','53021213','MÓNICA ANDREA GARAVITO DIAZ','Dirección de Financiación de Vivienda','','3137297394','monica.garavito@habitatbogota.gov.co','CONTRATISTA');</v>
      </c>
    </row>
    <row r="351" spans="1:9" ht="14.4" x14ac:dyDescent="0.3">
      <c r="A351" s="16">
        <f t="shared" si="10"/>
        <v>344</v>
      </c>
      <c r="B351" s="13">
        <v>1000000381</v>
      </c>
      <c r="C351" s="24" t="s">
        <v>1809</v>
      </c>
      <c r="D351" s="6" t="s">
        <v>500</v>
      </c>
      <c r="E351" s="6"/>
      <c r="F351" s="13">
        <v>3106872952</v>
      </c>
      <c r="G351" s="8" t="s">
        <v>1811</v>
      </c>
      <c r="H351" s="24" t="s">
        <v>2209</v>
      </c>
      <c r="I351" s="37" t="str">
        <f t="shared" si="11"/>
        <v>INSERT INTO `parqueadero`.`conductor` (`Oid`, `IdConductor`, `Nombre`, `Area`, `Piso`, `Celular`, `correo`, `Vinculacion`) VALUES ('344','1000000381','MÓNICA ANDREA VELOZA FLAUTERO','Dirección de Financiación de Vivienda','','3106872952','monica.veloza@habitatbogota.gov.co','CONTRATISTA');</v>
      </c>
    </row>
    <row r="352" spans="1:9" ht="14.4" x14ac:dyDescent="0.3">
      <c r="A352" s="16">
        <f t="shared" si="10"/>
        <v>345</v>
      </c>
      <c r="B352" s="6">
        <v>37863889</v>
      </c>
      <c r="C352" s="17" t="s">
        <v>1172</v>
      </c>
      <c r="D352" s="17" t="s">
        <v>2011</v>
      </c>
      <c r="E352" s="17"/>
      <c r="F352" s="6">
        <v>3123512363</v>
      </c>
      <c r="G352" s="8" t="s">
        <v>1174</v>
      </c>
      <c r="H352" s="24" t="s">
        <v>2209</v>
      </c>
      <c r="I352" s="37" t="str">
        <f t="shared" si="11"/>
        <v>INSERT INTO `parqueadero`.`conductor` (`Oid`, `IdConductor`, `Nombre`, `Area`, `Piso`, `Celular`, `correo`, `Vinculacion`) VALUES ('345','37863889','MONICA MENDEZ SALAZAR','Oficina de Control Disciplinario Interno','','3123512363','monica.mendez@habitatbogota.gov.co','CONTRATISTA');</v>
      </c>
    </row>
    <row r="353" spans="1:9" ht="14.4" x14ac:dyDescent="0.3">
      <c r="A353" s="16">
        <f t="shared" si="10"/>
        <v>346</v>
      </c>
      <c r="B353" s="6">
        <v>51736627</v>
      </c>
      <c r="C353" s="17" t="s">
        <v>1180</v>
      </c>
      <c r="D353" s="6" t="s">
        <v>270</v>
      </c>
      <c r="E353" s="6"/>
      <c r="F353" s="6">
        <v>3132613176</v>
      </c>
      <c r="G353" s="8" t="s">
        <v>1181</v>
      </c>
      <c r="H353" s="24" t="s">
        <v>119</v>
      </c>
      <c r="I353" s="37" t="str">
        <f t="shared" si="11"/>
        <v>INSERT INTO `parqueadero`.`conductor` (`Oid`, `IdConductor`, `Nombre`, `Area`, `Piso`, `Celular`, `correo`, `Vinculacion`) VALUES ('346','51736627','NANCY AMPARO BELTRAN MERA','Dirección de Investigaciones y Control de Vivienda','','3132613176','nancy.beltran@habitatbogota.gov.co','FUNCIONARIO');</v>
      </c>
    </row>
    <row r="354" spans="1:9" ht="14.4" x14ac:dyDescent="0.3">
      <c r="A354" s="16">
        <f t="shared" si="10"/>
        <v>347</v>
      </c>
      <c r="B354" s="6">
        <v>1026263191</v>
      </c>
      <c r="C354" s="17" t="s">
        <v>2268</v>
      </c>
      <c r="D354" s="6" t="s">
        <v>270</v>
      </c>
      <c r="E354" s="6"/>
      <c r="F354" s="6">
        <v>3185570652</v>
      </c>
      <c r="G354" s="8" t="s">
        <v>451</v>
      </c>
      <c r="H354" s="24" t="s">
        <v>2209</v>
      </c>
      <c r="I354" s="37" t="str">
        <f t="shared" si="11"/>
        <v>INSERT INTO `parqueadero`.`conductor` (`Oid`, `IdConductor`, `Nombre`, `Area`, `Piso`, `Celular`, `correo`, `Vinculacion`) VALUES ('347','1026263191','NATALIA ANDREA OTERO TRUJILLO','Dirección de Investigaciones y Control de Vivienda','','3185570652','natalia.otero@habitatbogota.gov.co','CONTRATISTA');</v>
      </c>
    </row>
    <row r="355" spans="1:9" ht="14.4" x14ac:dyDescent="0.3">
      <c r="A355" s="16">
        <f t="shared" si="10"/>
        <v>348</v>
      </c>
      <c r="B355" s="17">
        <v>53178070</v>
      </c>
      <c r="C355" s="17" t="s">
        <v>1098</v>
      </c>
      <c r="D355" s="17" t="s">
        <v>299</v>
      </c>
      <c r="E355" s="17"/>
      <c r="F355" s="17">
        <v>3015419453</v>
      </c>
      <c r="G355" s="8" t="s">
        <v>1100</v>
      </c>
      <c r="H355" s="24" t="s">
        <v>2209</v>
      </c>
      <c r="I355" s="37" t="str">
        <f t="shared" si="11"/>
        <v>INSERT INTO `parqueadero`.`conductor` (`Oid`, `IdConductor`, `Nombre`, `Area`, `Piso`, `Celular`, `correo`, `Vinculacion`) VALUES ('348','53178070','NATALIA FRANCO','Despacho','','3015419453','natalia.franco@habitatbogota.gov.co','CONTRATISTA');</v>
      </c>
    </row>
    <row r="356" spans="1:9" ht="14.4" x14ac:dyDescent="0.3">
      <c r="A356" s="16">
        <f t="shared" si="10"/>
        <v>349</v>
      </c>
      <c r="B356" s="6">
        <v>1053838523</v>
      </c>
      <c r="C356" s="17" t="s">
        <v>1405</v>
      </c>
      <c r="D356" s="6" t="s">
        <v>2150</v>
      </c>
      <c r="E356" s="6"/>
      <c r="F356" s="6">
        <v>3165329202</v>
      </c>
      <c r="G356" s="8" t="s">
        <v>1407</v>
      </c>
      <c r="H356" s="24" t="s">
        <v>2209</v>
      </c>
      <c r="I356" s="37" t="str">
        <f t="shared" si="11"/>
        <v>INSERT INTO `parqueadero`.`conductor` (`Oid`, `IdConductor`, `Nombre`, `Area`, `Piso`, `Celular`, `correo`, `Vinculacion`) VALUES ('349','1053838523','NATALIA MONTOYA POLANCO','Dirección de Prevención Arrendamiento y Control de Enajenación','','3165329202','natalia.montoya@habitatbogota.gov.co','CONTRATISTA');</v>
      </c>
    </row>
    <row r="357" spans="1:9" ht="14.4" x14ac:dyDescent="0.3">
      <c r="A357" s="16">
        <f t="shared" si="10"/>
        <v>350</v>
      </c>
      <c r="B357" s="17">
        <v>52453674</v>
      </c>
      <c r="C357" s="17" t="s">
        <v>635</v>
      </c>
      <c r="D357" s="6" t="s">
        <v>1353</v>
      </c>
      <c r="E357" s="6"/>
      <c r="F357" s="17">
        <v>3112023325</v>
      </c>
      <c r="G357" s="8" t="s">
        <v>637</v>
      </c>
      <c r="H357" s="24" t="s">
        <v>2209</v>
      </c>
      <c r="I357" s="37" t="str">
        <f t="shared" si="11"/>
        <v>INSERT INTO `parqueadero`.`conductor` (`Oid`, `IdConductor`, `Nombre`, `Area`, `Piso`, `Celular`, `correo`, `Vinculacion`) VALUES ('350','52453674','NATALIA URIBE ABISAMBRA','Oficina Asesora de Comunicaciones','','3112023325','natalia.uribe@habitatbogota.gov.co','CONTRATISTA');</v>
      </c>
    </row>
    <row r="358" spans="1:9" ht="14.4" x14ac:dyDescent="0.3">
      <c r="A358" s="16">
        <f t="shared" si="10"/>
        <v>351</v>
      </c>
      <c r="B358" s="6">
        <v>1049616323</v>
      </c>
      <c r="C358" s="17" t="s">
        <v>590</v>
      </c>
      <c r="D358" s="6" t="s">
        <v>2149</v>
      </c>
      <c r="E358" s="6"/>
      <c r="F358" s="6">
        <v>3004886701</v>
      </c>
      <c r="G358" s="8" t="s">
        <v>592</v>
      </c>
      <c r="H358" s="24" t="s">
        <v>2209</v>
      </c>
      <c r="I358" s="37" t="str">
        <f t="shared" si="11"/>
        <v>INSERT INTO `parqueadero`.`conductor` (`Oid`, `IdConductor`, `Nombre`, `Area`, `Piso`, `Celular`, `correo`, `Vinculacion`) VALUES ('351','1049616323','NATHALI ALEJANDRA FONSECA BURGOS','Subsecretaría de Inspección Vigilancia y Control de Vivienda','','3004886701','nathali.fonseca@habitatbogota.gov.co','CONTRATISTA');</v>
      </c>
    </row>
    <row r="359" spans="1:9" ht="14.4" x14ac:dyDescent="0.3">
      <c r="A359" s="16">
        <f t="shared" si="10"/>
        <v>352</v>
      </c>
      <c r="B359" s="6">
        <v>1032395549</v>
      </c>
      <c r="C359" s="17" t="s">
        <v>77</v>
      </c>
      <c r="D359" s="6" t="s">
        <v>587</v>
      </c>
      <c r="E359" s="6"/>
      <c r="F359" s="6">
        <v>3166262024</v>
      </c>
      <c r="G359" s="8" t="s">
        <v>79</v>
      </c>
      <c r="H359" s="24" t="s">
        <v>2209</v>
      </c>
      <c r="I359" s="37" t="str">
        <f t="shared" si="11"/>
        <v>INSERT INTO `parqueadero`.`conductor` (`Oid`, `IdConductor`, `Nombre`, `Area`, `Piso`, `Celular`, `correo`, `Vinculacion`) VALUES ('352','1032395549','NELSON ALEJANDRO BOHORQUEZ RUIZ','Dirección de Apoyo a la Contrucción','','3166262024','nelson.bohorquez@habitatbogota.gov.co','CONTRATISTA');</v>
      </c>
    </row>
    <row r="360" spans="1:9" ht="14.4" x14ac:dyDescent="0.3">
      <c r="A360" s="16">
        <f t="shared" si="10"/>
        <v>353</v>
      </c>
      <c r="B360" s="6">
        <v>79609619</v>
      </c>
      <c r="C360" s="17" t="s">
        <v>1148</v>
      </c>
      <c r="D360" s="6" t="s">
        <v>500</v>
      </c>
      <c r="E360" s="6"/>
      <c r="F360" s="6">
        <v>3222674965</v>
      </c>
      <c r="G360" s="8" t="s">
        <v>1150</v>
      </c>
      <c r="H360" s="24" t="s">
        <v>2209</v>
      </c>
      <c r="I360" s="37" t="str">
        <f t="shared" si="11"/>
        <v>INSERT INTO `parqueadero`.`conductor` (`Oid`, `IdConductor`, `Nombre`, `Area`, `Piso`, `Celular`, `correo`, `Vinculacion`) VALUES ('353','79609619','NELSON EDUARDO MUÑOZ SUTA','Dirección de Financiación de Vivienda','','3222674965','nelson.munoz@habitatbogota.gov.co','CONTRATISTA');</v>
      </c>
    </row>
    <row r="361" spans="1:9" ht="14.4" x14ac:dyDescent="0.3">
      <c r="A361" s="16">
        <f t="shared" si="10"/>
        <v>354</v>
      </c>
      <c r="B361" s="6">
        <v>11350393</v>
      </c>
      <c r="C361" s="17" t="s">
        <v>431</v>
      </c>
      <c r="D361" s="6" t="s">
        <v>434</v>
      </c>
      <c r="E361" s="6" t="s">
        <v>2198</v>
      </c>
      <c r="F361" s="6">
        <v>3046650488</v>
      </c>
      <c r="G361" s="8" t="s">
        <v>433</v>
      </c>
      <c r="H361" s="24" t="s">
        <v>2209</v>
      </c>
      <c r="I361" s="37" t="str">
        <f t="shared" si="11"/>
        <v>INSERT INTO `parqueadero`.`conductor` (`Oid`, `IdConductor`, `Nombre`, `Area`, `Piso`, `Celular`, `correo`, `Vinculacion`) VALUES ('354','11350393','NELSON GIOVANNI ACUÑA RODRIGUEZ','Dirección Administrativa','Piso 12','3046650488','nelson.acuna@habitatbogota.gov.co','CONTRATISTA');</v>
      </c>
    </row>
    <row r="362" spans="1:9" ht="14.4" x14ac:dyDescent="0.3">
      <c r="A362" s="16">
        <f t="shared" si="10"/>
        <v>355</v>
      </c>
      <c r="B362" s="6">
        <v>1010169744</v>
      </c>
      <c r="C362" s="17" t="s">
        <v>1326</v>
      </c>
      <c r="D362" s="6" t="s">
        <v>1006</v>
      </c>
      <c r="E362" s="6"/>
      <c r="F362" s="6">
        <v>3105543461</v>
      </c>
      <c r="G362" s="8" t="s">
        <v>1328</v>
      </c>
      <c r="H362" s="24" t="s">
        <v>2209</v>
      </c>
      <c r="I362" s="37" t="str">
        <f t="shared" si="11"/>
        <v>INSERT INTO `parqueadero`.`conductor` (`Oid`, `IdConductor`, `Nombre`, `Area`, `Piso`, `Celular`, `correo`, `Vinculacion`) VALUES ('355','1010169744','NESTOR JULIAN RAMIREZ SIERRA','Subsecretaría Jurídica','','3105543461','nestor.ramirez@habitatbogota.gov.co','CONTRATISTA');</v>
      </c>
    </row>
    <row r="363" spans="1:9" ht="14.4" x14ac:dyDescent="0.3">
      <c r="A363" s="16">
        <f t="shared" si="10"/>
        <v>356</v>
      </c>
      <c r="B363" s="6">
        <v>1030623154</v>
      </c>
      <c r="C363" s="17" t="s">
        <v>1474</v>
      </c>
      <c r="D363" s="6" t="s">
        <v>285</v>
      </c>
      <c r="E363" s="6"/>
      <c r="F363" s="6">
        <v>3125667339</v>
      </c>
      <c r="G363" s="8" t="s">
        <v>1475</v>
      </c>
      <c r="H363" s="24" t="s">
        <v>119</v>
      </c>
      <c r="I363" s="37" t="str">
        <f t="shared" si="11"/>
        <v>INSERT INTO `parqueadero`.`conductor` (`Oid`, `IdConductor`, `Nombre`, `Area`, `Piso`, `Celular`, `correo`, `Vinculacion`) VALUES ('356','1030623154','NICOLÁS DAVID CASTILLO GONZÁLEZ','Oficina Asesora de Planeación','','3125667339','nicolas.castillo@habitatbogota.gov.co','FUNCIONARIO');</v>
      </c>
    </row>
    <row r="364" spans="1:9" ht="14.4" x14ac:dyDescent="0.3">
      <c r="A364" s="16">
        <f t="shared" si="10"/>
        <v>357</v>
      </c>
      <c r="B364" s="6">
        <v>1032475428</v>
      </c>
      <c r="C364" s="17" t="s">
        <v>2269</v>
      </c>
      <c r="D364" s="6" t="s">
        <v>1338</v>
      </c>
      <c r="E364" s="6"/>
      <c r="F364" s="6">
        <v>3003593799</v>
      </c>
      <c r="G364" s="8" t="s">
        <v>1413</v>
      </c>
      <c r="H364" s="24" t="s">
        <v>2209</v>
      </c>
      <c r="I364" s="37" t="str">
        <f t="shared" si="11"/>
        <v>INSERT INTO `parqueadero`.`conductor` (`Oid`, `IdConductor`, `Nombre`, `Area`, `Piso`, `Celular`, `correo`, `Vinculacion`) VALUES ('357','1032475428','NICOLAS JAIRO ALVAREZ GONZALEZ','Oficina de Participación y Relacionamiento con la Ciudadanía','','3003593799','nicolas.alvarez@habitatbogota.gov.co','CONTRATISTA');</v>
      </c>
    </row>
    <row r="365" spans="1:9" ht="14.4" x14ac:dyDescent="0.3">
      <c r="A365" s="16">
        <f t="shared" si="10"/>
        <v>358</v>
      </c>
      <c r="B365" s="6">
        <v>1000596077</v>
      </c>
      <c r="C365" s="17" t="s">
        <v>944</v>
      </c>
      <c r="D365" s="6" t="s">
        <v>201</v>
      </c>
      <c r="E365" s="6"/>
      <c r="F365" s="6">
        <v>3197033980</v>
      </c>
      <c r="G365" s="8" t="s">
        <v>946</v>
      </c>
      <c r="H365" s="24" t="s">
        <v>2209</v>
      </c>
      <c r="I365" s="37" t="str">
        <f t="shared" si="11"/>
        <v>INSERT INTO `parqueadero`.`conductor` (`Oid`, `IdConductor`, `Nombre`, `Area`, `Piso`, `Celular`, `correo`, `Vinculacion`) VALUES ('358','1000596077','NICOLAS SANCHEZ CASTRO','Dirección de Mejoramiento Habitacional','','3197033980','nicolas.sanchez@habitatbogota.gov.co','CONTRATISTA');</v>
      </c>
    </row>
    <row r="366" spans="1:9" ht="14.4" x14ac:dyDescent="0.3">
      <c r="A366" s="16">
        <f t="shared" si="10"/>
        <v>359</v>
      </c>
      <c r="B366" s="6">
        <v>1085296515</v>
      </c>
      <c r="C366" s="17" t="s">
        <v>1626</v>
      </c>
      <c r="D366" s="17" t="s">
        <v>207</v>
      </c>
      <c r="E366" s="17"/>
      <c r="F366" s="6">
        <v>3017269448</v>
      </c>
      <c r="G366" s="8" t="s">
        <v>1628</v>
      </c>
      <c r="H366" s="24" t="s">
        <v>2209</v>
      </c>
      <c r="I366" s="37" t="str">
        <f t="shared" si="11"/>
        <v>INSERT INTO `parqueadero`.`conductor` (`Oid`, `IdConductor`, `Nombre`, `Area`, `Piso`, `Celular`, `correo`, `Vinculacion`) VALUES ('359','1085296515','OMAR JULIAN SANCHEZ CAICEDO','Dirección de Gestión de Suelo','','3017269448','omar.sanchezc@habitatbogota.gov.co','CONTRATISTA');</v>
      </c>
    </row>
    <row r="367" spans="1:9" ht="14.4" x14ac:dyDescent="0.3">
      <c r="A367" s="16">
        <f t="shared" si="10"/>
        <v>360</v>
      </c>
      <c r="B367" s="6">
        <v>79950133</v>
      </c>
      <c r="C367" s="17" t="s">
        <v>561</v>
      </c>
      <c r="D367" s="6" t="s">
        <v>742</v>
      </c>
      <c r="E367" s="6"/>
      <c r="F367" s="6">
        <v>3407192209</v>
      </c>
      <c r="G367" s="8" t="s">
        <v>563</v>
      </c>
      <c r="H367" s="24" t="s">
        <v>2209</v>
      </c>
      <c r="I367" s="37" t="str">
        <f t="shared" si="11"/>
        <v>INSERT INTO `parqueadero`.`conductor` (`Oid`, `IdConductor`, `Nombre`, `Area`, `Piso`, `Celular`, `correo`, `Vinculacion`) VALUES ('360','79950133','OMAR MORENO VERA','Gestión Documental','','3407192209','omar.moreno@habitatbogota.gov.co','CONTRATISTA');</v>
      </c>
    </row>
    <row r="368" spans="1:9" ht="14.4" x14ac:dyDescent="0.3">
      <c r="A368" s="16">
        <f t="shared" si="10"/>
        <v>361</v>
      </c>
      <c r="B368" s="6">
        <v>79737240</v>
      </c>
      <c r="C368" s="17" t="s">
        <v>2036</v>
      </c>
      <c r="D368" s="17" t="s">
        <v>1667</v>
      </c>
      <c r="E368" s="17"/>
      <c r="F368" s="6">
        <v>3044423154</v>
      </c>
      <c r="G368" s="8" t="s">
        <v>2038</v>
      </c>
      <c r="H368" s="24" t="s">
        <v>2209</v>
      </c>
      <c r="I368" s="37" t="str">
        <f t="shared" si="11"/>
        <v>INSERT INTO `parqueadero`.`conductor` (`Oid`, `IdConductor`, `Nombre`, `Area`, `Piso`, `Celular`, `correo`, `Vinculacion`) VALUES ('361','79737240','OSCAR ALEXANDER CRUZ FORERO','Oficina de Tecnología y Transformación Digital','','3044423154','oscar.cruzf@habitatbogota.gov.co','CONTRATISTA');</v>
      </c>
    </row>
    <row r="369" spans="1:9" ht="14.4" x14ac:dyDescent="0.3">
      <c r="A369" s="16">
        <f t="shared" si="10"/>
        <v>362</v>
      </c>
      <c r="B369" s="17">
        <v>1018494285</v>
      </c>
      <c r="C369" s="17" t="s">
        <v>158</v>
      </c>
      <c r="D369" s="6" t="s">
        <v>201</v>
      </c>
      <c r="E369" s="6"/>
      <c r="F369" s="17">
        <v>3143377910</v>
      </c>
      <c r="G369" s="8" t="s">
        <v>159</v>
      </c>
      <c r="H369" s="24" t="s">
        <v>2209</v>
      </c>
      <c r="I369" s="37" t="str">
        <f t="shared" si="11"/>
        <v>INSERT INTO `parqueadero`.`conductor` (`Oid`, `IdConductor`, `Nombre`, `Area`, `Piso`, `Celular`, `correo`, `Vinculacion`) VALUES ('362','1018494285','OSCAR FELIPE CHILLAN PARRA','Dirección de Mejoramiento Habitacional','','3143377910','oscar.chillan@habitatbogota.gov.co','CONTRATISTA');</v>
      </c>
    </row>
    <row r="370" spans="1:9" ht="14.4" x14ac:dyDescent="0.3">
      <c r="A370" s="16">
        <f t="shared" si="10"/>
        <v>363</v>
      </c>
      <c r="B370" s="6">
        <v>79756400</v>
      </c>
      <c r="C370" s="17" t="s">
        <v>2270</v>
      </c>
      <c r="D370" s="6" t="s">
        <v>1338</v>
      </c>
      <c r="E370" s="6"/>
      <c r="F370" s="6">
        <v>3505400355</v>
      </c>
      <c r="G370" s="8" t="s">
        <v>1673</v>
      </c>
      <c r="H370" s="24" t="s">
        <v>2209</v>
      </c>
      <c r="I370" s="37" t="str">
        <f t="shared" si="11"/>
        <v>INSERT INTO `parqueadero`.`conductor` (`Oid`, `IdConductor`, `Nombre`, `Area`, `Piso`, `Celular`, `correo`, `Vinculacion`) VALUES ('363','79756400','OSCAR GIOVANNY ROJAS ROJAS','Oficina de Participación y Relacionamiento con la Ciudadanía','','3505400355','oscar.rojas@habitatbogota.gov.co','CONTRATISTA');</v>
      </c>
    </row>
    <row r="371" spans="1:9" ht="14.4" x14ac:dyDescent="0.3">
      <c r="A371" s="16">
        <f t="shared" si="10"/>
        <v>364</v>
      </c>
      <c r="B371" s="6">
        <v>91523898</v>
      </c>
      <c r="C371" s="17" t="s">
        <v>1709</v>
      </c>
      <c r="D371" s="6" t="s">
        <v>1698</v>
      </c>
      <c r="E371" s="6"/>
      <c r="F371" s="6">
        <v>3166972207</v>
      </c>
      <c r="G371" s="8" t="s">
        <v>1710</v>
      </c>
      <c r="H371" s="24" t="s">
        <v>1280</v>
      </c>
      <c r="I371" s="37" t="str">
        <f t="shared" si="11"/>
        <v>INSERT INTO `parqueadero`.`conductor` (`Oid`, `IdConductor`, `Nombre`, `Area`, `Piso`, `Celular`, `correo`, `Vinculacion`) VALUES ('364','91523898','OSCAR REYES','Contraloría de Bogotá','','3166972207','oreyesn@contraloriabogota.gov.co','EXTERNO');</v>
      </c>
    </row>
    <row r="372" spans="1:9" ht="14.4" x14ac:dyDescent="0.3">
      <c r="A372" s="16">
        <f t="shared" si="10"/>
        <v>365</v>
      </c>
      <c r="B372" s="17">
        <v>29120343</v>
      </c>
      <c r="C372" s="17" t="s">
        <v>860</v>
      </c>
      <c r="D372" s="6" t="s">
        <v>500</v>
      </c>
      <c r="E372" s="6"/>
      <c r="F372" s="17">
        <v>3017861952</v>
      </c>
      <c r="G372" s="8" t="s">
        <v>862</v>
      </c>
      <c r="H372" s="24" t="s">
        <v>2209</v>
      </c>
      <c r="I372" s="37" t="str">
        <f t="shared" si="11"/>
        <v>INSERT INTO `parqueadero`.`conductor` (`Oid`, `IdConductor`, `Nombre`, `Area`, `Piso`, `Celular`, `correo`, `Vinculacion`) VALUES ('365','29120343','OSIRIS VINAS MANRIQUE','Dirección de Financiación de Vivienda','','3017861952','osiris.vina@habitatbogota.gov.co','CONTRATISTA');</v>
      </c>
    </row>
    <row r="373" spans="1:9" ht="14.4" x14ac:dyDescent="0.3">
      <c r="A373" s="16">
        <f t="shared" si="10"/>
        <v>366</v>
      </c>
      <c r="B373" s="6">
        <v>1018477650</v>
      </c>
      <c r="C373" s="17" t="s">
        <v>1049</v>
      </c>
      <c r="D373" s="6" t="s">
        <v>201</v>
      </c>
      <c r="E373" s="6"/>
      <c r="F373" s="6">
        <v>3013099446</v>
      </c>
      <c r="G373" s="8" t="s">
        <v>1051</v>
      </c>
      <c r="H373" s="24" t="s">
        <v>2209</v>
      </c>
      <c r="I373" s="37" t="str">
        <f t="shared" si="11"/>
        <v>INSERT INTO `parqueadero`.`conductor` (`Oid`, `IdConductor`, `Nombre`, `Area`, `Piso`, `Celular`, `correo`, `Vinculacion`) VALUES ('366','1018477650','PABLO ALEJANDRO FERRER MOLINA','Dirección de Mejoramiento Habitacional','','3013099446','pablo.ferrer@habitatbogota.gov.co','CONTRATISTA');</v>
      </c>
    </row>
    <row r="374" spans="1:9" ht="14.4" x14ac:dyDescent="0.3">
      <c r="A374" s="16">
        <f t="shared" si="10"/>
        <v>367</v>
      </c>
      <c r="B374" s="6">
        <v>35530221</v>
      </c>
      <c r="C374" s="17" t="s">
        <v>2271</v>
      </c>
      <c r="D374" s="6" t="s">
        <v>270</v>
      </c>
      <c r="E374" s="6"/>
      <c r="F374" s="6">
        <v>3172705684</v>
      </c>
      <c r="G374" s="8" t="s">
        <v>269</v>
      </c>
      <c r="H374" s="24" t="s">
        <v>2209</v>
      </c>
      <c r="I374" s="37" t="str">
        <f t="shared" si="11"/>
        <v>INSERT INTO `parqueadero`.`conductor` (`Oid`, `IdConductor`, `Nombre`, `Area`, `Piso`, `Celular`, `correo`, `Vinculacion`) VALUES ('367','35530221','PAOLA BASTO ROMERO','Dirección de Investigaciones y Control de Vivienda','','3172705684','paola.basto@habitatbogota.gov.co','CONTRATISTA');</v>
      </c>
    </row>
    <row r="375" spans="1:9" ht="14.4" x14ac:dyDescent="0.3">
      <c r="A375" s="16">
        <f t="shared" si="10"/>
        <v>368</v>
      </c>
      <c r="B375" s="6">
        <v>41939388</v>
      </c>
      <c r="C375" s="17" t="s">
        <v>211</v>
      </c>
      <c r="D375" s="6" t="s">
        <v>201</v>
      </c>
      <c r="E375" s="6"/>
      <c r="F375" s="6">
        <v>3154453730</v>
      </c>
      <c r="G375" s="8" t="s">
        <v>213</v>
      </c>
      <c r="H375" s="24" t="s">
        <v>2209</v>
      </c>
      <c r="I375" s="37" t="str">
        <f t="shared" si="11"/>
        <v>INSERT INTO `parqueadero`.`conductor` (`Oid`, `IdConductor`, `Nombre`, `Area`, `Piso`, `Celular`, `correo`, `Vinculacion`) VALUES ('368','41939388','PAOLA EDITH HURTADO ARÉVALO','Dirección de Mejoramiento Habitacional','','3154453730','paola.hurtado@habitatbogota.gov.co','CONTRATISTA');</v>
      </c>
    </row>
    <row r="376" spans="1:9" ht="14.4" x14ac:dyDescent="0.3">
      <c r="A376" s="16">
        <f t="shared" si="10"/>
        <v>369</v>
      </c>
      <c r="B376" s="17">
        <v>1075282666</v>
      </c>
      <c r="C376" s="17" t="s">
        <v>659</v>
      </c>
      <c r="D376" s="6" t="s">
        <v>2150</v>
      </c>
      <c r="E376" s="6"/>
      <c r="F376" s="17">
        <v>3166559929</v>
      </c>
      <c r="G376" s="8" t="s">
        <v>661</v>
      </c>
      <c r="H376" s="24" t="s">
        <v>2209</v>
      </c>
      <c r="I376" s="37" t="str">
        <f t="shared" si="11"/>
        <v>INSERT INTO `parqueadero`.`conductor` (`Oid`, `IdConductor`, `Nombre`, `Area`, `Piso`, `Celular`, `correo`, `Vinculacion`) VALUES ('369','1075282666','PAUBLA VANESSA MURCIA TOVAR','Dirección de Prevención Arrendamiento y Control de Enajenación','','3166559929','paubla.murcia@habitatbogota.gov.co','CONTRATISTA');</v>
      </c>
    </row>
    <row r="377" spans="1:9" ht="14.4" x14ac:dyDescent="0.3">
      <c r="A377" s="16">
        <f t="shared" si="10"/>
        <v>370</v>
      </c>
      <c r="B377" s="6">
        <v>1019060772</v>
      </c>
      <c r="C377" s="17" t="s">
        <v>571</v>
      </c>
      <c r="D377" s="17" t="s">
        <v>299</v>
      </c>
      <c r="E377" s="17"/>
      <c r="F377" s="6">
        <v>3212564943</v>
      </c>
      <c r="G377" s="8" t="s">
        <v>572</v>
      </c>
      <c r="H377" s="24" t="s">
        <v>2209</v>
      </c>
      <c r="I377" s="37" t="str">
        <f t="shared" si="11"/>
        <v>INSERT INTO `parqueadero`.`conductor` (`Oid`, `IdConductor`, `Nombre`, `Area`, `Piso`, `Celular`, `correo`, `Vinculacion`) VALUES ('370','1019060772','PAULA CAMILA VEGA BUSTOS','Despacho','','3212564943','paula.vega@habitatbogota.gov.co','CONTRATISTA');</v>
      </c>
    </row>
    <row r="378" spans="1:9" ht="14.4" x14ac:dyDescent="0.3">
      <c r="A378" s="16">
        <f t="shared" si="10"/>
        <v>371</v>
      </c>
      <c r="B378" s="6">
        <v>1010235400</v>
      </c>
      <c r="C378" s="17" t="s">
        <v>1950</v>
      </c>
      <c r="D378" s="6" t="s">
        <v>500</v>
      </c>
      <c r="E378" s="6"/>
      <c r="F378" s="6"/>
      <c r="G378" s="8" t="s">
        <v>1952</v>
      </c>
      <c r="H378" s="24" t="s">
        <v>2209</v>
      </c>
      <c r="I378" s="37" t="str">
        <f t="shared" si="11"/>
        <v>INSERT INTO `parqueadero`.`conductor` (`Oid`, `IdConductor`, `Nombre`, `Area`, `Piso`, `Celular`, `correo`, `Vinculacion`) VALUES ('371','1010235400','PAULA SOFÍA ENCINALES URQUIZA','Dirección de Financiación de Vivienda','','','paula.encinales@habitatbogota.gov.co','CONTRATISTA');</v>
      </c>
    </row>
    <row r="379" spans="1:9" ht="14.4" x14ac:dyDescent="0.3">
      <c r="A379" s="16">
        <f t="shared" si="10"/>
        <v>372</v>
      </c>
      <c r="B379" s="13">
        <v>1020750683</v>
      </c>
      <c r="C379" s="24" t="s">
        <v>1881</v>
      </c>
      <c r="D379" s="6" t="s">
        <v>2149</v>
      </c>
      <c r="E379" s="6"/>
      <c r="F379" s="13">
        <v>3126861297</v>
      </c>
      <c r="G379" s="8" t="s">
        <v>1883</v>
      </c>
      <c r="H379" s="24" t="s">
        <v>2209</v>
      </c>
      <c r="I379" s="37" t="str">
        <f t="shared" si="11"/>
        <v>INSERT INTO `parqueadero`.`conductor` (`Oid`, `IdConductor`, `Nombre`, `Area`, `Piso`, `Celular`, `correo`, `Vinculacion`) VALUES ('372','1020750683','PAULA VIVIANA MEDINA ALEJO','Subsecretaría de Inspección Vigilancia y Control de Vivienda','','3126861297','paula.medina@habitatbogota.gov.co','CONTRATISTA');</v>
      </c>
    </row>
    <row r="380" spans="1:9" ht="14.4" x14ac:dyDescent="0.3">
      <c r="A380" s="16">
        <f t="shared" si="10"/>
        <v>373</v>
      </c>
      <c r="B380" s="6">
        <v>5292411</v>
      </c>
      <c r="C380" s="17" t="s">
        <v>249</v>
      </c>
      <c r="D380" s="6" t="s">
        <v>201</v>
      </c>
      <c r="E380" s="6"/>
      <c r="F380" s="6">
        <v>3204777719</v>
      </c>
      <c r="G380" s="8" t="s">
        <v>251</v>
      </c>
      <c r="H380" s="24" t="s">
        <v>2209</v>
      </c>
      <c r="I380" s="37" t="str">
        <f t="shared" si="11"/>
        <v>INSERT INTO `parqueadero`.`conductor` (`Oid`, `IdConductor`, `Nombre`, `Area`, `Piso`, `Celular`, `correo`, `Vinculacion`) VALUES ('373','5292411','PEDRO ANTONIO SOLARTE PORTILLA','Dirección de Mejoramiento Habitacional','','3204777719','pedro.solarte@habitatbogota.gov.co','CONTRATISTA');</v>
      </c>
    </row>
    <row r="381" spans="1:9" ht="14.4" x14ac:dyDescent="0.3">
      <c r="A381" s="16">
        <f t="shared" si="10"/>
        <v>374</v>
      </c>
      <c r="B381" s="6">
        <v>19325842</v>
      </c>
      <c r="C381" s="17" t="s">
        <v>626</v>
      </c>
      <c r="D381" s="6" t="s">
        <v>1562</v>
      </c>
      <c r="E381" s="6" t="s">
        <v>2200</v>
      </c>
      <c r="F381" s="6">
        <v>3192146582</v>
      </c>
      <c r="G381" s="8" t="s">
        <v>628</v>
      </c>
      <c r="H381" s="24" t="s">
        <v>2209</v>
      </c>
      <c r="I381" s="37" t="str">
        <f t="shared" si="11"/>
        <v>INSERT INTO `parqueadero`.`conductor` (`Oid`, `IdConductor`, `Nombre`, `Area`, `Piso`, `Celular`, `correo`, `Vinculacion`) VALUES ('374','19325842','PEDRO MARIO BUITRAGO MEDINA','Dirección Financiera','Piso 11','3192146582','pedro.buitrago@habitatbogota.gov.co','CONTRATISTA');</v>
      </c>
    </row>
    <row r="382" spans="1:9" ht="14.4" x14ac:dyDescent="0.3">
      <c r="A382" s="16">
        <f t="shared" si="10"/>
        <v>375</v>
      </c>
      <c r="B382" s="17">
        <v>4228842</v>
      </c>
      <c r="C382" s="17" t="s">
        <v>1526</v>
      </c>
      <c r="D382" s="6" t="s">
        <v>1562</v>
      </c>
      <c r="E382" s="6" t="s">
        <v>2200</v>
      </c>
      <c r="F382" s="17">
        <v>3045528065</v>
      </c>
      <c r="G382" s="8" t="s">
        <v>1527</v>
      </c>
      <c r="H382" s="24" t="s">
        <v>119</v>
      </c>
      <c r="I382" s="37" t="str">
        <f t="shared" si="11"/>
        <v>INSERT INTO `parqueadero`.`conductor` (`Oid`, `IdConductor`, `Nombre`, `Area`, `Piso`, `Celular`, `correo`, `Vinculacion`) VALUES ('375','4228842','PEDRO PABLO PEÑA CASTIBLANCO','Dirección Financiera','Piso 11','3045528065','pedro.pena@habitatbogota.gov.co','FUNCIONARIO');</v>
      </c>
    </row>
    <row r="383" spans="1:9" ht="14.4" x14ac:dyDescent="0.3">
      <c r="A383" s="16">
        <f t="shared" si="10"/>
        <v>376</v>
      </c>
      <c r="B383" s="6">
        <v>1013577285</v>
      </c>
      <c r="C383" s="17" t="s">
        <v>1606</v>
      </c>
      <c r="D383" s="6" t="s">
        <v>587</v>
      </c>
      <c r="E383" s="6"/>
      <c r="F383" s="6">
        <v>3014438578</v>
      </c>
      <c r="G383" s="8" t="s">
        <v>1608</v>
      </c>
      <c r="H383" s="24" t="s">
        <v>2209</v>
      </c>
      <c r="I383" s="37" t="str">
        <f t="shared" si="11"/>
        <v>INSERT INTO `parqueadero`.`conductor` (`Oid`, `IdConductor`, `Nombre`, `Area`, `Piso`, `Celular`, `correo`, `Vinculacion`) VALUES ('376','1013577285','PHILLIPS ANTONIO SAMPER MELGAREJO','Dirección de Apoyo a la Contrucción','','3014438578','phillips.samper@habitatbogota.gov.co','CONTRATISTA');</v>
      </c>
    </row>
    <row r="384" spans="1:9" ht="14.4" x14ac:dyDescent="0.3">
      <c r="A384" s="16">
        <f t="shared" si="10"/>
        <v>377</v>
      </c>
      <c r="B384" s="17">
        <v>91110560</v>
      </c>
      <c r="C384" s="17" t="s">
        <v>2008</v>
      </c>
      <c r="D384" s="17" t="s">
        <v>2011</v>
      </c>
      <c r="E384" s="17"/>
      <c r="F384" s="24">
        <v>3168685422</v>
      </c>
      <c r="G384" s="8" t="s">
        <v>2010</v>
      </c>
      <c r="H384" s="24" t="s">
        <v>2209</v>
      </c>
      <c r="I384" s="37" t="str">
        <f t="shared" si="11"/>
        <v>INSERT INTO `parqueadero`.`conductor` (`Oid`, `IdConductor`, `Nombre`, `Area`, `Piso`, `Celular`, `correo`, `Vinculacion`) VALUES ('377','91110560','RAFAEL BERNARDO SANTOS RUEDA','Oficina de Control Disciplinario Interno','','3168685422','rafael.santos@habitatbogota.gov.co','CONTRATISTA');</v>
      </c>
    </row>
    <row r="385" spans="1:9" ht="14.4" x14ac:dyDescent="0.3">
      <c r="A385" s="16">
        <f t="shared" si="10"/>
        <v>378</v>
      </c>
      <c r="B385" s="17">
        <v>80061648</v>
      </c>
      <c r="C385" s="17" t="s">
        <v>1517</v>
      </c>
      <c r="D385" s="6" t="s">
        <v>270</v>
      </c>
      <c r="E385" s="6"/>
      <c r="F385" s="17">
        <v>3103076693</v>
      </c>
      <c r="G385" s="8" t="s">
        <v>1519</v>
      </c>
      <c r="H385" s="24" t="s">
        <v>2209</v>
      </c>
      <c r="I385" s="37" t="str">
        <f t="shared" si="11"/>
        <v>INSERT INTO `parqueadero`.`conductor` (`Oid`, `IdConductor`, `Nombre`, `Area`, `Piso`, `Celular`, `correo`, `Vinculacion`) VALUES ('378','80061648','RAFAEL LEIBER MALAGON AGUDELO','Dirección de Investigaciones y Control de Vivienda','','3103076693','rafael.malagon@habitatbogota.gov','CONTRATISTA');</v>
      </c>
    </row>
    <row r="386" spans="1:9" ht="14.4" x14ac:dyDescent="0.3">
      <c r="A386" s="16">
        <f t="shared" si="10"/>
        <v>379</v>
      </c>
      <c r="B386" s="17">
        <v>1019007970</v>
      </c>
      <c r="C386" s="17" t="s">
        <v>1278</v>
      </c>
      <c r="D386" s="6" t="s">
        <v>742</v>
      </c>
      <c r="E386" s="6"/>
      <c r="F386" s="17">
        <v>3017193730</v>
      </c>
      <c r="G386" s="8" t="s">
        <v>1268</v>
      </c>
      <c r="H386" s="24" t="s">
        <v>1280</v>
      </c>
      <c r="I386" s="37" t="str">
        <f t="shared" si="11"/>
        <v>INSERT INTO `parqueadero`.`conductor` (`Oid`, `IdConductor`, `Nombre`, `Area`, `Piso`, `Celular`, `correo`, `Vinculacion`) VALUES ('379','1019007970','RAUL EDUARDO URIBE GUALDRON','Gestión Documental','','3017193730','correspondenciasdht@habitatbogota.gov.co','EXTERNO');</v>
      </c>
    </row>
    <row r="387" spans="1:9" ht="14.4" x14ac:dyDescent="0.3">
      <c r="A387" s="16">
        <f t="shared" si="10"/>
        <v>380</v>
      </c>
      <c r="B387" s="6">
        <v>1103095276</v>
      </c>
      <c r="C387" s="17" t="s">
        <v>1994</v>
      </c>
      <c r="D387" s="6" t="s">
        <v>1905</v>
      </c>
      <c r="E387" s="6"/>
      <c r="F387" s="6">
        <v>3014977779</v>
      </c>
      <c r="G387" s="8" t="s">
        <v>1995</v>
      </c>
      <c r="H387" s="24" t="s">
        <v>2209</v>
      </c>
      <c r="I387" s="37" t="str">
        <f t="shared" si="11"/>
        <v>INSERT INTO `parqueadero`.`conductor` (`Oid`, `IdConductor`, `Nombre`, `Area`, `Piso`, `Celular`, `correo`, `Vinculacion`) VALUES ('380','1103095276','RAYNIER ANTONIO CAMARGO LORA','Dirección de Contratación','','3014977779','raynier.camargo@habitatbogota.gov.co','CONTRATISTA');</v>
      </c>
    </row>
    <row r="388" spans="1:9" ht="14.4" x14ac:dyDescent="0.3">
      <c r="A388" s="16">
        <f t="shared" si="10"/>
        <v>381</v>
      </c>
      <c r="B388" s="6">
        <v>50939844</v>
      </c>
      <c r="C388" s="17" t="s">
        <v>2272</v>
      </c>
      <c r="D388" s="6" t="s">
        <v>270</v>
      </c>
      <c r="E388" s="6"/>
      <c r="F388" s="6">
        <v>3006677111</v>
      </c>
      <c r="G388" s="8" t="s">
        <v>537</v>
      </c>
      <c r="H388" s="24" t="s">
        <v>2209</v>
      </c>
      <c r="I388" s="37" t="str">
        <f t="shared" si="11"/>
        <v>INSERT INTO `parqueadero`.`conductor` (`Oid`, `IdConductor`, `Nombre`, `Area`, `Piso`, `Celular`, `correo`, `Vinculacion`) VALUES ('381','50939844','REMY JOSEFA RAMÍREZ NEGRETE','Dirección de Investigaciones y Control de Vivienda','','3006677111','remy.ramirez@habitatbogota.gov.co','CONTRATISTA');</v>
      </c>
    </row>
    <row r="389" spans="1:9" ht="14.4" x14ac:dyDescent="0.3">
      <c r="A389" s="16">
        <f t="shared" si="10"/>
        <v>382</v>
      </c>
      <c r="B389" s="6">
        <v>228042</v>
      </c>
      <c r="C389" s="17" t="s">
        <v>688</v>
      </c>
      <c r="D389" s="6" t="s">
        <v>2109</v>
      </c>
      <c r="E389" s="6"/>
      <c r="F389" s="6">
        <v>3132090951</v>
      </c>
      <c r="G389" s="8" t="s">
        <v>690</v>
      </c>
      <c r="H389" s="24" t="s">
        <v>2209</v>
      </c>
      <c r="I389" s="37" t="str">
        <f t="shared" si="11"/>
        <v>INSERT INTO `parqueadero`.`conductor` (`Oid`, `IdConductor`, `Nombre`, `Area`, `Piso`, `Celular`, `correo`, `Vinculacion`) VALUES ('382','228042','RICARDO DOMINGUEZ IRISARRI','Dirección de Estructuracion de Proyectos','','3132090951','ricardo.dominguez@habitatbogota.gov.co','CONTRATISTA');</v>
      </c>
    </row>
    <row r="390" spans="1:9" ht="14.4" x14ac:dyDescent="0.3">
      <c r="A390" s="16">
        <f t="shared" si="10"/>
        <v>383</v>
      </c>
      <c r="B390" s="6">
        <v>1026274713</v>
      </c>
      <c r="C390" s="17" t="s">
        <v>2071</v>
      </c>
      <c r="D390" s="6" t="s">
        <v>500</v>
      </c>
      <c r="E390" s="6"/>
      <c r="F390" s="6">
        <v>3043783737</v>
      </c>
      <c r="G390" s="8" t="s">
        <v>2072</v>
      </c>
      <c r="H390" s="24" t="s">
        <v>2209</v>
      </c>
      <c r="I390" s="37" t="str">
        <f t="shared" si="11"/>
        <v>INSERT INTO `parqueadero`.`conductor` (`Oid`, `IdConductor`, `Nombre`, `Area`, `Piso`, `Celular`, `correo`, `Vinculacion`) VALUES ('383','1026274713','RICARDO ERNESTO SÁNCHEZ MENESES','Dirección de Financiación de Vivienda','','3043783737','sanchezricardo4@hotmail.com','CONTRATISTA');</v>
      </c>
    </row>
    <row r="391" spans="1:9" ht="14.4" x14ac:dyDescent="0.3">
      <c r="A391" s="16">
        <f t="shared" si="10"/>
        <v>384</v>
      </c>
      <c r="B391" s="6">
        <v>43877882</v>
      </c>
      <c r="C391" s="17" t="s">
        <v>1254</v>
      </c>
      <c r="D391" s="6" t="s">
        <v>201</v>
      </c>
      <c r="E391" s="6"/>
      <c r="F391" s="6">
        <v>3146620821</v>
      </c>
      <c r="G391" s="8" t="s">
        <v>1256</v>
      </c>
      <c r="H391" s="24" t="s">
        <v>2209</v>
      </c>
      <c r="I391" s="37" t="str">
        <f t="shared" si="11"/>
        <v>INSERT INTO `parqueadero`.`conductor` (`Oid`, `IdConductor`, `Nombre`, `Area`, `Piso`, `Celular`, `correo`, `Vinculacion`) VALUES ('384','43877882','RITA INÉS CALLE JARAMILLO','Dirección de Mejoramiento Habitacional','','3146620821','rita.calle@habitatbogota.gov.co','CONTRATISTA');</v>
      </c>
    </row>
    <row r="392" spans="1:9" ht="14.4" x14ac:dyDescent="0.3">
      <c r="A392" s="16">
        <f t="shared" ref="A392:A445" si="12">ROW()-7</f>
        <v>385</v>
      </c>
      <c r="B392" s="6">
        <v>79328182</v>
      </c>
      <c r="C392" s="17" t="s">
        <v>2273</v>
      </c>
      <c r="D392" s="6" t="s">
        <v>587</v>
      </c>
      <c r="E392" s="6"/>
      <c r="F392" s="6">
        <v>3166210717</v>
      </c>
      <c r="G392" s="8" t="s">
        <v>737</v>
      </c>
      <c r="H392" s="24" t="s">
        <v>2209</v>
      </c>
      <c r="I392" s="37" t="str">
        <f t="shared" ref="I392:I445" si="13">CONCATENATE("INSERT INTO `parqueadero`.`conductor` (`",$A$7,"`, `",$B$7,"`, `",$C$7,"`, `",$D$7,"`, `",$E$7,"`, `",$F$7,"`, `",$G$7,"`, `",$H$7,"`) VALUES ('",A392,"','",B392,"','",C392,"','",D392,"','",E392,"','",F392,"','",G392,"','",H392,"');" )</f>
        <v>INSERT INTO `parqueadero`.`conductor` (`Oid`, `IdConductor`, `Nombre`, `Area`, `Piso`, `Celular`, `correo`, `Vinculacion`) VALUES ('385','79328182','ROBERTO VELÁSQUEZ VELÁSQUEZ','Dirección de Apoyo a la Contrucción','','3166210717','roberto.velasquez@habitatbogota.gov.co','CONTRATISTA');</v>
      </c>
    </row>
    <row r="393" spans="1:9" ht="14.4" x14ac:dyDescent="0.3">
      <c r="A393" s="16">
        <f t="shared" si="12"/>
        <v>386</v>
      </c>
      <c r="B393" s="6">
        <v>79979675</v>
      </c>
      <c r="C393" s="17" t="s">
        <v>287</v>
      </c>
      <c r="D393" s="6" t="s">
        <v>201</v>
      </c>
      <c r="E393" s="6"/>
      <c r="F393" s="6">
        <v>3004729310</v>
      </c>
      <c r="G393" s="8" t="s">
        <v>288</v>
      </c>
      <c r="H393" s="24" t="s">
        <v>119</v>
      </c>
      <c r="I393" s="37" t="str">
        <f t="shared" si="13"/>
        <v>INSERT INTO `parqueadero`.`conductor` (`Oid`, `IdConductor`, `Nombre`, `Area`, `Piso`, `Celular`, `correo`, `Vinculacion`) VALUES ('386','79979675','RODOLFO ORLANDO BELTRAN CUBILLOS','Dirección de Mejoramiento Habitacional','','3004729310','rodolfo.beltran@habitatbogota.gov.co','FUNCIONARIO');</v>
      </c>
    </row>
    <row r="394" spans="1:9" ht="14.4" x14ac:dyDescent="0.3">
      <c r="A394" s="16">
        <f t="shared" si="12"/>
        <v>387</v>
      </c>
      <c r="B394" s="6">
        <v>79773343</v>
      </c>
      <c r="C394" s="17" t="s">
        <v>2274</v>
      </c>
      <c r="D394" s="6" t="s">
        <v>434</v>
      </c>
      <c r="E394" s="6" t="s">
        <v>2198</v>
      </c>
      <c r="F394" s="6">
        <v>3007889782</v>
      </c>
      <c r="G394" s="8" t="s">
        <v>241</v>
      </c>
      <c r="H394" s="24" t="s">
        <v>2209</v>
      </c>
      <c r="I394" s="37" t="str">
        <f t="shared" si="13"/>
        <v>INSERT INTO `parqueadero`.`conductor` (`Oid`, `IdConductor`, `Nombre`, `Area`, `Piso`, `Celular`, `correo`, `Vinculacion`) VALUES ('387','79773343','RODRIGO HIDALGO','Dirección Administrativa','Piso 12','3007889782','rodrigo.hidalgo@habitatbogora.gov.co','CONTRATISTA');</v>
      </c>
    </row>
    <row r="395" spans="1:9" ht="14.4" x14ac:dyDescent="0.3">
      <c r="A395" s="16">
        <f t="shared" si="12"/>
        <v>388</v>
      </c>
      <c r="B395" s="6">
        <v>79873343</v>
      </c>
      <c r="C395" s="17" t="s">
        <v>2274</v>
      </c>
      <c r="D395" s="6" t="s">
        <v>434</v>
      </c>
      <c r="E395" s="6" t="s">
        <v>2198</v>
      </c>
      <c r="F395" s="6">
        <v>3007889782</v>
      </c>
      <c r="G395" s="8" t="s">
        <v>260</v>
      </c>
      <c r="H395" s="24" t="s">
        <v>2209</v>
      </c>
      <c r="I395" s="37" t="str">
        <f t="shared" si="13"/>
        <v>INSERT INTO `parqueadero`.`conductor` (`Oid`, `IdConductor`, `Nombre`, `Area`, `Piso`, `Celular`, `correo`, `Vinculacion`) VALUES ('388','79873343','RODRIGO HIDALGO','Dirección Administrativa','Piso 12','3007889782','rodrigo.hidalgo@habitatbogota.gov.co','CONTRATISTA');</v>
      </c>
    </row>
    <row r="396" spans="1:9" ht="14.4" x14ac:dyDescent="0.3">
      <c r="A396" s="16">
        <f t="shared" si="12"/>
        <v>389</v>
      </c>
      <c r="B396" s="6">
        <v>1136879147</v>
      </c>
      <c r="C396" s="17" t="s">
        <v>2054</v>
      </c>
      <c r="D396" s="6" t="s">
        <v>500</v>
      </c>
      <c r="E396" s="6"/>
      <c r="F396" s="6">
        <v>3183907063</v>
      </c>
      <c r="G396" s="8" t="s">
        <v>2056</v>
      </c>
      <c r="H396" s="24" t="s">
        <v>2209</v>
      </c>
      <c r="I396" s="37" t="str">
        <f t="shared" si="13"/>
        <v>INSERT INTO `parqueadero`.`conductor` (`Oid`, `IdConductor`, `Nombre`, `Area`, `Piso`, `Celular`, `correo`, `Vinculacion`) VALUES ('389','1136879147','RONNY ESTIVEN ROMERO VELANDIA','Dirección de Financiación de Vivienda','','3183907063','ronny.romero@habitatbogota.gov.co','CONTRATISTA');</v>
      </c>
    </row>
    <row r="397" spans="1:9" ht="14.4" x14ac:dyDescent="0.3">
      <c r="A397" s="16">
        <f t="shared" si="12"/>
        <v>390</v>
      </c>
      <c r="B397" s="6">
        <v>53167119</v>
      </c>
      <c r="C397" s="17" t="s">
        <v>1376</v>
      </c>
      <c r="D397" s="6" t="s">
        <v>1006</v>
      </c>
      <c r="E397" s="6"/>
      <c r="F397" s="6">
        <v>3005054691</v>
      </c>
      <c r="G397" s="8" t="s">
        <v>1378</v>
      </c>
      <c r="H397" s="24" t="s">
        <v>2209</v>
      </c>
      <c r="I397" s="37" t="str">
        <f t="shared" si="13"/>
        <v>INSERT INTO `parqueadero`.`conductor` (`Oid`, `IdConductor`, `Nombre`, `Area`, `Piso`, `Celular`, `correo`, `Vinculacion`) VALUES ('390','53167119','ROSA CAROLINA CORAL QUIROZ','Subsecretaría Jurídica','','3005054691','rosa.coral@habitatbogota.gov.co','CONTRATISTA');</v>
      </c>
    </row>
    <row r="398" spans="1:9" ht="14.4" x14ac:dyDescent="0.3">
      <c r="A398" s="16">
        <f t="shared" si="12"/>
        <v>391</v>
      </c>
      <c r="B398" s="6">
        <v>52308946</v>
      </c>
      <c r="C398" s="17" t="s">
        <v>1700</v>
      </c>
      <c r="D398" s="6" t="s">
        <v>1702</v>
      </c>
      <c r="E398" s="6"/>
      <c r="F398" s="6">
        <v>3228970040</v>
      </c>
      <c r="G398" s="8" t="s">
        <v>1701</v>
      </c>
      <c r="H398" s="24" t="s">
        <v>1280</v>
      </c>
      <c r="I398" s="37" t="str">
        <f t="shared" si="13"/>
        <v>INSERT INTO `parqueadero`.`conductor` (`Oid`, `IdConductor`, `Nombre`, `Area`, `Piso`, `Celular`, `correo`, `Vinculacion`) VALUES ('391','52308946','RUTH ALBA CIFUENTES PENAGOS','UT Clean Colombia','','3228970040','ruth290175@gmail.com','EXTERNO');</v>
      </c>
    </row>
    <row r="399" spans="1:9" ht="14.4" x14ac:dyDescent="0.3">
      <c r="A399" s="16">
        <f t="shared" si="12"/>
        <v>392</v>
      </c>
      <c r="B399" s="6">
        <v>65709742</v>
      </c>
      <c r="C399" s="17" t="s">
        <v>193</v>
      </c>
      <c r="D399" s="6" t="s">
        <v>201</v>
      </c>
      <c r="E399" s="6"/>
      <c r="F399" s="6">
        <v>3045519277</v>
      </c>
      <c r="G399" s="8" t="s">
        <v>195</v>
      </c>
      <c r="H399" s="24" t="s">
        <v>2209</v>
      </c>
      <c r="I399" s="37" t="str">
        <f t="shared" si="13"/>
        <v>INSERT INTO `parqueadero`.`conductor` (`Oid`, `IdConductor`, `Nombre`, `Area`, `Piso`, `Celular`, `correo`, `Vinculacion`) VALUES ('392','65709742','RUTH PADILLA ALMARIO','Dirección de Mejoramiento Habitacional','','3045519277','ruth.padilla@habitatbogota.gov.co','CONTRATISTA');</v>
      </c>
    </row>
    <row r="400" spans="1:9" ht="14.4" x14ac:dyDescent="0.3">
      <c r="A400" s="16">
        <f t="shared" si="12"/>
        <v>393</v>
      </c>
      <c r="B400" s="17">
        <v>1030543652</v>
      </c>
      <c r="C400" s="17" t="s">
        <v>2275</v>
      </c>
      <c r="D400" s="6" t="s">
        <v>285</v>
      </c>
      <c r="E400" s="6"/>
      <c r="F400" s="17">
        <v>3014400686</v>
      </c>
      <c r="G400" s="8" t="s">
        <v>873</v>
      </c>
      <c r="H400" s="24" t="s">
        <v>2209</v>
      </c>
      <c r="I400" s="37" t="str">
        <f t="shared" si="13"/>
        <v>INSERT INTO `parqueadero`.`conductor` (`Oid`, `IdConductor`, `Nombre`, `Area`, `Piso`, `Celular`, `correo`, `Vinculacion`) VALUES ('393','1030543652','SANDRA JOHANA PINZON RODRÍGUEZ','Oficina Asesora de Planeación','','3014400686','sandra.pinzonr@habitatbogota.gov.co','CONTRATISTA');</v>
      </c>
    </row>
    <row r="401" spans="1:9" ht="14.4" x14ac:dyDescent="0.3">
      <c r="A401" s="16">
        <f t="shared" si="12"/>
        <v>394</v>
      </c>
      <c r="B401" s="6">
        <v>1020833621</v>
      </c>
      <c r="C401" s="17" t="s">
        <v>2276</v>
      </c>
      <c r="D401" s="17" t="s">
        <v>299</v>
      </c>
      <c r="E401" s="17"/>
      <c r="F401" s="6">
        <v>3106183500</v>
      </c>
      <c r="G401" s="8" t="s">
        <v>646</v>
      </c>
      <c r="H401" s="24" t="s">
        <v>2209</v>
      </c>
      <c r="I401" s="37" t="str">
        <f t="shared" si="13"/>
        <v>INSERT INTO `parqueadero`.`conductor` (`Oid`, `IdConductor`, `Nombre`, `Area`, `Piso`, `Celular`, `correo`, `Vinculacion`) VALUES ('394','1020833621','SANTIAGO GARCIA','Despacho','','3106183500','santiago.garcia@habitatbogota.gov.co','CONTRATISTA');</v>
      </c>
    </row>
    <row r="402" spans="1:9" ht="14.4" x14ac:dyDescent="0.3">
      <c r="A402" s="16">
        <f t="shared" si="12"/>
        <v>395</v>
      </c>
      <c r="B402" s="6">
        <v>1018493253</v>
      </c>
      <c r="C402" s="17" t="s">
        <v>2277</v>
      </c>
      <c r="D402" s="6" t="s">
        <v>500</v>
      </c>
      <c r="E402" s="6"/>
      <c r="F402" s="6">
        <v>3245841183</v>
      </c>
      <c r="G402" s="8" t="s">
        <v>1265</v>
      </c>
      <c r="H402" s="24" t="s">
        <v>2209</v>
      </c>
      <c r="I402" s="37" t="str">
        <f t="shared" si="13"/>
        <v>INSERT INTO `parqueadero`.`conductor` (`Oid`, `IdConductor`, `Nombre`, `Area`, `Piso`, `Celular`, `correo`, `Vinculacion`) VALUES ('395','1018493253','SANTIAGO LINARES','Dirección de Financiación de Vivienda','','3245841183','santiago.linares@habitatbogota.gov.co','CONTRATISTA');</v>
      </c>
    </row>
    <row r="403" spans="1:9" ht="14.4" x14ac:dyDescent="0.3">
      <c r="A403" s="16">
        <f t="shared" si="12"/>
        <v>396</v>
      </c>
      <c r="B403" s="6">
        <v>1022421202</v>
      </c>
      <c r="C403" s="17" t="s">
        <v>1392</v>
      </c>
      <c r="D403" s="17" t="s">
        <v>1395</v>
      </c>
      <c r="E403" s="17"/>
      <c r="F403" s="6">
        <v>3124309082</v>
      </c>
      <c r="G403" s="8" t="s">
        <v>1394</v>
      </c>
      <c r="H403" s="24" t="s">
        <v>2209</v>
      </c>
      <c r="I403" s="37" t="str">
        <f t="shared" si="13"/>
        <v>INSERT INTO `parqueadero`.`conductor` (`Oid`, `IdConductor`, `Nombre`, `Area`, `Piso`, `Celular`, `correo`, `Vinculacion`) VALUES ('396','1022421202','SANTIAGO VELANDIA DAZA','Dirección de Servicios Públicos','','3124309082','santiago.velandia@habitatbogota.gov.co','CONTRATISTA');</v>
      </c>
    </row>
    <row r="404" spans="1:9" ht="14.4" x14ac:dyDescent="0.3">
      <c r="A404" s="16">
        <f t="shared" si="12"/>
        <v>397</v>
      </c>
      <c r="B404" s="6">
        <v>53066202</v>
      </c>
      <c r="C404" s="17" t="s">
        <v>2278</v>
      </c>
      <c r="D404" s="6" t="s">
        <v>500</v>
      </c>
      <c r="E404" s="6"/>
      <c r="F404" s="6">
        <v>3002619924</v>
      </c>
      <c r="G404" s="8" t="s">
        <v>470</v>
      </c>
      <c r="H404" s="24" t="s">
        <v>2209</v>
      </c>
      <c r="I404" s="37" t="str">
        <f t="shared" si="13"/>
        <v>INSERT INTO `parqueadero`.`conductor` (`Oid`, `IdConductor`, `Nombre`, `Area`, `Piso`, `Celular`, `correo`, `Vinculacion`) VALUES ('397','53066202','SARA MILENA AGUIRRE BARRERA','Dirección de Financiación de Vivienda','','3002619924','saritaguirre@hotmail.com','CONTRATISTA');</v>
      </c>
    </row>
    <row r="405" spans="1:9" ht="14.4" x14ac:dyDescent="0.3">
      <c r="A405" s="16">
        <f t="shared" si="12"/>
        <v>398</v>
      </c>
      <c r="B405" s="17">
        <v>1001090013</v>
      </c>
      <c r="C405" s="17" t="s">
        <v>584</v>
      </c>
      <c r="D405" s="6" t="s">
        <v>587</v>
      </c>
      <c r="E405" s="6"/>
      <c r="F405" s="17">
        <v>3214308705</v>
      </c>
      <c r="G405" s="8" t="s">
        <v>586</v>
      </c>
      <c r="H405" s="24" t="s">
        <v>2209</v>
      </c>
      <c r="I405" s="37" t="str">
        <f t="shared" si="13"/>
        <v>INSERT INTO `parqueadero`.`conductor` (`Oid`, `IdConductor`, `Nombre`, `Area`, `Piso`, `Celular`, `correo`, `Vinculacion`) VALUES ('398','1001090013','SARA NATALIA CASALLAS RODRIGUEZ','Dirección de Apoyo a la Contrucción','','3214308705','sara.casallas@habitatbogta.gov.co','CONTRATISTA');</v>
      </c>
    </row>
    <row r="406" spans="1:9" ht="14.4" x14ac:dyDescent="0.3">
      <c r="A406" s="16">
        <f t="shared" si="12"/>
        <v>399</v>
      </c>
      <c r="B406" s="13">
        <v>1049794506</v>
      </c>
      <c r="C406" s="24" t="s">
        <v>1828</v>
      </c>
      <c r="D406" s="6" t="s">
        <v>1006</v>
      </c>
      <c r="E406" s="6"/>
      <c r="F406" s="13"/>
      <c r="G406" s="8" t="s">
        <v>1830</v>
      </c>
      <c r="H406" s="24" t="s">
        <v>2209</v>
      </c>
      <c r="I406" s="37" t="str">
        <f t="shared" si="13"/>
        <v>INSERT INTO `parqueadero`.`conductor` (`Oid`, `IdConductor`, `Nombre`, `Area`, `Piso`, `Celular`, `correo`, `Vinculacion`) VALUES ('399','1049794506','SATUL LUCERO VERA PATIÑO','Subsecretaría Jurídica','','','lucero.vera@habitatbogota.gov.co','CONTRATISTA');</v>
      </c>
    </row>
    <row r="407" spans="1:9" ht="14.4" x14ac:dyDescent="0.3">
      <c r="A407" s="16">
        <f t="shared" si="12"/>
        <v>400</v>
      </c>
      <c r="B407" s="6">
        <v>1019111258</v>
      </c>
      <c r="C407" s="17" t="s">
        <v>1419</v>
      </c>
      <c r="D407" s="6" t="s">
        <v>1338</v>
      </c>
      <c r="E407" s="6"/>
      <c r="F407" s="6">
        <v>3167697896</v>
      </c>
      <c r="G407" s="8" t="s">
        <v>1421</v>
      </c>
      <c r="H407" s="24" t="s">
        <v>2209</v>
      </c>
      <c r="I407" s="37" t="str">
        <f t="shared" si="13"/>
        <v>INSERT INTO `parqueadero`.`conductor` (`Oid`, `IdConductor`, `Nombre`, `Area`, `Piso`, `Celular`, `correo`, `Vinculacion`) VALUES ('400','1019111258','SEBASTIAN BERNAL RIAÑO','Oficina de Participación y Relacionamiento con la Ciudadanía','','3167697896','sebastian.bernal@habitatbogota.gov.co','CONTRATISTA');</v>
      </c>
    </row>
    <row r="408" spans="1:9" ht="14.4" x14ac:dyDescent="0.3">
      <c r="A408" s="16">
        <f t="shared" si="12"/>
        <v>401</v>
      </c>
      <c r="B408" s="6">
        <v>1026302740</v>
      </c>
      <c r="C408" s="17" t="s">
        <v>1057</v>
      </c>
      <c r="D408" s="6" t="s">
        <v>1006</v>
      </c>
      <c r="E408" s="6"/>
      <c r="F408" s="6">
        <v>3226346627</v>
      </c>
      <c r="G408" s="8" t="s">
        <v>1059</v>
      </c>
      <c r="H408" s="24" t="s">
        <v>2209</v>
      </c>
      <c r="I408" s="37" t="str">
        <f t="shared" si="13"/>
        <v>INSERT INTO `parqueadero`.`conductor` (`Oid`, `IdConductor`, `Nombre`, `Area`, `Piso`, `Celular`, `correo`, `Vinculacion`) VALUES ('401','1026302740','SEBASTIAN SAAD GIOVANNETTI','Subsecretaría Jurídica','','3226346627','sebastian.saad@habitatbogota.gov.co','CONTRATISTA');</v>
      </c>
    </row>
    <row r="409" spans="1:9" ht="14.4" x14ac:dyDescent="0.3">
      <c r="A409" s="16">
        <f t="shared" si="12"/>
        <v>402</v>
      </c>
      <c r="B409" s="17">
        <v>1000284442</v>
      </c>
      <c r="C409" s="17" t="s">
        <v>1748</v>
      </c>
      <c r="D409" s="17" t="s">
        <v>1395</v>
      </c>
      <c r="E409" s="17"/>
      <c r="F409" s="17">
        <v>3058723948</v>
      </c>
      <c r="G409" s="8" t="s">
        <v>1750</v>
      </c>
      <c r="H409" s="24" t="s">
        <v>2209</v>
      </c>
      <c r="I409" s="37" t="str">
        <f t="shared" si="13"/>
        <v>INSERT INTO `parqueadero`.`conductor` (`Oid`, `IdConductor`, `Nombre`, `Area`, `Piso`, `Celular`, `correo`, `Vinculacion`) VALUES ('402','1000284442','SEBASTIÁN TORRES RODRÍGUEZ','Dirección de Servicios Públicos','','3058723948','sebastian.torres@habitatbogota.gov.co','CONTRATISTA');</v>
      </c>
    </row>
    <row r="410" spans="1:9" ht="14.4" x14ac:dyDescent="0.3">
      <c r="A410" s="16">
        <f t="shared" si="12"/>
        <v>403</v>
      </c>
      <c r="B410" s="6">
        <v>80003738</v>
      </c>
      <c r="C410" s="17" t="s">
        <v>120</v>
      </c>
      <c r="D410" s="6" t="s">
        <v>1229</v>
      </c>
      <c r="E410" s="6"/>
      <c r="F410" s="6">
        <v>3003626509</v>
      </c>
      <c r="G410" s="8" t="s">
        <v>122</v>
      </c>
      <c r="H410" s="24" t="s">
        <v>2209</v>
      </c>
      <c r="I410" s="37" t="str">
        <f t="shared" si="13"/>
        <v>INSERT INTO `parqueadero`.`conductor` (`Oid`, `IdConductor`, `Nombre`, `Area`, `Piso`, `Celular`, `correo`, `Vinculacion`) VALUES ('403','80003738','SERGIO ALEJANDRO AVELLA FIGUEROA','Dirección de Información de Políticas Públicas','','3003626509','sergio.avella@habitatbogota.gov.co','CONTRATISTA');</v>
      </c>
    </row>
    <row r="411" spans="1:9" ht="14.4" x14ac:dyDescent="0.3">
      <c r="A411" s="16">
        <f t="shared" si="12"/>
        <v>404</v>
      </c>
      <c r="B411" s="6">
        <v>91495511</v>
      </c>
      <c r="C411" s="17" t="s">
        <v>2106</v>
      </c>
      <c r="D411" s="6" t="s">
        <v>201</v>
      </c>
      <c r="E411" s="6"/>
      <c r="F411" s="6">
        <v>3163208044</v>
      </c>
      <c r="G411" s="8" t="s">
        <v>753</v>
      </c>
      <c r="H411" s="24" t="s">
        <v>2209</v>
      </c>
      <c r="I411" s="37" t="str">
        <f t="shared" si="13"/>
        <v>INSERT INTO `parqueadero`.`conductor` (`Oid`, `IdConductor`, `Nombre`, `Area`, `Piso`, `Celular`, `correo`, `Vinculacion`) VALUES ('404','91495511','SERGIO ANDRÉS BOHORQUEZ CAÑAS','Dirección de Mejoramiento Habitacional','','3163208044','sergio.bohorquez@hotmail.com','CONTRATISTA');</v>
      </c>
    </row>
    <row r="412" spans="1:9" ht="14.4" x14ac:dyDescent="0.3">
      <c r="A412" s="16">
        <f t="shared" si="12"/>
        <v>405</v>
      </c>
      <c r="B412" s="17">
        <v>1016036999</v>
      </c>
      <c r="C412" s="17" t="s">
        <v>1502</v>
      </c>
      <c r="D412" s="17" t="s">
        <v>1041</v>
      </c>
      <c r="E412" s="17"/>
      <c r="F412" s="17">
        <v>3143216258</v>
      </c>
      <c r="G412" s="8" t="s">
        <v>1504</v>
      </c>
      <c r="H412" s="24" t="s">
        <v>2209</v>
      </c>
      <c r="I412" s="37" t="str">
        <f t="shared" si="13"/>
        <v>INSERT INTO `parqueadero`.`conductor` (`Oid`, `IdConductor`, `Nombre`, `Area`, `Piso`, `Celular`, `correo`, `Vinculacion`) VALUES ('405','1016036999','SERGIO ANDRES RODRIGUEZ ACHURY','Dirección de Hábitat y Entorno','','3143216258','sergio.rodriguez@habitatbogota.gov.co','CONTRATISTA');</v>
      </c>
    </row>
    <row r="413" spans="1:9" ht="14.4" x14ac:dyDescent="0.3">
      <c r="A413" s="16">
        <f t="shared" si="12"/>
        <v>406</v>
      </c>
      <c r="B413" s="6">
        <v>80850767</v>
      </c>
      <c r="C413" s="17" t="s">
        <v>351</v>
      </c>
      <c r="D413" s="6" t="s">
        <v>2109</v>
      </c>
      <c r="E413" s="6"/>
      <c r="F413" s="6">
        <v>3004400752</v>
      </c>
      <c r="G413" s="8" t="s">
        <v>353</v>
      </c>
      <c r="H413" s="24" t="s">
        <v>2209</v>
      </c>
      <c r="I413" s="37" t="str">
        <f t="shared" si="13"/>
        <v>INSERT INTO `parqueadero`.`conductor` (`Oid`, `IdConductor`, `Nombre`, `Area`, `Piso`, `Celular`, `correo`, `Vinculacion`) VALUES ('406','80850767','SERGIO ARTURO SANCHEZ SALAMANCA','Dirección de Estructuracion de Proyectos','','3004400752','sergio.sanchez@habitatbogota.gov.co','CONTRATISTA');</v>
      </c>
    </row>
    <row r="414" spans="1:9" ht="14.4" x14ac:dyDescent="0.3">
      <c r="A414" s="16">
        <f t="shared" si="12"/>
        <v>407</v>
      </c>
      <c r="B414" s="17">
        <v>40046195</v>
      </c>
      <c r="C414" s="17" t="s">
        <v>204</v>
      </c>
      <c r="D414" s="17" t="s">
        <v>207</v>
      </c>
      <c r="E414" s="17"/>
      <c r="F414" s="17">
        <v>3002165953</v>
      </c>
      <c r="G414" s="8" t="s">
        <v>206</v>
      </c>
      <c r="H414" s="24" t="s">
        <v>2209</v>
      </c>
      <c r="I414" s="37" t="str">
        <f t="shared" si="13"/>
        <v>INSERT INTO `parqueadero`.`conductor` (`Oid`, `IdConductor`, `Nombre`, `Area`, `Piso`, `Celular`, `correo`, `Vinculacion`) VALUES ('407','40046195','SONIA CRISTINA ALVAREZ RODRIGUEZ','Dirección de Gestión de Suelo','','3002165953','sonia.alvarez@habitatbogota.gov.co','CONTRATISTA');</v>
      </c>
    </row>
    <row r="415" spans="1:9" ht="14.4" x14ac:dyDescent="0.3">
      <c r="A415" s="16">
        <f t="shared" si="12"/>
        <v>408</v>
      </c>
      <c r="B415" s="13">
        <v>1018501304</v>
      </c>
      <c r="C415" s="24" t="s">
        <v>1885</v>
      </c>
      <c r="D415" s="6" t="s">
        <v>500</v>
      </c>
      <c r="E415" s="6"/>
      <c r="F415" s="13">
        <v>3215215543</v>
      </c>
      <c r="G415" s="8" t="s">
        <v>1887</v>
      </c>
      <c r="H415" s="24" t="s">
        <v>2209</v>
      </c>
      <c r="I415" s="37" t="str">
        <f t="shared" si="13"/>
        <v>INSERT INTO `parqueadero`.`conductor` (`Oid`, `IdConductor`, `Nombre`, `Area`, `Piso`, `Celular`, `correo`, `Vinculacion`) VALUES ('408','1018501304','SONIA ESMERALDA ALFONSO PINEDA','Dirección de Financiación de Vivienda','','3215215543','sonia.alfonso@habitatbogota.gov.co','CONTRATISTA');</v>
      </c>
    </row>
    <row r="416" spans="1:9" ht="14.4" x14ac:dyDescent="0.3">
      <c r="A416" s="16">
        <f t="shared" si="12"/>
        <v>409</v>
      </c>
      <c r="B416" s="6">
        <v>52985421</v>
      </c>
      <c r="C416" s="17" t="s">
        <v>379</v>
      </c>
      <c r="D416" s="6" t="s">
        <v>325</v>
      </c>
      <c r="E416" s="6"/>
      <c r="F416" s="6">
        <v>3004085894</v>
      </c>
      <c r="G416" s="8" t="s">
        <v>381</v>
      </c>
      <c r="H416" s="24" t="s">
        <v>2209</v>
      </c>
      <c r="I416" s="37" t="str">
        <f t="shared" si="13"/>
        <v>INSERT INTO `parqueadero`.`conductor` (`Oid`, `IdConductor`, `Nombre`, `Area`, `Piso`, `Celular`, `correo`, `Vinculacion`) VALUES ('409','52985421','SONIA LISETH GOMEZ CACERES','Dirección de Operaciones','','3004085894','sonia.gomez@habitatbogota.gov.co','CONTRATISTA');</v>
      </c>
    </row>
    <row r="417" spans="1:9" ht="14.4" x14ac:dyDescent="0.3">
      <c r="A417" s="16">
        <f t="shared" si="12"/>
        <v>410</v>
      </c>
      <c r="B417" s="6">
        <v>1073152672</v>
      </c>
      <c r="C417" s="17" t="s">
        <v>846</v>
      </c>
      <c r="D417" s="17" t="s">
        <v>2011</v>
      </c>
      <c r="E417" s="17"/>
      <c r="F417" s="6">
        <v>3102543144</v>
      </c>
      <c r="G417" s="8" t="s">
        <v>848</v>
      </c>
      <c r="H417" s="24" t="s">
        <v>2209</v>
      </c>
      <c r="I417" s="37" t="str">
        <f t="shared" si="13"/>
        <v>INSERT INTO `parqueadero`.`conductor` (`Oid`, `IdConductor`, `Nombre`, `Area`, `Piso`, `Celular`, `correo`, `Vinculacion`) VALUES ('410','1073152672','SUSAN FERNANDA HOYOS OCAMPO','Oficina de Control Disciplinario Interno','','3102543144','susan.hoyos@habitatbogota.gov.co','CONTRATISTA');</v>
      </c>
    </row>
    <row r="418" spans="1:9" ht="14.4" x14ac:dyDescent="0.3">
      <c r="A418" s="16">
        <f t="shared" si="12"/>
        <v>411</v>
      </c>
      <c r="B418" s="17">
        <v>1006881475</v>
      </c>
      <c r="C418" s="17" t="s">
        <v>1969</v>
      </c>
      <c r="D418" s="6" t="s">
        <v>1229</v>
      </c>
      <c r="E418" s="6"/>
      <c r="F418" s="24">
        <v>3157187705</v>
      </c>
      <c r="G418" s="8" t="s">
        <v>1971</v>
      </c>
      <c r="H418" s="24" t="s">
        <v>2209</v>
      </c>
      <c r="I418" s="37" t="str">
        <f t="shared" si="13"/>
        <v>INSERT INTO `parqueadero`.`conductor` (`Oid`, `IdConductor`, `Nombre`, `Area`, `Piso`, `Celular`, `correo`, `Vinculacion`) VALUES ('411','1006881475','TALIANA GÓMEZ OLIVEROS','Dirección de Información de Políticas Públicas','','3157187705','taliana.gomez@habitatbogota.gov.co','CONTRATISTA');</v>
      </c>
    </row>
    <row r="419" spans="1:9" ht="14.4" x14ac:dyDescent="0.3">
      <c r="A419" s="16">
        <f t="shared" si="12"/>
        <v>412</v>
      </c>
      <c r="B419" s="6">
        <v>1032472599</v>
      </c>
      <c r="C419" s="17" t="s">
        <v>135</v>
      </c>
      <c r="D419" s="6" t="s">
        <v>1229</v>
      </c>
      <c r="E419" s="6"/>
      <c r="F419" s="6">
        <v>3166351003</v>
      </c>
      <c r="G419" s="8" t="s">
        <v>137</v>
      </c>
      <c r="H419" s="24" t="s">
        <v>2209</v>
      </c>
      <c r="I419" s="37" t="str">
        <f t="shared" si="13"/>
        <v>INSERT INTO `parqueadero`.`conductor` (`Oid`, `IdConductor`, `Nombre`, `Area`, `Piso`, `Celular`, `correo`, `Vinculacion`) VALUES ('412','1032472599','TANIA SOFIA PUENTES ROJAS','Dirección de Información de Políticas Públicas','','3166351003','tania.puentes@habitatbogota.gov.co','CONTRATISTA');</v>
      </c>
    </row>
    <row r="420" spans="1:9" ht="14.4" x14ac:dyDescent="0.3">
      <c r="A420" s="16">
        <f t="shared" si="12"/>
        <v>413</v>
      </c>
      <c r="B420" s="6">
        <v>1001299742</v>
      </c>
      <c r="C420" s="17" t="s">
        <v>1304</v>
      </c>
      <c r="D420" s="6" t="s">
        <v>500</v>
      </c>
      <c r="E420" s="6"/>
      <c r="F420" s="6">
        <v>3167568586</v>
      </c>
      <c r="G420" s="8" t="s">
        <v>1306</v>
      </c>
      <c r="H420" s="24" t="s">
        <v>2209</v>
      </c>
      <c r="I420" s="37" t="str">
        <f t="shared" si="13"/>
        <v>INSERT INTO `parqueadero`.`conductor` (`Oid`, `IdConductor`, `Nombre`, `Area`, `Piso`, `Celular`, `correo`, `Vinculacion`) VALUES ('413','1001299742','VALENTINA GARZON NOGUERA','Dirección de Financiación de Vivienda','','3167568586','valentina.garzon@habitatbogota.gov.co','CONTRATISTA');</v>
      </c>
    </row>
    <row r="421" spans="1:9" ht="14.4" x14ac:dyDescent="0.3">
      <c r="A421" s="16">
        <f t="shared" si="12"/>
        <v>414</v>
      </c>
      <c r="B421" s="6">
        <v>1026264243</v>
      </c>
      <c r="C421" s="17" t="s">
        <v>1930</v>
      </c>
      <c r="D421" s="6" t="s">
        <v>2150</v>
      </c>
      <c r="E421" s="6"/>
      <c r="F421" s="6">
        <v>3196783827</v>
      </c>
      <c r="G421" s="8" t="s">
        <v>1932</v>
      </c>
      <c r="H421" s="24" t="s">
        <v>2209</v>
      </c>
      <c r="I421" s="37" t="str">
        <f t="shared" si="13"/>
        <v>INSERT INTO `parqueadero`.`conductor` (`Oid`, `IdConductor`, `Nombre`, `Area`, `Piso`, `Celular`, `correo`, `Vinculacion`) VALUES ('414','1026264243','VERÓNICA ANDREA CHAPARRO PULIDO','Dirección de Prevención Arrendamiento y Control de Enajenación','','3196783827','veronica.chaparro@habitatbogota.gov.co','CONTRATISTA');</v>
      </c>
    </row>
    <row r="422" spans="1:9" ht="14.4" x14ac:dyDescent="0.3">
      <c r="A422" s="16">
        <f t="shared" si="12"/>
        <v>415</v>
      </c>
      <c r="B422" s="6">
        <v>74282260</v>
      </c>
      <c r="C422" s="17" t="s">
        <v>2279</v>
      </c>
      <c r="D422" s="6" t="s">
        <v>270</v>
      </c>
      <c r="E422" s="6"/>
      <c r="F422" s="6">
        <v>3103296374</v>
      </c>
      <c r="G422" s="8" t="s">
        <v>1574</v>
      </c>
      <c r="H422" s="24" t="s">
        <v>119</v>
      </c>
      <c r="I422" s="37" t="str">
        <f t="shared" si="13"/>
        <v>INSERT INTO `parqueadero`.`conductor` (`Oid`, `IdConductor`, `Nombre`, `Area`, `Piso`, `Celular`, `correo`, `Vinculacion`) VALUES ('415','74282260','VICTOR RAÚL NEIRA MORRIS','Dirección de Investigaciones y Control de Vivienda','','3103296374','victor.neira@habitatbogota.gov.co','FUNCIONARIO');</v>
      </c>
    </row>
    <row r="423" spans="1:9" ht="14.4" x14ac:dyDescent="0.3">
      <c r="A423" s="16">
        <f t="shared" si="12"/>
        <v>416</v>
      </c>
      <c r="B423" s="6">
        <v>52821918</v>
      </c>
      <c r="C423" s="17" t="s">
        <v>1053</v>
      </c>
      <c r="D423" s="6" t="s">
        <v>201</v>
      </c>
      <c r="E423" s="6"/>
      <c r="F423" s="6">
        <v>3187954073</v>
      </c>
      <c r="G423" s="8" t="s">
        <v>1055</v>
      </c>
      <c r="H423" s="24" t="s">
        <v>2209</v>
      </c>
      <c r="I423" s="37" t="str">
        <f t="shared" si="13"/>
        <v>INSERT INTO `parqueadero`.`conductor` (`Oid`, `IdConductor`, `Nombre`, `Area`, `Piso`, `Celular`, `correo`, `Vinculacion`) VALUES ('416','52821918','VICTORIA CUNNINGHAM','Dirección de Mejoramiento Habitacional','','3187954073','victoria.cunningham@habitatbogota.gov.co','CONTRATISTA');</v>
      </c>
    </row>
    <row r="424" spans="1:9" ht="14.4" x14ac:dyDescent="0.3">
      <c r="A424" s="16">
        <f t="shared" si="12"/>
        <v>417</v>
      </c>
      <c r="B424" s="6">
        <v>52267468</v>
      </c>
      <c r="C424" s="17" t="s">
        <v>508</v>
      </c>
      <c r="D424" s="6" t="s">
        <v>500</v>
      </c>
      <c r="E424" s="6"/>
      <c r="F424" s="6">
        <v>3112711276</v>
      </c>
      <c r="G424" s="8" t="s">
        <v>510</v>
      </c>
      <c r="H424" s="24" t="s">
        <v>2209</v>
      </c>
      <c r="I424" s="37" t="str">
        <f t="shared" si="13"/>
        <v>INSERT INTO `parqueadero`.`conductor` (`Oid`, `IdConductor`, `Nombre`, `Area`, `Piso`, `Celular`, `correo`, `Vinculacion`) VALUES ('417','52267468','VIVIANNA CRISTINA MONTEALEGRE ROJAS','Dirección de Financiación de Vivienda','','3112711276','viviana.montealegre@habitatbogota.gov.co','CONTRATISTA');</v>
      </c>
    </row>
    <row r="425" spans="1:9" ht="14.4" x14ac:dyDescent="0.3">
      <c r="A425" s="16">
        <f t="shared" si="12"/>
        <v>418</v>
      </c>
      <c r="B425" s="6">
        <v>1077086276</v>
      </c>
      <c r="C425" s="17" t="s">
        <v>152</v>
      </c>
      <c r="D425" s="6" t="s">
        <v>500</v>
      </c>
      <c r="E425" s="6"/>
      <c r="F425" s="6">
        <v>3024069280</v>
      </c>
      <c r="G425" s="8" t="s">
        <v>154</v>
      </c>
      <c r="H425" s="24" t="s">
        <v>2209</v>
      </c>
      <c r="I425" s="37" t="str">
        <f t="shared" si="13"/>
        <v>INSERT INTO `parqueadero`.`conductor` (`Oid`, `IdConductor`, `Nombre`, `Area`, `Piso`, `Celular`, `correo`, `Vinculacion`) VALUES ('418','1077086276','WENDY SHIRLEY LESMES GARZON','Dirección de Financiación de Vivienda','','3024069280','wendy.lesmes@habitatbogota.gov.co','CONTRATISTA');</v>
      </c>
    </row>
    <row r="426" spans="1:9" ht="14.4" x14ac:dyDescent="0.3">
      <c r="A426" s="16">
        <f t="shared" si="12"/>
        <v>419</v>
      </c>
      <c r="B426" s="6">
        <v>79945548</v>
      </c>
      <c r="C426" s="17" t="s">
        <v>1397</v>
      </c>
      <c r="D426" s="17" t="s">
        <v>1395</v>
      </c>
      <c r="E426" s="17"/>
      <c r="F426" s="6">
        <v>3005504707</v>
      </c>
      <c r="G426" s="8" t="s">
        <v>1399</v>
      </c>
      <c r="H426" s="24" t="s">
        <v>2209</v>
      </c>
      <c r="I426" s="37" t="str">
        <f t="shared" si="13"/>
        <v>INSERT INTO `parqueadero`.`conductor` (`Oid`, `IdConductor`, `Nombre`, `Area`, `Piso`, `Celular`, `correo`, `Vinculacion`) VALUES ('419','79945548','WILLIAM AVILA','Dirección de Servicios Públicos','','3005504707','william.avila@gmail.com','CONTRATISTA');</v>
      </c>
    </row>
    <row r="427" spans="1:9" ht="14.4" x14ac:dyDescent="0.3">
      <c r="A427" s="16">
        <f t="shared" si="12"/>
        <v>420</v>
      </c>
      <c r="B427" s="6">
        <v>1022332783</v>
      </c>
      <c r="C427" s="17" t="s">
        <v>497</v>
      </c>
      <c r="D427" s="6" t="s">
        <v>500</v>
      </c>
      <c r="E427" s="6"/>
      <c r="F427" s="6">
        <v>3174017065</v>
      </c>
      <c r="G427" s="8" t="s">
        <v>499</v>
      </c>
      <c r="H427" s="24" t="s">
        <v>2209</v>
      </c>
      <c r="I427" s="37" t="str">
        <f t="shared" si="13"/>
        <v>INSERT INTO `parqueadero`.`conductor` (`Oid`, `IdConductor`, `Nombre`, `Area`, `Piso`, `Celular`, `correo`, `Vinculacion`) VALUES ('420','1022332783','WILLIAM DAVID PERALTA TORRES','Dirección de Financiación de Vivienda','','3174017065','william.peralta@habitatbogota.gov.co','CONTRATISTA');</v>
      </c>
    </row>
    <row r="428" spans="1:9" ht="14.4" x14ac:dyDescent="0.3">
      <c r="A428" s="16">
        <f t="shared" si="12"/>
        <v>421</v>
      </c>
      <c r="B428" s="6">
        <v>79926309</v>
      </c>
      <c r="C428" s="17" t="s">
        <v>1545</v>
      </c>
      <c r="D428" s="6" t="s">
        <v>500</v>
      </c>
      <c r="E428" s="6"/>
      <c r="F428" s="6">
        <v>3202725249</v>
      </c>
      <c r="G428" s="8" t="s">
        <v>1547</v>
      </c>
      <c r="H428" s="24" t="s">
        <v>2209</v>
      </c>
      <c r="I428" s="37" t="str">
        <f t="shared" si="13"/>
        <v>INSERT INTO `parqueadero`.`conductor` (`Oid`, `IdConductor`, `Nombre`, `Area`, `Piso`, `Celular`, `correo`, `Vinculacion`) VALUES ('421','79926309','WILLIAM HERNANDO ROMERO CASTRO','Dirección de Financiación de Vivienda','','3202725249','william.romero@habitatbogota.gov.co','CONTRATISTA');</v>
      </c>
    </row>
    <row r="429" spans="1:9" ht="14.4" x14ac:dyDescent="0.3">
      <c r="A429" s="16">
        <f t="shared" si="12"/>
        <v>422</v>
      </c>
      <c r="B429" s="6">
        <v>79908099</v>
      </c>
      <c r="C429" s="17" t="s">
        <v>756</v>
      </c>
      <c r="D429" s="6" t="s">
        <v>325</v>
      </c>
      <c r="E429" s="6"/>
      <c r="F429" s="6">
        <v>3012386108</v>
      </c>
      <c r="G429" s="8" t="s">
        <v>758</v>
      </c>
      <c r="H429" s="24" t="s">
        <v>2209</v>
      </c>
      <c r="I429" s="37" t="str">
        <f t="shared" si="13"/>
        <v>INSERT INTO `parqueadero`.`conductor` (`Oid`, `IdConductor`, `Nombre`, `Area`, `Piso`, `Celular`, `correo`, `Vinculacion`) VALUES ('422','79908099','WILSON ALFONSO RAMIREZ MORALES','Dirección de Operaciones','','3012386108','wilson.ramirez@habitatbogota.gov.co','CONTRATISTA');</v>
      </c>
    </row>
    <row r="430" spans="1:9" ht="14.4" x14ac:dyDescent="0.3">
      <c r="A430" s="16">
        <f t="shared" si="12"/>
        <v>423</v>
      </c>
      <c r="B430" s="6">
        <v>79244560</v>
      </c>
      <c r="C430" s="17" t="s">
        <v>2280</v>
      </c>
      <c r="D430" s="6" t="s">
        <v>270</v>
      </c>
      <c r="E430" s="6"/>
      <c r="F430" s="6">
        <v>3205349671</v>
      </c>
      <c r="G430" s="8" t="s">
        <v>1515</v>
      </c>
      <c r="H430" s="24" t="s">
        <v>2209</v>
      </c>
      <c r="I430" s="37" t="str">
        <f t="shared" si="13"/>
        <v>INSERT INTO `parqueadero`.`conductor` (`Oid`, `IdConductor`, `Nombre`, `Area`, `Piso`, `Celular`, `correo`, `Vinculacion`) VALUES ('423','79244560','WILSON ENRIQUE TOVAR SARMIENTO','Dirección de Investigaciones y Control de Vivienda','','3205349671','wilson.tovar@habitatbogota.gov.co','CONTRATISTA');</v>
      </c>
    </row>
    <row r="431" spans="1:9" ht="14.4" x14ac:dyDescent="0.3">
      <c r="A431" s="16">
        <f t="shared" si="12"/>
        <v>424</v>
      </c>
      <c r="B431" s="6">
        <v>79698622</v>
      </c>
      <c r="C431" s="17" t="s">
        <v>2074</v>
      </c>
      <c r="D431" s="6" t="s">
        <v>742</v>
      </c>
      <c r="E431" s="6"/>
      <c r="F431" s="6">
        <v>3168952676</v>
      </c>
      <c r="G431" s="8" t="s">
        <v>1268</v>
      </c>
      <c r="H431" s="24" t="s">
        <v>1280</v>
      </c>
      <c r="I431" s="37" t="str">
        <f t="shared" si="13"/>
        <v>INSERT INTO `parqueadero`.`conductor` (`Oid`, `IdConductor`, `Nombre`, `Area`, `Piso`, `Celular`, `correo`, `Vinculacion`) VALUES ('424','79698622','WILSON SALAZAR PINZÓN','Gestión Documental','','3168952676','correspondenciasdht@habitatbogota.gov.co','EXTERNO');</v>
      </c>
    </row>
    <row r="432" spans="1:9" ht="14.4" x14ac:dyDescent="0.3">
      <c r="A432" s="16">
        <f t="shared" si="12"/>
        <v>425</v>
      </c>
      <c r="B432" s="17">
        <v>80897139</v>
      </c>
      <c r="C432" s="17" t="s">
        <v>2281</v>
      </c>
      <c r="D432" s="6" t="s">
        <v>1338</v>
      </c>
      <c r="E432" s="6"/>
      <c r="F432" s="17">
        <v>3213046961</v>
      </c>
      <c r="G432" s="8" t="s">
        <v>1178</v>
      </c>
      <c r="H432" s="24" t="s">
        <v>2209</v>
      </c>
      <c r="I432" s="37" t="str">
        <f t="shared" si="13"/>
        <v>INSERT INTO `parqueadero`.`conductor` (`Oid`, `IdConductor`, `Nombre`, `Area`, `Piso`, `Celular`, `correo`, `Vinculacion`) VALUES ('425','80897139','WILVER VELASQUEZ RIVERA','Oficina de Participación y Relacionamiento con la Ciudadanía','','3213046961','wsvelasquez9@gmail.com','CONTRATISTA');</v>
      </c>
    </row>
    <row r="433" spans="1:9" ht="14.4" x14ac:dyDescent="0.3">
      <c r="A433" s="16">
        <f t="shared" si="12"/>
        <v>426</v>
      </c>
      <c r="B433" s="6">
        <v>1015402271</v>
      </c>
      <c r="C433" s="17" t="s">
        <v>1350</v>
      </c>
      <c r="D433" s="6" t="s">
        <v>1353</v>
      </c>
      <c r="E433" s="6"/>
      <c r="F433" s="6">
        <v>3138846265</v>
      </c>
      <c r="G433" s="8" t="s">
        <v>1352</v>
      </c>
      <c r="H433" s="24" t="s">
        <v>2209</v>
      </c>
      <c r="I433" s="37" t="str">
        <f t="shared" si="13"/>
        <v>INSERT INTO `parqueadero`.`conductor` (`Oid`, `IdConductor`, `Nombre`, `Area`, `Piso`, `Celular`, `correo`, `Vinculacion`) VALUES ('426','1015402271','XIMENA ANDREA GARZÓN BAHAMÓN','Oficina Asesora de Comunicaciones','','3138846265','ximena.garzon@habitatbogota.gov.co','CONTRATISTA');</v>
      </c>
    </row>
    <row r="434" spans="1:9" ht="14.4" x14ac:dyDescent="0.3">
      <c r="A434" s="16">
        <f t="shared" si="12"/>
        <v>427</v>
      </c>
      <c r="B434" s="24">
        <v>1014260067</v>
      </c>
      <c r="C434" s="24" t="s">
        <v>1894</v>
      </c>
      <c r="D434" s="17" t="s">
        <v>1041</v>
      </c>
      <c r="E434" s="17"/>
      <c r="F434" s="24">
        <v>3057090104</v>
      </c>
      <c r="G434" s="8" t="s">
        <v>1896</v>
      </c>
      <c r="H434" s="24" t="s">
        <v>2209</v>
      </c>
      <c r="I434" s="37" t="str">
        <f t="shared" si="13"/>
        <v>INSERT INTO `parqueadero`.`conductor` (`Oid`, `IdConductor`, `Nombre`, `Area`, `Piso`, `Celular`, `correo`, `Vinculacion`) VALUES ('427','1014260067','XIMENA BIBIANA QUIMBAYO GODOY','Dirección de Hábitat y Entorno','','3057090104','ximena.quimbayo@habitatbogota.gov.co','CONTRATISTA');</v>
      </c>
    </row>
    <row r="435" spans="1:9" ht="14.4" x14ac:dyDescent="0.3">
      <c r="A435" s="16">
        <f t="shared" si="12"/>
        <v>428</v>
      </c>
      <c r="B435" s="6">
        <v>46672265</v>
      </c>
      <c r="C435" s="17" t="s">
        <v>1438</v>
      </c>
      <c r="D435" s="6" t="s">
        <v>500</v>
      </c>
      <c r="E435" s="6"/>
      <c r="F435" s="6">
        <v>3138894458</v>
      </c>
      <c r="G435" s="8" t="s">
        <v>1440</v>
      </c>
      <c r="H435" s="24" t="s">
        <v>2209</v>
      </c>
      <c r="I435" s="37" t="str">
        <f t="shared" si="13"/>
        <v>INSERT INTO `parqueadero`.`conductor` (`Oid`, `IdConductor`, `Nombre`, `Area`, `Piso`, `Celular`, `correo`, `Vinculacion`) VALUES ('428','46672265','YADY ALEXANDRA GUEVARA BRICEÑO','Dirección de Financiación de Vivienda','','3138894458','yady.guevara@habitatbogota.gov.co','CONTRATISTA');</v>
      </c>
    </row>
    <row r="436" spans="1:9" ht="14.4" x14ac:dyDescent="0.3">
      <c r="A436" s="16">
        <f t="shared" si="12"/>
        <v>429</v>
      </c>
      <c r="B436" s="6">
        <v>24731198</v>
      </c>
      <c r="C436" s="17" t="s">
        <v>2282</v>
      </c>
      <c r="D436" s="6" t="s">
        <v>500</v>
      </c>
      <c r="E436" s="6"/>
      <c r="F436" s="6">
        <v>3102982496</v>
      </c>
      <c r="G436" s="8" t="s">
        <v>1063</v>
      </c>
      <c r="H436" s="24" t="s">
        <v>2209</v>
      </c>
      <c r="I436" s="37" t="str">
        <f t="shared" si="13"/>
        <v>INSERT INTO `parqueadero`.`conductor` (`Oid`, `IdConductor`, `Nombre`, `Area`, `Piso`, `Celular`, `correo`, `Vinculacion`) VALUES ('429','24731198','YANERY OSORIO CORTES','Dirección de Financiación de Vivienda','','3102982496','yanery.osorio@habitatbogota.gov.co','CONTRATISTA');</v>
      </c>
    </row>
    <row r="437" spans="1:9" ht="14.4" x14ac:dyDescent="0.3">
      <c r="A437" s="16">
        <f t="shared" si="12"/>
        <v>430</v>
      </c>
      <c r="B437" s="13">
        <v>52961559</v>
      </c>
      <c r="C437" s="24" t="s">
        <v>1898</v>
      </c>
      <c r="D437" s="6" t="s">
        <v>1825</v>
      </c>
      <c r="E437" s="6"/>
      <c r="F437" s="13">
        <v>3184016976</v>
      </c>
      <c r="G437" s="8" t="s">
        <v>1900</v>
      </c>
      <c r="H437" s="24" t="s">
        <v>2209</v>
      </c>
      <c r="I437" s="37" t="str">
        <f t="shared" si="13"/>
        <v>INSERT INTO `parqueadero`.`conductor` (`Oid`, `IdConductor`, `Nombre`, `Area`, `Piso`, `Celular`, `correo`, `Vinculacion`) VALUES ('430','52961559','YEIMY PAOLA LADINO PARDO','Oficina de Control Interno','','3184016976','yeimy.ladino@habitatbogota.gov.co','CONTRATISTA');</v>
      </c>
    </row>
    <row r="438" spans="1:9" ht="14.4" x14ac:dyDescent="0.3">
      <c r="A438" s="16">
        <f t="shared" si="12"/>
        <v>431</v>
      </c>
      <c r="B438" s="17">
        <v>1012330327</v>
      </c>
      <c r="C438" s="17" t="s">
        <v>714</v>
      </c>
      <c r="D438" s="6" t="s">
        <v>500</v>
      </c>
      <c r="E438" s="6"/>
      <c r="F438" s="17">
        <v>3223664247</v>
      </c>
      <c r="G438" s="8" t="s">
        <v>716</v>
      </c>
      <c r="H438" s="24" t="s">
        <v>2209</v>
      </c>
      <c r="I438" s="37" t="str">
        <f t="shared" si="13"/>
        <v>INSERT INTO `parqueadero`.`conductor` (`Oid`, `IdConductor`, `Nombre`, `Area`, `Piso`, `Celular`, `correo`, `Vinculacion`) VALUES ('431','1012330327','YEISSON FERNANDO ORTIZ SABOGAL','Dirección de Financiación de Vivienda','','3223664247','yeisson.ortiz@habitatbogota.gov.co','CONTRATISTA');</v>
      </c>
    </row>
    <row r="439" spans="1:9" ht="14.4" x14ac:dyDescent="0.3">
      <c r="A439" s="16">
        <f t="shared" si="12"/>
        <v>432</v>
      </c>
      <c r="B439" s="6">
        <v>1020722791</v>
      </c>
      <c r="C439" s="17" t="s">
        <v>768</v>
      </c>
      <c r="D439" s="6" t="s">
        <v>434</v>
      </c>
      <c r="E439" s="6" t="s">
        <v>2198</v>
      </c>
      <c r="F439" s="6">
        <v>3194507035</v>
      </c>
      <c r="G439" s="8" t="s">
        <v>770</v>
      </c>
      <c r="H439" s="24" t="s">
        <v>2209</v>
      </c>
      <c r="I439" s="37" t="str">
        <f t="shared" si="13"/>
        <v>INSERT INTO `parqueadero`.`conductor` (`Oid`, `IdConductor`, `Nombre`, `Area`, `Piso`, `Celular`, `correo`, `Vinculacion`) VALUES ('432','1020722791','YÉSSSICA MARÍA BELTRÁN TORO','Dirección Administrativa','Piso 12','3194507035','yessica.beltran@habitatbogota.gov.co','CONTRATISTA');</v>
      </c>
    </row>
    <row r="440" spans="1:9" ht="14.4" x14ac:dyDescent="0.3">
      <c r="A440" s="16">
        <f t="shared" si="12"/>
        <v>433</v>
      </c>
      <c r="B440" s="6">
        <v>1072072690</v>
      </c>
      <c r="C440" s="17" t="s">
        <v>2283</v>
      </c>
      <c r="D440" s="6" t="s">
        <v>2150</v>
      </c>
      <c r="E440" s="6"/>
      <c r="F440" s="6">
        <v>3112795171</v>
      </c>
      <c r="G440" s="8" t="s">
        <v>1010</v>
      </c>
      <c r="H440" s="24" t="s">
        <v>2209</v>
      </c>
      <c r="I440" s="37" t="str">
        <f t="shared" si="13"/>
        <v>INSERT INTO `parqueadero`.`conductor` (`Oid`, `IdConductor`, `Nombre`, `Area`, `Piso`, `Celular`, `correo`, `Vinculacion`) VALUES ('433','1072072690','YINNA ALEJANDRA CALDERÓN RODRÍGUEZ','Dirección de Prevención Arrendamiento y Control de Enajenación','','3112795171','yinna.calderon@habitatbogota.gov.co','CONTRATISTA');</v>
      </c>
    </row>
    <row r="441" spans="1:9" ht="14.4" x14ac:dyDescent="0.3">
      <c r="A441" s="16">
        <f t="shared" si="12"/>
        <v>434</v>
      </c>
      <c r="B441" s="6">
        <v>1023010822</v>
      </c>
      <c r="C441" s="17" t="s">
        <v>1655</v>
      </c>
      <c r="D441" s="6" t="s">
        <v>500</v>
      </c>
      <c r="E441" s="6"/>
      <c r="F441" s="6">
        <v>3195746054</v>
      </c>
      <c r="G441" s="8" t="s">
        <v>1657</v>
      </c>
      <c r="H441" s="24" t="s">
        <v>2209</v>
      </c>
      <c r="I441" s="37" t="str">
        <f t="shared" si="13"/>
        <v>INSERT INTO `parqueadero`.`conductor` (`Oid`, `IdConductor`, `Nombre`, `Area`, `Piso`, `Celular`, `correo`, `Vinculacion`) VALUES ('434','1023010822','YUDY NATHALIA SÁNCHEZ SALAMANCA','Dirección de Financiación de Vivienda','','3195746054','yudy.sanchez@habitatbogota.gov.co','CONTRATISTA');</v>
      </c>
    </row>
    <row r="442" spans="1:9" ht="14.4" x14ac:dyDescent="0.3">
      <c r="A442" s="16">
        <f t="shared" si="12"/>
        <v>435</v>
      </c>
      <c r="B442" s="13">
        <v>1032396574</v>
      </c>
      <c r="C442" s="24" t="s">
        <v>1840</v>
      </c>
      <c r="D442" s="6" t="s">
        <v>2149</v>
      </c>
      <c r="E442" s="6"/>
      <c r="F442" s="13">
        <v>3138742147</v>
      </c>
      <c r="G442" s="8" t="s">
        <v>1842</v>
      </c>
      <c r="H442" s="24" t="s">
        <v>2209</v>
      </c>
      <c r="I442" s="37" t="str">
        <f t="shared" si="13"/>
        <v>INSERT INTO `parqueadero`.`conductor` (`Oid`, `IdConductor`, `Nombre`, `Area`, `Piso`, `Celular`, `correo`, `Vinculacion`) VALUES ('435','1032396574','YULLI CATHERÍN CÁRDENAS MALAVER','Subsecretaría de Inspección Vigilancia y Control de Vivienda','','3138742147','yulli.cardenas@habitatbogota.gov.co','CONTRATISTA');</v>
      </c>
    </row>
    <row r="443" spans="1:9" ht="14.4" x14ac:dyDescent="0.3">
      <c r="A443" s="16">
        <f t="shared" si="12"/>
        <v>436</v>
      </c>
      <c r="B443" s="6">
        <v>52725553</v>
      </c>
      <c r="C443" s="17" t="s">
        <v>322</v>
      </c>
      <c r="D443" s="6" t="s">
        <v>325</v>
      </c>
      <c r="E443" s="6"/>
      <c r="F443" s="6">
        <v>3004771471</v>
      </c>
      <c r="G443" s="8" t="s">
        <v>324</v>
      </c>
      <c r="H443" s="24" t="s">
        <v>2209</v>
      </c>
      <c r="I443" s="37" t="str">
        <f t="shared" si="13"/>
        <v>INSERT INTO `parqueadero`.`conductor` (`Oid`, `IdConductor`, `Nombre`, `Area`, `Piso`, `Celular`, `correo`, `Vinculacion`) VALUES ('436','52725553','YUMMAY LONDOÑO SANCHEZ','Dirección de Operaciones','','3004771471','yummay.londono@habitatbogota.gov.co','CONTRATISTA');</v>
      </c>
    </row>
    <row r="444" spans="1:9" ht="14.4" x14ac:dyDescent="0.3">
      <c r="A444" s="16">
        <f t="shared" si="12"/>
        <v>437</v>
      </c>
      <c r="B444" s="13">
        <v>52916128</v>
      </c>
      <c r="C444" s="24" t="s">
        <v>1861</v>
      </c>
      <c r="D444" s="6" t="s">
        <v>742</v>
      </c>
      <c r="E444" s="6"/>
      <c r="F444" s="13">
        <v>3213134770</v>
      </c>
      <c r="G444" s="8" t="s">
        <v>1862</v>
      </c>
      <c r="H444" s="24" t="s">
        <v>1280</v>
      </c>
      <c r="I444" s="37" t="str">
        <f t="shared" si="13"/>
        <v>INSERT INTO `parqueadero`.`conductor` (`Oid`, `IdConductor`, `Nombre`, `Area`, `Piso`, `Celular`, `correo`, `Vinculacion`) VALUES ('437','52916128','YURI ANDREA RODRÍGUEZ HERNÁNDEZ','Gestión Documental','','3213134770','fotocopias.habitat@habitatbogota.gov.co','EXTERNO');</v>
      </c>
    </row>
    <row r="445" spans="1:9" ht="14.4" x14ac:dyDescent="0.3">
      <c r="A445" s="16">
        <f t="shared" si="12"/>
        <v>438</v>
      </c>
      <c r="B445" s="6">
        <v>30393634</v>
      </c>
      <c r="C445" s="17" t="s">
        <v>556</v>
      </c>
      <c r="D445" s="6" t="s">
        <v>2149</v>
      </c>
      <c r="E445" s="6"/>
      <c r="F445" s="6">
        <v>3176685571</v>
      </c>
      <c r="G445" s="8" t="s">
        <v>558</v>
      </c>
      <c r="H445" s="24" t="s">
        <v>2209</v>
      </c>
      <c r="I445" s="37" t="str">
        <f t="shared" si="13"/>
        <v>INSERT INTO `parqueadero`.`conductor` (`Oid`, `IdConductor`, `Nombre`, `Area`, `Piso`, `Celular`, `correo`, `Vinculacion`) VALUES ('438','30393634','ZAHIMIS MORENO VERGARA','Subsecretaría de Inspección Vigilancia y Control de Vivienda','','3176685571','zahimis.moreno@habitatbogota.gov.co','CONTRATISTA');</v>
      </c>
    </row>
    <row r="446" spans="1:9" ht="14.4" x14ac:dyDescent="0.3">
      <c r="A446"/>
      <c r="B446"/>
      <c r="C446"/>
      <c r="D446"/>
      <c r="E446"/>
      <c r="F446"/>
      <c r="G446"/>
      <c r="H446"/>
    </row>
    <row r="447" spans="1:9" ht="14.4" x14ac:dyDescent="0.3">
      <c r="A447"/>
      <c r="B447"/>
      <c r="C447"/>
      <c r="D447"/>
      <c r="E447"/>
      <c r="F447"/>
      <c r="G447"/>
      <c r="H447"/>
    </row>
    <row r="448" spans="1:9" ht="14.4" x14ac:dyDescent="0.3">
      <c r="A448"/>
      <c r="B448"/>
      <c r="C448"/>
      <c r="D448"/>
      <c r="E448"/>
      <c r="F448"/>
      <c r="G448"/>
      <c r="H448"/>
    </row>
    <row r="449" spans="1:8" ht="14.4" x14ac:dyDescent="0.3">
      <c r="A449"/>
      <c r="B449"/>
      <c r="C449"/>
      <c r="D449"/>
      <c r="E449"/>
      <c r="F449"/>
      <c r="G449"/>
      <c r="H449"/>
    </row>
    <row r="450" spans="1:8" ht="14.4" x14ac:dyDescent="0.3">
      <c r="A450"/>
      <c r="B450"/>
      <c r="C450"/>
      <c r="D450"/>
      <c r="E450"/>
      <c r="F450"/>
      <c r="G450"/>
      <c r="H450"/>
    </row>
    <row r="451" spans="1:8" ht="14.4" x14ac:dyDescent="0.3">
      <c r="A451"/>
      <c r="B451"/>
      <c r="C451"/>
      <c r="D451"/>
      <c r="E451"/>
      <c r="F451"/>
      <c r="G451"/>
      <c r="H451"/>
    </row>
    <row r="452" spans="1:8" ht="14.4" x14ac:dyDescent="0.3">
      <c r="A452"/>
      <c r="B452"/>
      <c r="C452"/>
      <c r="D452"/>
      <c r="E452"/>
      <c r="F452"/>
      <c r="G452"/>
      <c r="H452"/>
    </row>
    <row r="453" spans="1:8" ht="14.4" x14ac:dyDescent="0.3">
      <c r="A453"/>
      <c r="B453"/>
      <c r="C453"/>
      <c r="D453"/>
      <c r="E453"/>
      <c r="F453"/>
      <c r="G453"/>
      <c r="H453"/>
    </row>
    <row r="454" spans="1:8" ht="14.4" x14ac:dyDescent="0.3">
      <c r="A454"/>
      <c r="B454"/>
      <c r="C454"/>
      <c r="D454"/>
      <c r="E454"/>
      <c r="F454"/>
      <c r="G454"/>
      <c r="H454"/>
    </row>
    <row r="455" spans="1:8" ht="14.4" x14ac:dyDescent="0.3">
      <c r="A455"/>
      <c r="B455"/>
      <c r="C455"/>
      <c r="D455"/>
      <c r="E455"/>
      <c r="F455"/>
      <c r="G455"/>
      <c r="H455"/>
    </row>
    <row r="456" spans="1:8" ht="14.4" x14ac:dyDescent="0.3">
      <c r="A456"/>
      <c r="B456"/>
      <c r="C456"/>
      <c r="D456"/>
      <c r="E456"/>
      <c r="F456"/>
      <c r="G456"/>
      <c r="H456"/>
    </row>
    <row r="457" spans="1:8" ht="14.4" x14ac:dyDescent="0.3">
      <c r="A457"/>
      <c r="B457"/>
      <c r="C457"/>
      <c r="D457"/>
      <c r="E457"/>
      <c r="F457"/>
      <c r="G457"/>
      <c r="H457"/>
    </row>
    <row r="458" spans="1:8" ht="14.4" x14ac:dyDescent="0.3">
      <c r="A458"/>
      <c r="B458"/>
      <c r="C458"/>
      <c r="D458"/>
      <c r="E458"/>
      <c r="F458"/>
      <c r="G458"/>
      <c r="H458"/>
    </row>
    <row r="459" spans="1:8" ht="14.4" x14ac:dyDescent="0.3">
      <c r="A459"/>
      <c r="B459"/>
      <c r="C459"/>
      <c r="D459"/>
      <c r="E459"/>
      <c r="F459"/>
      <c r="G459"/>
      <c r="H459"/>
    </row>
    <row r="460" spans="1:8" ht="14.4" x14ac:dyDescent="0.3">
      <c r="A460"/>
      <c r="B460"/>
      <c r="C460"/>
      <c r="D460"/>
      <c r="E460"/>
      <c r="F460"/>
      <c r="G460"/>
      <c r="H460"/>
    </row>
    <row r="461" spans="1:8" ht="14.4" x14ac:dyDescent="0.3">
      <c r="A461"/>
      <c r="B461"/>
      <c r="C461"/>
      <c r="D461"/>
      <c r="E461"/>
      <c r="F461"/>
      <c r="G461"/>
      <c r="H461"/>
    </row>
    <row r="462" spans="1:8" ht="14.4" x14ac:dyDescent="0.3">
      <c r="A462"/>
      <c r="B462"/>
      <c r="C462"/>
      <c r="D462"/>
      <c r="E462"/>
      <c r="F462"/>
      <c r="G462"/>
      <c r="H462"/>
    </row>
    <row r="463" spans="1:8" ht="14.4" x14ac:dyDescent="0.3">
      <c r="A463"/>
      <c r="B463"/>
      <c r="C463"/>
      <c r="D463"/>
      <c r="E463"/>
      <c r="F463"/>
      <c r="G463"/>
      <c r="H463"/>
    </row>
    <row r="464" spans="1:8" ht="14.4" x14ac:dyDescent="0.3">
      <c r="A464"/>
      <c r="B464"/>
      <c r="C464"/>
      <c r="D464"/>
      <c r="E464"/>
      <c r="F464"/>
      <c r="G464"/>
      <c r="H464"/>
    </row>
    <row r="465" spans="1:8" ht="14.4" x14ac:dyDescent="0.3">
      <c r="A465"/>
      <c r="B465"/>
      <c r="C465"/>
      <c r="D465"/>
      <c r="E465"/>
      <c r="F465"/>
      <c r="G465"/>
      <c r="H465"/>
    </row>
    <row r="466" spans="1:8" ht="14.4" x14ac:dyDescent="0.3">
      <c r="A466"/>
      <c r="B466"/>
      <c r="C466"/>
      <c r="D466"/>
      <c r="E466"/>
      <c r="F466"/>
      <c r="G466"/>
      <c r="H466"/>
    </row>
    <row r="467" spans="1:8" ht="14.4" x14ac:dyDescent="0.3">
      <c r="A467"/>
      <c r="B467"/>
      <c r="C467"/>
      <c r="D467"/>
      <c r="E467"/>
      <c r="F467"/>
      <c r="G467"/>
      <c r="H467"/>
    </row>
    <row r="468" spans="1:8" ht="14.4" x14ac:dyDescent="0.3">
      <c r="A468"/>
      <c r="B468"/>
      <c r="C468"/>
      <c r="D468"/>
      <c r="E468"/>
      <c r="F468"/>
      <c r="G468"/>
      <c r="H468"/>
    </row>
    <row r="469" spans="1:8" ht="14.4" x14ac:dyDescent="0.3">
      <c r="A469"/>
      <c r="B469"/>
      <c r="C469"/>
      <c r="D469"/>
      <c r="E469"/>
      <c r="F469"/>
      <c r="G469"/>
      <c r="H469"/>
    </row>
    <row r="470" spans="1:8" ht="14.4" x14ac:dyDescent="0.3">
      <c r="A470"/>
      <c r="B470"/>
      <c r="C470"/>
      <c r="D470"/>
      <c r="E470"/>
      <c r="F470"/>
      <c r="G470"/>
      <c r="H470"/>
    </row>
    <row r="471" spans="1:8" ht="14.4" x14ac:dyDescent="0.3">
      <c r="A471"/>
      <c r="B471"/>
      <c r="C471"/>
      <c r="D471"/>
      <c r="E471"/>
      <c r="F471"/>
      <c r="G471"/>
      <c r="H471"/>
    </row>
    <row r="472" spans="1:8" ht="14.4" x14ac:dyDescent="0.3">
      <c r="A472"/>
      <c r="B472"/>
      <c r="C472"/>
      <c r="D472"/>
      <c r="E472"/>
      <c r="F472"/>
      <c r="G472"/>
      <c r="H472"/>
    </row>
    <row r="473" spans="1:8" ht="14.4" x14ac:dyDescent="0.3">
      <c r="A473"/>
      <c r="B473"/>
      <c r="C473"/>
      <c r="D473"/>
      <c r="E473"/>
      <c r="F473"/>
      <c r="G473"/>
      <c r="H473"/>
    </row>
    <row r="474" spans="1:8" ht="14.4" x14ac:dyDescent="0.3">
      <c r="A474"/>
      <c r="B474"/>
      <c r="C474"/>
      <c r="D474"/>
      <c r="E474"/>
      <c r="F474"/>
      <c r="G474"/>
      <c r="H474"/>
    </row>
    <row r="475" spans="1:8" ht="14.4" x14ac:dyDescent="0.3">
      <c r="A475"/>
      <c r="B475"/>
      <c r="C475"/>
      <c r="D475"/>
      <c r="E475"/>
      <c r="F475"/>
      <c r="G475"/>
      <c r="H475"/>
    </row>
    <row r="476" spans="1:8" ht="14.4" x14ac:dyDescent="0.3">
      <c r="A476"/>
      <c r="B476"/>
      <c r="C476"/>
      <c r="D476"/>
      <c r="E476"/>
      <c r="F476"/>
      <c r="G476"/>
      <c r="H476"/>
    </row>
    <row r="477" spans="1:8" ht="14.4" x14ac:dyDescent="0.3">
      <c r="A477"/>
      <c r="B477"/>
      <c r="C477"/>
      <c r="D477"/>
      <c r="E477"/>
      <c r="F477"/>
      <c r="G477"/>
      <c r="H477"/>
    </row>
    <row r="478" spans="1:8" ht="14.4" x14ac:dyDescent="0.3">
      <c r="A478"/>
      <c r="B478"/>
      <c r="C478"/>
      <c r="D478"/>
      <c r="E478"/>
      <c r="F478"/>
      <c r="G478"/>
      <c r="H478"/>
    </row>
    <row r="479" spans="1:8" ht="14.4" x14ac:dyDescent="0.3">
      <c r="A479"/>
      <c r="B479"/>
      <c r="C479"/>
      <c r="D479"/>
      <c r="E479"/>
      <c r="F479"/>
      <c r="G479"/>
      <c r="H479"/>
    </row>
    <row r="480" spans="1:8" ht="14.4" x14ac:dyDescent="0.3">
      <c r="A480"/>
      <c r="B480"/>
      <c r="C480"/>
      <c r="D480"/>
      <c r="E480"/>
      <c r="F480"/>
      <c r="G480"/>
      <c r="H480"/>
    </row>
    <row r="481" spans="1:8" ht="14.4" x14ac:dyDescent="0.3">
      <c r="A481"/>
      <c r="B481"/>
      <c r="C481"/>
      <c r="D481"/>
      <c r="E481"/>
      <c r="F481"/>
      <c r="G481"/>
      <c r="H481"/>
    </row>
    <row r="482" spans="1:8" ht="14.4" x14ac:dyDescent="0.3">
      <c r="A482"/>
      <c r="B482"/>
      <c r="C482"/>
      <c r="D482"/>
      <c r="E482"/>
      <c r="F482"/>
      <c r="G482"/>
      <c r="H482"/>
    </row>
    <row r="483" spans="1:8" ht="14.4" x14ac:dyDescent="0.3">
      <c r="A483"/>
      <c r="B483"/>
      <c r="C483"/>
      <c r="D483"/>
      <c r="E483"/>
      <c r="F483"/>
      <c r="G483"/>
      <c r="H483"/>
    </row>
    <row r="484" spans="1:8" ht="14.4" x14ac:dyDescent="0.3">
      <c r="A484"/>
      <c r="B484"/>
      <c r="C484"/>
      <c r="D484"/>
      <c r="E484"/>
      <c r="F484"/>
      <c r="G484"/>
      <c r="H484"/>
    </row>
    <row r="485" spans="1:8" ht="14.4" x14ac:dyDescent="0.3">
      <c r="A485"/>
      <c r="B485"/>
      <c r="C485"/>
      <c r="D485"/>
      <c r="E485"/>
      <c r="F485"/>
      <c r="G485"/>
      <c r="H485"/>
    </row>
    <row r="486" spans="1:8" ht="14.4" x14ac:dyDescent="0.3">
      <c r="A486"/>
      <c r="B486"/>
      <c r="C486"/>
      <c r="D486"/>
      <c r="E486"/>
      <c r="F486"/>
      <c r="G486"/>
      <c r="H486"/>
    </row>
    <row r="487" spans="1:8" ht="14.4" x14ac:dyDescent="0.3">
      <c r="A487"/>
      <c r="B487"/>
      <c r="C487"/>
      <c r="D487"/>
      <c r="E487"/>
      <c r="F487"/>
      <c r="G487"/>
      <c r="H487"/>
    </row>
    <row r="488" spans="1:8" ht="14.4" x14ac:dyDescent="0.3">
      <c r="A488"/>
      <c r="B488"/>
      <c r="C488"/>
      <c r="D488"/>
      <c r="E488"/>
      <c r="F488"/>
      <c r="G488"/>
      <c r="H488"/>
    </row>
    <row r="489" spans="1:8" ht="14.4" x14ac:dyDescent="0.3">
      <c r="A489"/>
      <c r="B489"/>
      <c r="C489"/>
      <c r="D489"/>
      <c r="E489"/>
      <c r="F489"/>
      <c r="G489"/>
      <c r="H489"/>
    </row>
  </sheetData>
  <autoFilter ref="A7:I445"/>
  <mergeCells count="1">
    <mergeCell ref="A3:G4"/>
  </mergeCells>
  <conditionalFormatting sqref="B8:B445">
    <cfRule type="duplicateValues" dxfId="4" priority="29"/>
  </conditionalFormatting>
  <conditionalFormatting sqref="B1:B1048576">
    <cfRule type="duplicateValues" dxfId="3" priority="2"/>
    <cfRule type="duplicateValues" dxfId="2" priority="1"/>
  </conditionalFormatting>
  <hyperlinks>
    <hyperlink ref="G320" r:id="rId1"/>
    <hyperlink ref="G26" r:id="rId2"/>
    <hyperlink ref="G244" r:id="rId3"/>
    <hyperlink ref="G147" r:id="rId4"/>
    <hyperlink ref="G162" r:id="rId5"/>
    <hyperlink ref="G347" r:id="rId6"/>
    <hyperlink ref="G188" r:id="rId7"/>
    <hyperlink ref="G378" r:id="rId8"/>
    <hyperlink ref="G315" r:id="rId9"/>
    <hyperlink ref="G61" r:id="rId10"/>
    <hyperlink ref="G314" r:id="rId11"/>
    <hyperlink ref="G421" r:id="rId12"/>
    <hyperlink ref="G206" r:id="rId13"/>
    <hyperlink ref="G220" r:id="rId14"/>
    <hyperlink ref="G124" r:id="rId15"/>
    <hyperlink ref="G202" r:id="rId16"/>
    <hyperlink ref="G260" r:id="rId17"/>
    <hyperlink ref="G437" r:id="rId18"/>
    <hyperlink ref="G434" r:id="rId19"/>
    <hyperlink ref="G336" r:id="rId20"/>
    <hyperlink ref="G415" r:id="rId21"/>
    <hyperlink ref="G159" r:id="rId22"/>
    <hyperlink ref="G50" r:id="rId23"/>
    <hyperlink ref="G129" r:id="rId24"/>
    <hyperlink ref="G444" r:id="rId25"/>
    <hyperlink ref="G87" r:id="rId26" display="cindy.valderrama@contraloriabogota.gov.co"/>
    <hyperlink ref="G195" r:id="rId27" display="jeison.santos@contraloriabogota.gov.co"/>
    <hyperlink ref="G8" r:id="rId28" display="adriana.bello@contraloriabogota.gov.co"/>
    <hyperlink ref="G442" r:id="rId29" display="yulli.cardenas@contraloriabogota.gov.co"/>
    <hyperlink ref="G233" r:id="rId30"/>
    <hyperlink ref="G406" r:id="rId31"/>
    <hyperlink ref="G351" r:id="rId32"/>
    <hyperlink ref="G296" r:id="rId33"/>
    <hyperlink ref="G112" r:id="rId34"/>
    <hyperlink ref="G203" r:id="rId35"/>
    <hyperlink ref="G255" r:id="rId36"/>
    <hyperlink ref="G108" r:id="rId37"/>
    <hyperlink ref="G269" r:id="rId38"/>
    <hyperlink ref="G207" r:id="rId39"/>
    <hyperlink ref="G258" r:id="rId40"/>
    <hyperlink ref="G281" r:id="rId41"/>
    <hyperlink ref="G210" r:id="rId42"/>
    <hyperlink ref="G160" r:id="rId43"/>
    <hyperlink ref="G409" r:id="rId44"/>
    <hyperlink ref="G262" r:id="rId45"/>
    <hyperlink ref="G245" r:id="rId46"/>
    <hyperlink ref="G15" r:id="rId47"/>
    <hyperlink ref="G371" r:id="rId48"/>
    <hyperlink ref="G151" r:id="rId49"/>
    <hyperlink ref="G398" r:id="rId50"/>
    <hyperlink ref="G232" r:id="rId51"/>
    <hyperlink ref="G59" r:id="rId52"/>
    <hyperlink ref="G164" r:id="rId53"/>
    <hyperlink ref="G322" r:id="rId54"/>
    <hyperlink ref="G441" r:id="rId55"/>
    <hyperlink ref="G27" r:id="rId56"/>
    <hyperlink ref="G370" r:id="rId57"/>
    <hyperlink ref="G141" r:id="rId58"/>
    <hyperlink ref="G39" r:id="rId59"/>
    <hyperlink ref="G283" r:id="rId60"/>
    <hyperlink ref="G338" r:id="rId61"/>
    <hyperlink ref="G313" r:id="rId62"/>
    <hyperlink ref="G175" r:id="rId63"/>
    <hyperlink ref="G359" r:id="rId64"/>
    <hyperlink ref="G106" r:id="rId65"/>
    <hyperlink ref="G109" r:id="rId66"/>
    <hyperlink ref="G114" r:id="rId67"/>
    <hyperlink ref="G348" r:id="rId68"/>
    <hyperlink ref="G11" r:id="rId69"/>
    <hyperlink ref="G276" r:id="rId70"/>
    <hyperlink ref="G86" r:id="rId71"/>
    <hyperlink ref="G171" r:id="rId72"/>
    <hyperlink ref="G344" r:id="rId73"/>
  </hyperlinks>
  <pageMargins left="0.7" right="0.7" top="0.75" bottom="0.75" header="0.3" footer="0.3"/>
  <pageSetup paperSize="9" orientation="portrait" r:id="rId7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S514"/>
  <sheetViews>
    <sheetView topLeftCell="G1" zoomScale="90" zoomScaleNormal="90" workbookViewId="0">
      <pane ySplit="7" topLeftCell="A332" activePane="bottomLeft" state="frozen"/>
      <selection pane="bottomLeft" activeCell="M514" sqref="M514"/>
    </sheetView>
  </sheetViews>
  <sheetFormatPr baseColWidth="10" defaultColWidth="9.109375" defaultRowHeight="13.8" x14ac:dyDescent="0.25"/>
  <cols>
    <col min="1" max="1" width="8.44140625" style="14" customWidth="1"/>
    <col min="2" max="2" width="51.5546875" style="11" bestFit="1" customWidth="1"/>
    <col min="3" max="3" width="34.33203125" style="9" bestFit="1" customWidth="1"/>
    <col min="4" max="4" width="34.33203125" style="9" customWidth="1"/>
    <col min="5" max="6" width="20" style="9" customWidth="1"/>
    <col min="7" max="8" width="20" style="15" customWidth="1"/>
    <col min="9" max="9" width="40.88671875" style="11" customWidth="1"/>
    <col min="10" max="10" width="60.6640625" style="11" customWidth="1"/>
    <col min="11" max="11" width="22.6640625" style="11" customWidth="1"/>
    <col min="12" max="12" width="28.88671875" style="11" customWidth="1"/>
    <col min="13" max="13" width="22.88671875" style="9" customWidth="1"/>
    <col min="14" max="14" width="22.88671875" style="11" customWidth="1"/>
    <col min="15" max="15" width="34.6640625" style="11" bestFit="1" customWidth="1"/>
    <col min="16" max="16" width="23.109375" style="11" bestFit="1" customWidth="1"/>
    <col min="17" max="17" width="17.44140625" style="11" bestFit="1" customWidth="1"/>
    <col min="18" max="16384" width="9.109375" style="11"/>
  </cols>
  <sheetData>
    <row r="3" spans="1:19" customFormat="1" ht="14.4" x14ac:dyDescent="0.3">
      <c r="A3" s="42" t="s">
        <v>2115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9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7" spans="1:19" customFormat="1" ht="14.4" x14ac:dyDescent="0.3">
      <c r="A7" s="1"/>
      <c r="B7" s="2" t="s">
        <v>0</v>
      </c>
      <c r="C7" s="2" t="s">
        <v>1</v>
      </c>
      <c r="D7" s="2" t="s">
        <v>2194</v>
      </c>
      <c r="E7" s="3" t="s">
        <v>2</v>
      </c>
      <c r="F7" s="3" t="s">
        <v>3</v>
      </c>
      <c r="G7" s="4" t="s">
        <v>4</v>
      </c>
      <c r="H7" s="4" t="s">
        <v>5</v>
      </c>
      <c r="I7" s="4" t="s">
        <v>6</v>
      </c>
      <c r="J7" s="4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2113</v>
      </c>
      <c r="Q7" s="2" t="s">
        <v>2114</v>
      </c>
    </row>
    <row r="8" spans="1:19" customFormat="1" ht="17.25" hidden="1" customHeight="1" x14ac:dyDescent="0.3">
      <c r="A8" s="5">
        <v>1</v>
      </c>
      <c r="B8" s="17" t="s">
        <v>13</v>
      </c>
      <c r="C8" s="6">
        <v>80205861</v>
      </c>
      <c r="D8" s="6">
        <f>COUNTIFS($C8:C$8,C8)</f>
        <v>1</v>
      </c>
      <c r="E8" s="6">
        <v>3004470549</v>
      </c>
      <c r="F8" s="6" t="s">
        <v>14</v>
      </c>
      <c r="G8" s="7">
        <v>46035</v>
      </c>
      <c r="H8" s="7">
        <v>46387</v>
      </c>
      <c r="I8" s="8" t="s">
        <v>2108</v>
      </c>
      <c r="J8" s="6" t="s">
        <v>434</v>
      </c>
      <c r="K8" s="6" t="s">
        <v>106</v>
      </c>
      <c r="L8" s="6" t="s">
        <v>15</v>
      </c>
      <c r="M8" s="6" t="s">
        <v>16</v>
      </c>
      <c r="N8" s="6" t="s">
        <v>17</v>
      </c>
      <c r="O8" s="6" t="s">
        <v>18</v>
      </c>
      <c r="P8" s="9" t="s">
        <v>125</v>
      </c>
      <c r="Q8" s="25" t="s">
        <v>2112</v>
      </c>
    </row>
    <row r="9" spans="1:19" customFormat="1" ht="16.5" hidden="1" customHeight="1" x14ac:dyDescent="0.3">
      <c r="A9" s="5">
        <v>2</v>
      </c>
      <c r="B9" s="17" t="s">
        <v>19</v>
      </c>
      <c r="C9" s="6">
        <v>79751974</v>
      </c>
      <c r="D9" s="6">
        <f>COUNTIFS($C$8:C9,C9)</f>
        <v>1</v>
      </c>
      <c r="E9" s="6">
        <v>3108061470</v>
      </c>
      <c r="F9" s="6" t="s">
        <v>20</v>
      </c>
      <c r="G9" s="7" t="s">
        <v>20</v>
      </c>
      <c r="H9" s="7" t="s">
        <v>20</v>
      </c>
      <c r="I9" s="8" t="s">
        <v>21</v>
      </c>
      <c r="J9" s="6" t="s">
        <v>434</v>
      </c>
      <c r="K9" s="6" t="s">
        <v>143</v>
      </c>
      <c r="L9" s="6" t="s">
        <v>22</v>
      </c>
      <c r="M9" s="6" t="s">
        <v>23</v>
      </c>
      <c r="N9" s="6" t="s">
        <v>129</v>
      </c>
      <c r="O9" s="6" t="s">
        <v>24</v>
      </c>
      <c r="P9" t="s">
        <v>119</v>
      </c>
      <c r="Q9" s="25" t="s">
        <v>2112</v>
      </c>
    </row>
    <row r="10" spans="1:19" customFormat="1" ht="14.4" hidden="1" x14ac:dyDescent="0.3">
      <c r="A10" s="5">
        <v>3</v>
      </c>
      <c r="B10" s="17" t="s">
        <v>25</v>
      </c>
      <c r="C10" s="6">
        <v>1032357287</v>
      </c>
      <c r="D10" s="6">
        <f>COUNTIFS($C$8:C10,C10)</f>
        <v>1</v>
      </c>
      <c r="E10" s="6">
        <v>3058197451</v>
      </c>
      <c r="F10" s="6" t="s">
        <v>26</v>
      </c>
      <c r="G10" s="7">
        <v>46030</v>
      </c>
      <c r="H10" s="7">
        <v>46387</v>
      </c>
      <c r="I10" s="8" t="s">
        <v>27</v>
      </c>
      <c r="J10" s="6" t="s">
        <v>500</v>
      </c>
      <c r="K10" s="6" t="s">
        <v>143</v>
      </c>
      <c r="L10" s="6" t="s">
        <v>28</v>
      </c>
      <c r="M10" s="6" t="s">
        <v>29</v>
      </c>
      <c r="N10" s="6" t="s">
        <v>129</v>
      </c>
      <c r="O10" s="6" t="s">
        <v>30</v>
      </c>
      <c r="P10" s="9" t="s">
        <v>125</v>
      </c>
      <c r="Q10" s="25" t="s">
        <v>2112</v>
      </c>
    </row>
    <row r="11" spans="1:19" customFormat="1" ht="14.4" hidden="1" x14ac:dyDescent="0.3">
      <c r="A11" s="16">
        <v>4</v>
      </c>
      <c r="B11" s="17" t="s">
        <v>2101</v>
      </c>
      <c r="C11" s="17">
        <v>1033757530</v>
      </c>
      <c r="D11" s="6">
        <f>COUNTIFS($C$8:C11,C11)</f>
        <v>1</v>
      </c>
      <c r="E11" s="17">
        <v>3154532732</v>
      </c>
      <c r="F11" s="17" t="s">
        <v>2100</v>
      </c>
      <c r="G11" s="18">
        <v>46036</v>
      </c>
      <c r="H11" s="18">
        <v>46387</v>
      </c>
      <c r="I11" s="8" t="s">
        <v>31</v>
      </c>
      <c r="J11" s="6" t="s">
        <v>434</v>
      </c>
      <c r="K11" s="6" t="s">
        <v>115</v>
      </c>
      <c r="L11" s="17" t="s">
        <v>32</v>
      </c>
      <c r="M11" s="17" t="s">
        <v>33</v>
      </c>
      <c r="N11" s="17" t="s">
        <v>17</v>
      </c>
      <c r="O11" s="17" t="s">
        <v>34</v>
      </c>
      <c r="P11" s="19" t="s">
        <v>125</v>
      </c>
      <c r="Q11" s="21" t="s">
        <v>2098</v>
      </c>
      <c r="R11" s="19"/>
      <c r="S11" s="19"/>
    </row>
    <row r="12" spans="1:19" customFormat="1" ht="15" hidden="1" customHeight="1" x14ac:dyDescent="0.3">
      <c r="A12" s="5">
        <v>5</v>
      </c>
      <c r="B12" s="17" t="s">
        <v>35</v>
      </c>
      <c r="C12" s="6">
        <v>1030545762</v>
      </c>
      <c r="D12" s="6">
        <f>COUNTIFS($C$8:C12,C12)</f>
        <v>1</v>
      </c>
      <c r="E12" s="6">
        <v>3105580024</v>
      </c>
      <c r="F12" s="6" t="s">
        <v>36</v>
      </c>
      <c r="G12" s="7">
        <v>46037</v>
      </c>
      <c r="H12" s="7">
        <v>46387</v>
      </c>
      <c r="I12" s="8" t="s">
        <v>37</v>
      </c>
      <c r="J12" s="6" t="s">
        <v>285</v>
      </c>
      <c r="K12" s="6" t="s">
        <v>155</v>
      </c>
      <c r="L12" s="6" t="s">
        <v>30</v>
      </c>
      <c r="M12" s="6" t="s">
        <v>20</v>
      </c>
      <c r="N12" s="6" t="s">
        <v>129</v>
      </c>
      <c r="O12" s="6" t="s">
        <v>38</v>
      </c>
      <c r="P12" s="9" t="s">
        <v>125</v>
      </c>
      <c r="Q12" s="25" t="s">
        <v>2112</v>
      </c>
    </row>
    <row r="13" spans="1:19" customFormat="1" ht="14.4" hidden="1" x14ac:dyDescent="0.3">
      <c r="A13" s="5">
        <v>6</v>
      </c>
      <c r="B13" s="17" t="s">
        <v>39</v>
      </c>
      <c r="C13" s="17">
        <v>37396460</v>
      </c>
      <c r="D13" s="6">
        <f>COUNTIFS($C$8:C13,C13)</f>
        <v>1</v>
      </c>
      <c r="E13" s="17">
        <v>3045452585</v>
      </c>
      <c r="F13" s="17" t="s">
        <v>40</v>
      </c>
      <c r="G13" s="18">
        <v>46038</v>
      </c>
      <c r="H13" s="18">
        <v>46264</v>
      </c>
      <c r="I13" s="8" t="s">
        <v>41</v>
      </c>
      <c r="J13" s="6" t="s">
        <v>256</v>
      </c>
      <c r="K13" s="6" t="s">
        <v>115</v>
      </c>
      <c r="L13" s="17" t="s">
        <v>42</v>
      </c>
      <c r="M13" s="17" t="s">
        <v>43</v>
      </c>
      <c r="N13" s="6" t="s">
        <v>253</v>
      </c>
      <c r="O13" s="17" t="s">
        <v>44</v>
      </c>
      <c r="P13" s="19" t="s">
        <v>125</v>
      </c>
      <c r="Q13" s="21" t="s">
        <v>2098</v>
      </c>
      <c r="R13" s="19"/>
      <c r="S13" s="19"/>
    </row>
    <row r="14" spans="1:19" customFormat="1" ht="14.4" hidden="1" x14ac:dyDescent="0.3">
      <c r="A14" s="5">
        <v>7</v>
      </c>
      <c r="B14" s="17" t="s">
        <v>45</v>
      </c>
      <c r="C14" s="6">
        <v>98561766</v>
      </c>
      <c r="D14" s="6">
        <f>COUNTIFS($C$8:C14,C14)</f>
        <v>1</v>
      </c>
      <c r="E14" s="6">
        <v>3173320602</v>
      </c>
      <c r="F14" s="6" t="s">
        <v>46</v>
      </c>
      <c r="G14" s="7">
        <v>46037</v>
      </c>
      <c r="H14" s="7">
        <v>46241</v>
      </c>
      <c r="I14" s="8" t="s">
        <v>2107</v>
      </c>
      <c r="J14" s="6" t="s">
        <v>270</v>
      </c>
      <c r="K14" s="6" t="s">
        <v>106</v>
      </c>
      <c r="L14" s="6" t="s">
        <v>47</v>
      </c>
      <c r="M14" s="6" t="s">
        <v>48</v>
      </c>
      <c r="N14" s="6" t="s">
        <v>17</v>
      </c>
      <c r="O14" s="6" t="s">
        <v>24</v>
      </c>
      <c r="P14" s="9" t="s">
        <v>125</v>
      </c>
      <c r="Q14" s="25" t="s">
        <v>2112</v>
      </c>
    </row>
    <row r="15" spans="1:19" customFormat="1" ht="14.4" hidden="1" x14ac:dyDescent="0.3">
      <c r="A15" s="16">
        <v>8</v>
      </c>
      <c r="B15" s="17" t="s">
        <v>49</v>
      </c>
      <c r="C15" s="6">
        <v>52218503</v>
      </c>
      <c r="D15" s="6">
        <f>COUNTIFS($C$8:C15,C15)</f>
        <v>1</v>
      </c>
      <c r="E15" s="6">
        <v>3004427959</v>
      </c>
      <c r="F15" s="6" t="s">
        <v>20</v>
      </c>
      <c r="G15" s="7" t="s">
        <v>20</v>
      </c>
      <c r="H15" s="7" t="s">
        <v>20</v>
      </c>
      <c r="I15" s="7" t="s">
        <v>20</v>
      </c>
      <c r="J15" s="6" t="s">
        <v>1698</v>
      </c>
      <c r="K15" s="6" t="s">
        <v>143</v>
      </c>
      <c r="L15" s="6" t="s">
        <v>50</v>
      </c>
      <c r="M15" s="6" t="s">
        <v>51</v>
      </c>
      <c r="N15" s="6" t="s">
        <v>17</v>
      </c>
      <c r="O15" s="6" t="s">
        <v>52</v>
      </c>
      <c r="P15" t="s">
        <v>1280</v>
      </c>
      <c r="Q15" s="25" t="s">
        <v>2112</v>
      </c>
    </row>
    <row r="16" spans="1:19" customFormat="1" ht="14.4" hidden="1" x14ac:dyDescent="0.3">
      <c r="A16" s="5">
        <v>9</v>
      </c>
      <c r="B16" s="17" t="s">
        <v>53</v>
      </c>
      <c r="C16" s="6">
        <v>115068646</v>
      </c>
      <c r="D16" s="6">
        <f>COUNTIFS($C$8:C16,C16)</f>
        <v>1</v>
      </c>
      <c r="E16" s="6">
        <v>3163490223</v>
      </c>
      <c r="F16" s="6" t="s">
        <v>54</v>
      </c>
      <c r="G16" s="7">
        <v>46035</v>
      </c>
      <c r="H16" s="7">
        <v>46246</v>
      </c>
      <c r="I16" s="8" t="s">
        <v>55</v>
      </c>
      <c r="J16" s="6" t="s">
        <v>1338</v>
      </c>
      <c r="K16" s="6" t="s">
        <v>106</v>
      </c>
      <c r="L16" s="6" t="s">
        <v>56</v>
      </c>
      <c r="M16" s="6" t="s">
        <v>57</v>
      </c>
      <c r="N16" s="6" t="s">
        <v>17</v>
      </c>
      <c r="O16" s="6" t="s">
        <v>24</v>
      </c>
      <c r="P16" s="9" t="s">
        <v>125</v>
      </c>
      <c r="Q16" s="25" t="s">
        <v>2112</v>
      </c>
    </row>
    <row r="17" spans="1:19" customFormat="1" ht="14.4" hidden="1" x14ac:dyDescent="0.3">
      <c r="A17" s="5">
        <v>10</v>
      </c>
      <c r="B17" s="17" t="s">
        <v>53</v>
      </c>
      <c r="C17" s="6">
        <v>115068646</v>
      </c>
      <c r="D17" s="6">
        <f>COUNTIFS($C$8:C17,C17)</f>
        <v>2</v>
      </c>
      <c r="E17" s="6">
        <v>3163490223</v>
      </c>
      <c r="F17" s="6" t="s">
        <v>54</v>
      </c>
      <c r="G17" s="7">
        <v>46035</v>
      </c>
      <c r="H17" s="7">
        <v>46246</v>
      </c>
      <c r="I17" s="8" t="s">
        <v>55</v>
      </c>
      <c r="J17" s="6" t="s">
        <v>1338</v>
      </c>
      <c r="K17" s="6" t="s">
        <v>143</v>
      </c>
      <c r="L17" s="6" t="s">
        <v>58</v>
      </c>
      <c r="M17" s="6" t="s">
        <v>59</v>
      </c>
      <c r="N17" s="6" t="s">
        <v>17</v>
      </c>
      <c r="O17" s="6" t="s">
        <v>60</v>
      </c>
      <c r="P17" s="9" t="s">
        <v>125</v>
      </c>
      <c r="Q17" s="25" t="s">
        <v>2112</v>
      </c>
    </row>
    <row r="18" spans="1:19" ht="14.4" hidden="1" x14ac:dyDescent="0.3">
      <c r="A18" s="5">
        <v>11</v>
      </c>
      <c r="B18" s="17" t="s">
        <v>61</v>
      </c>
      <c r="C18" s="6">
        <v>1098784496</v>
      </c>
      <c r="D18" s="6">
        <f>COUNTIFS($C$8:C18,C18)</f>
        <v>1</v>
      </c>
      <c r="E18" s="6">
        <v>3187118262</v>
      </c>
      <c r="F18" s="6" t="s">
        <v>62</v>
      </c>
      <c r="G18" s="7">
        <v>46031</v>
      </c>
      <c r="H18" s="7">
        <v>46387</v>
      </c>
      <c r="I18" s="8" t="s">
        <v>63</v>
      </c>
      <c r="J18" s="6" t="s">
        <v>201</v>
      </c>
      <c r="K18" s="6" t="s">
        <v>143</v>
      </c>
      <c r="L18" s="6" t="s">
        <v>64</v>
      </c>
      <c r="M18" s="6" t="s">
        <v>65</v>
      </c>
      <c r="N18" s="6" t="s">
        <v>253</v>
      </c>
      <c r="O18" s="6" t="s">
        <v>66</v>
      </c>
      <c r="P18" s="9" t="s">
        <v>125</v>
      </c>
      <c r="Q18" s="25" t="s">
        <v>2112</v>
      </c>
    </row>
    <row r="19" spans="1:19" ht="14.4" hidden="1" x14ac:dyDescent="0.3">
      <c r="A19" s="16">
        <v>12</v>
      </c>
      <c r="B19" s="17" t="s">
        <v>67</v>
      </c>
      <c r="C19" s="6">
        <v>105466109</v>
      </c>
      <c r="D19" s="6">
        <f>COUNTIFS($C$8:C19,C19)</f>
        <v>1</v>
      </c>
      <c r="E19" s="6">
        <v>3057833039</v>
      </c>
      <c r="F19" s="6" t="s">
        <v>68</v>
      </c>
      <c r="G19" s="7">
        <v>46041</v>
      </c>
      <c r="H19" s="7">
        <v>46344</v>
      </c>
      <c r="I19" s="8" t="s">
        <v>69</v>
      </c>
      <c r="J19" s="6" t="s">
        <v>256</v>
      </c>
      <c r="K19" s="6" t="s">
        <v>106</v>
      </c>
      <c r="L19" s="6" t="s">
        <v>70</v>
      </c>
      <c r="M19" s="6" t="s">
        <v>71</v>
      </c>
      <c r="N19" s="6" t="s">
        <v>17</v>
      </c>
      <c r="O19" s="6" t="s">
        <v>24</v>
      </c>
      <c r="P19" s="9" t="s">
        <v>125</v>
      </c>
      <c r="Q19" s="25" t="s">
        <v>2112</v>
      </c>
    </row>
    <row r="20" spans="1:19" ht="14.4" hidden="1" x14ac:dyDescent="0.3">
      <c r="A20" s="5">
        <v>13</v>
      </c>
      <c r="B20" s="17" t="s">
        <v>72</v>
      </c>
      <c r="C20" s="6">
        <v>79905794</v>
      </c>
      <c r="D20" s="6">
        <f>COUNTIFS($C$8:C20,C20)</f>
        <v>1</v>
      </c>
      <c r="E20" s="6">
        <v>3057457779</v>
      </c>
      <c r="F20" s="6" t="s">
        <v>73</v>
      </c>
      <c r="G20" s="7">
        <v>46042</v>
      </c>
      <c r="H20" s="7">
        <v>46375</v>
      </c>
      <c r="I20" s="8" t="s">
        <v>74</v>
      </c>
      <c r="J20" s="17" t="s">
        <v>207</v>
      </c>
      <c r="K20" s="6" t="s">
        <v>143</v>
      </c>
      <c r="L20" s="6" t="s">
        <v>75</v>
      </c>
      <c r="M20" s="6" t="s">
        <v>76</v>
      </c>
      <c r="N20" s="6" t="s">
        <v>253</v>
      </c>
      <c r="O20" s="6" t="s">
        <v>44</v>
      </c>
      <c r="P20" s="9" t="s">
        <v>125</v>
      </c>
      <c r="Q20" s="25" t="s">
        <v>2112</v>
      </c>
    </row>
    <row r="21" spans="1:19" ht="14.4" hidden="1" x14ac:dyDescent="0.3">
      <c r="A21" s="5">
        <v>14</v>
      </c>
      <c r="B21" s="17" t="s">
        <v>77</v>
      </c>
      <c r="C21" s="6">
        <v>1032395549</v>
      </c>
      <c r="D21" s="6">
        <f>COUNTIFS($C$8:C21,C21)</f>
        <v>1</v>
      </c>
      <c r="E21" s="6">
        <v>3166262024</v>
      </c>
      <c r="F21" s="6" t="s">
        <v>78</v>
      </c>
      <c r="G21" s="7">
        <v>46036</v>
      </c>
      <c r="H21" s="7">
        <v>46370</v>
      </c>
      <c r="I21" s="8" t="s">
        <v>79</v>
      </c>
      <c r="J21" s="6" t="s">
        <v>587</v>
      </c>
      <c r="K21" s="6" t="s">
        <v>80</v>
      </c>
      <c r="L21" s="6" t="s">
        <v>81</v>
      </c>
      <c r="M21" s="6" t="s">
        <v>20</v>
      </c>
      <c r="N21" s="6" t="s">
        <v>129</v>
      </c>
      <c r="O21" s="6" t="s">
        <v>18</v>
      </c>
      <c r="P21" s="9" t="s">
        <v>125</v>
      </c>
      <c r="Q21" s="25" t="s">
        <v>2112</v>
      </c>
    </row>
    <row r="22" spans="1:19" ht="14.4" hidden="1" x14ac:dyDescent="0.3">
      <c r="A22" s="5">
        <v>15</v>
      </c>
      <c r="B22" s="17" t="s">
        <v>82</v>
      </c>
      <c r="C22" s="6">
        <v>88220846</v>
      </c>
      <c r="D22" s="6">
        <f>COUNTIFS($C$8:C22,C22)</f>
        <v>1</v>
      </c>
      <c r="E22" s="6">
        <v>3203005342</v>
      </c>
      <c r="F22" s="6" t="s">
        <v>83</v>
      </c>
      <c r="G22" s="7">
        <v>46041</v>
      </c>
      <c r="H22" s="7">
        <v>46387</v>
      </c>
      <c r="I22" s="8" t="s">
        <v>84</v>
      </c>
      <c r="J22" s="6" t="s">
        <v>500</v>
      </c>
      <c r="K22" s="6" t="s">
        <v>106</v>
      </c>
      <c r="L22" s="6" t="s">
        <v>85</v>
      </c>
      <c r="M22" s="6" t="s">
        <v>86</v>
      </c>
      <c r="N22" s="6" t="s">
        <v>17</v>
      </c>
      <c r="O22" s="6" t="s">
        <v>66</v>
      </c>
      <c r="P22" s="9" t="s">
        <v>125</v>
      </c>
      <c r="Q22" s="25" t="s">
        <v>2112</v>
      </c>
    </row>
    <row r="23" spans="1:19" ht="14.4" hidden="1" x14ac:dyDescent="0.3">
      <c r="A23" s="16">
        <v>16</v>
      </c>
      <c r="B23" s="17" t="s">
        <v>87</v>
      </c>
      <c r="C23" s="6">
        <v>1010222069</v>
      </c>
      <c r="D23" s="6">
        <f>COUNTIFS($C$8:C23,C23)</f>
        <v>1</v>
      </c>
      <c r="E23" s="6">
        <v>3106664184</v>
      </c>
      <c r="F23" s="6" t="s">
        <v>88</v>
      </c>
      <c r="G23" s="7">
        <v>46378</v>
      </c>
      <c r="H23" s="7">
        <v>46255</v>
      </c>
      <c r="I23" s="8" t="s">
        <v>89</v>
      </c>
      <c r="J23" s="6" t="s">
        <v>1905</v>
      </c>
      <c r="K23" s="6" t="s">
        <v>80</v>
      </c>
      <c r="L23" s="6" t="s">
        <v>30</v>
      </c>
      <c r="M23" s="6" t="s">
        <v>20</v>
      </c>
      <c r="N23" s="6" t="s">
        <v>129</v>
      </c>
      <c r="O23" s="6" t="s">
        <v>90</v>
      </c>
      <c r="P23" s="9" t="s">
        <v>125</v>
      </c>
      <c r="Q23" s="25" t="s">
        <v>2112</v>
      </c>
    </row>
    <row r="24" spans="1:19" ht="14.4" hidden="1" x14ac:dyDescent="0.3">
      <c r="A24" s="5">
        <v>17</v>
      </c>
      <c r="B24" s="17" t="s">
        <v>91</v>
      </c>
      <c r="C24" s="6">
        <v>1104068630</v>
      </c>
      <c r="D24" s="6">
        <f>COUNTIFS($C$8:C24,C24)</f>
        <v>1</v>
      </c>
      <c r="E24" s="6">
        <v>3125332732</v>
      </c>
      <c r="F24" s="6" t="s">
        <v>92</v>
      </c>
      <c r="G24" s="7">
        <v>46035</v>
      </c>
      <c r="H24" s="7">
        <v>46387</v>
      </c>
      <c r="I24" s="8" t="s">
        <v>93</v>
      </c>
      <c r="J24" s="6" t="s">
        <v>325</v>
      </c>
      <c r="K24" s="6" t="s">
        <v>143</v>
      </c>
      <c r="L24" s="6" t="s">
        <v>94</v>
      </c>
      <c r="M24" s="6" t="s">
        <v>95</v>
      </c>
      <c r="N24" s="6" t="s">
        <v>17</v>
      </c>
      <c r="O24" s="6" t="s">
        <v>96</v>
      </c>
      <c r="P24" s="9" t="s">
        <v>125</v>
      </c>
      <c r="Q24" s="25" t="s">
        <v>2112</v>
      </c>
    </row>
    <row r="25" spans="1:19" ht="14.4" hidden="1" x14ac:dyDescent="0.3">
      <c r="A25" s="5">
        <v>18</v>
      </c>
      <c r="B25" s="17" t="s">
        <v>97</v>
      </c>
      <c r="C25" s="6">
        <v>1020797353</v>
      </c>
      <c r="D25" s="6">
        <f>COUNTIFS($C$8:C25,C25)</f>
        <v>1</v>
      </c>
      <c r="E25" s="6">
        <v>3125877916</v>
      </c>
      <c r="F25" s="6" t="s">
        <v>98</v>
      </c>
      <c r="G25" s="7">
        <v>46042</v>
      </c>
      <c r="H25" s="7">
        <v>46387</v>
      </c>
      <c r="I25" s="8" t="s">
        <v>99</v>
      </c>
      <c r="J25" s="6" t="s">
        <v>325</v>
      </c>
      <c r="K25" s="6" t="s">
        <v>143</v>
      </c>
      <c r="L25" s="6" t="s">
        <v>64</v>
      </c>
      <c r="M25" s="6" t="s">
        <v>100</v>
      </c>
      <c r="N25" s="6" t="s">
        <v>17</v>
      </c>
      <c r="O25" s="6" t="s">
        <v>66</v>
      </c>
      <c r="P25" s="9" t="s">
        <v>125</v>
      </c>
      <c r="Q25" s="25" t="s">
        <v>2112</v>
      </c>
    </row>
    <row r="26" spans="1:19" ht="14.4" hidden="1" x14ac:dyDescent="0.3">
      <c r="A26" s="5">
        <v>19</v>
      </c>
      <c r="B26" s="17" t="s">
        <v>101</v>
      </c>
      <c r="C26" s="6">
        <v>1918513898</v>
      </c>
      <c r="D26" s="6">
        <f>COUNTIFS($C$8:C26,C26)</f>
        <v>1</v>
      </c>
      <c r="E26" s="6">
        <v>3102710234</v>
      </c>
      <c r="F26" s="6" t="s">
        <v>102</v>
      </c>
      <c r="G26" s="7">
        <v>46041</v>
      </c>
      <c r="H26" s="7">
        <v>46252</v>
      </c>
      <c r="I26" s="8" t="s">
        <v>103</v>
      </c>
      <c r="J26" s="6" t="s">
        <v>1338</v>
      </c>
      <c r="K26" s="6" t="s">
        <v>106</v>
      </c>
      <c r="L26" s="6" t="s">
        <v>104</v>
      </c>
      <c r="M26" s="6" t="s">
        <v>105</v>
      </c>
      <c r="N26" s="6" t="s">
        <v>17</v>
      </c>
      <c r="O26" s="6" t="s">
        <v>18</v>
      </c>
      <c r="P26" s="9" t="s">
        <v>125</v>
      </c>
      <c r="Q26" s="25" t="s">
        <v>2112</v>
      </c>
    </row>
    <row r="27" spans="1:19" ht="14.4" hidden="1" x14ac:dyDescent="0.3">
      <c r="A27" s="16">
        <v>20</v>
      </c>
      <c r="B27" s="17" t="s">
        <v>107</v>
      </c>
      <c r="C27" s="17">
        <v>51831480</v>
      </c>
      <c r="D27" s="6">
        <f>COUNTIFS($C$8:C27,C27)</f>
        <v>1</v>
      </c>
      <c r="E27" s="17">
        <v>3183891026</v>
      </c>
      <c r="F27" s="17" t="s">
        <v>108</v>
      </c>
      <c r="G27" s="18">
        <v>46030</v>
      </c>
      <c r="H27" s="18">
        <v>46239</v>
      </c>
      <c r="I27" s="8" t="s">
        <v>109</v>
      </c>
      <c r="J27" s="6" t="s">
        <v>270</v>
      </c>
      <c r="K27" s="6" t="s">
        <v>143</v>
      </c>
      <c r="L27" s="17" t="s">
        <v>110</v>
      </c>
      <c r="M27" s="17" t="s">
        <v>111</v>
      </c>
      <c r="N27" s="17" t="s">
        <v>17</v>
      </c>
      <c r="O27" s="17" t="s">
        <v>112</v>
      </c>
      <c r="P27" s="9" t="s">
        <v>125</v>
      </c>
      <c r="Q27" s="22" t="s">
        <v>2098</v>
      </c>
      <c r="R27" s="20"/>
      <c r="S27" s="20"/>
    </row>
    <row r="28" spans="1:19" ht="14.4" hidden="1" x14ac:dyDescent="0.3">
      <c r="A28" s="5">
        <v>21</v>
      </c>
      <c r="B28" s="17" t="s">
        <v>113</v>
      </c>
      <c r="C28" s="6">
        <v>80024049</v>
      </c>
      <c r="D28" s="6">
        <f>COUNTIFS($C$8:C28,C28)</f>
        <v>1</v>
      </c>
      <c r="E28" s="6">
        <v>3143405600</v>
      </c>
      <c r="F28" s="6" t="s">
        <v>20</v>
      </c>
      <c r="G28" s="7" t="s">
        <v>20</v>
      </c>
      <c r="H28" s="7" t="s">
        <v>20</v>
      </c>
      <c r="I28" s="8" t="s">
        <v>114</v>
      </c>
      <c r="J28" s="6" t="s">
        <v>1353</v>
      </c>
      <c r="K28" s="6" t="s">
        <v>115</v>
      </c>
      <c r="L28" s="6" t="s">
        <v>116</v>
      </c>
      <c r="M28" s="6" t="s">
        <v>117</v>
      </c>
      <c r="N28" s="6" t="s">
        <v>17</v>
      </c>
      <c r="O28" s="6" t="s">
        <v>118</v>
      </c>
      <c r="P28" t="s">
        <v>119</v>
      </c>
      <c r="Q28" s="25" t="s">
        <v>2112</v>
      </c>
    </row>
    <row r="29" spans="1:19" ht="14.4" hidden="1" x14ac:dyDescent="0.3">
      <c r="A29" s="5">
        <v>22</v>
      </c>
      <c r="B29" s="17" t="s">
        <v>120</v>
      </c>
      <c r="C29" s="6">
        <v>80003738</v>
      </c>
      <c r="D29" s="6">
        <f>COUNTIFS($C$8:C29,C29)</f>
        <v>1</v>
      </c>
      <c r="E29" s="6">
        <v>3003626509</v>
      </c>
      <c r="F29" s="12" t="s">
        <v>121</v>
      </c>
      <c r="G29" s="7">
        <v>46035</v>
      </c>
      <c r="H29" s="7">
        <v>46277</v>
      </c>
      <c r="I29" s="8" t="s">
        <v>122</v>
      </c>
      <c r="J29" s="6" t="s">
        <v>1229</v>
      </c>
      <c r="K29" s="6" t="s">
        <v>115</v>
      </c>
      <c r="L29" s="6" t="s">
        <v>123</v>
      </c>
      <c r="M29" s="6" t="s">
        <v>124</v>
      </c>
      <c r="N29" s="6" t="s">
        <v>17</v>
      </c>
      <c r="O29" s="6" t="s">
        <v>60</v>
      </c>
      <c r="P29" t="s">
        <v>125</v>
      </c>
      <c r="Q29" s="25" t="s">
        <v>2112</v>
      </c>
    </row>
    <row r="30" spans="1:19" ht="14.4" hidden="1" x14ac:dyDescent="0.3">
      <c r="A30" s="5">
        <v>23</v>
      </c>
      <c r="B30" s="17" t="s">
        <v>126</v>
      </c>
      <c r="C30" s="6">
        <v>1010171786</v>
      </c>
      <c r="D30" s="6">
        <f>COUNTIFS($C$8:C30,C30)</f>
        <v>1</v>
      </c>
      <c r="E30" s="6">
        <v>3102160889</v>
      </c>
      <c r="F30" s="12" t="s">
        <v>127</v>
      </c>
      <c r="G30" s="7">
        <v>46038</v>
      </c>
      <c r="H30" s="7">
        <v>46280</v>
      </c>
      <c r="I30" s="8" t="s">
        <v>128</v>
      </c>
      <c r="J30" s="6" t="s">
        <v>1229</v>
      </c>
      <c r="K30" s="6" t="s">
        <v>80</v>
      </c>
      <c r="L30" s="6" t="s">
        <v>30</v>
      </c>
      <c r="M30" s="6" t="s">
        <v>20</v>
      </c>
      <c r="N30" s="6" t="s">
        <v>129</v>
      </c>
      <c r="O30" s="6" t="s">
        <v>66</v>
      </c>
      <c r="P30" t="s">
        <v>125</v>
      </c>
      <c r="Q30" s="25" t="s">
        <v>2112</v>
      </c>
    </row>
    <row r="31" spans="1:19" ht="14.4" hidden="1" x14ac:dyDescent="0.3">
      <c r="A31" s="16">
        <v>24</v>
      </c>
      <c r="B31" s="17" t="s">
        <v>130</v>
      </c>
      <c r="C31" s="6">
        <v>53006917</v>
      </c>
      <c r="D31" s="6">
        <f>COUNTIFS($C$8:C31,C31)</f>
        <v>1</v>
      </c>
      <c r="E31" s="6">
        <v>3124527312</v>
      </c>
      <c r="F31" s="6" t="s">
        <v>20</v>
      </c>
      <c r="G31" s="7" t="s">
        <v>20</v>
      </c>
      <c r="H31" s="7" t="s">
        <v>20</v>
      </c>
      <c r="I31" s="8" t="s">
        <v>131</v>
      </c>
      <c r="J31" s="6" t="s">
        <v>1229</v>
      </c>
      <c r="K31" s="6" t="s">
        <v>115</v>
      </c>
      <c r="L31" s="6" t="s">
        <v>132</v>
      </c>
      <c r="M31" s="6" t="s">
        <v>133</v>
      </c>
      <c r="N31" s="6" t="s">
        <v>17</v>
      </c>
      <c r="O31" s="6" t="s">
        <v>134</v>
      </c>
      <c r="P31" t="s">
        <v>119</v>
      </c>
      <c r="Q31" s="25" t="s">
        <v>2112</v>
      </c>
    </row>
    <row r="32" spans="1:19" ht="14.4" hidden="1" x14ac:dyDescent="0.3">
      <c r="A32" s="5">
        <v>25</v>
      </c>
      <c r="B32" s="17" t="s">
        <v>135</v>
      </c>
      <c r="C32" s="6">
        <v>1032472599</v>
      </c>
      <c r="D32" s="6">
        <f>COUNTIFS($C$8:C32,C32)</f>
        <v>1</v>
      </c>
      <c r="E32" s="6">
        <v>3166351003</v>
      </c>
      <c r="F32" s="12" t="s">
        <v>136</v>
      </c>
      <c r="G32" s="7">
        <v>46031</v>
      </c>
      <c r="H32" s="7">
        <v>46387</v>
      </c>
      <c r="I32" s="8" t="s">
        <v>137</v>
      </c>
      <c r="J32" s="6" t="s">
        <v>1229</v>
      </c>
      <c r="K32" s="6" t="s">
        <v>115</v>
      </c>
      <c r="L32" s="6" t="s">
        <v>138</v>
      </c>
      <c r="M32" s="6" t="s">
        <v>139</v>
      </c>
      <c r="N32" s="6" t="s">
        <v>17</v>
      </c>
      <c r="O32" s="6" t="s">
        <v>140</v>
      </c>
      <c r="P32" t="s">
        <v>125</v>
      </c>
      <c r="Q32" s="25" t="s">
        <v>2112</v>
      </c>
    </row>
    <row r="33" spans="1:19" ht="14.4" hidden="1" x14ac:dyDescent="0.3">
      <c r="A33" s="5">
        <v>26</v>
      </c>
      <c r="B33" s="17" t="s">
        <v>141</v>
      </c>
      <c r="C33" s="6">
        <v>1042417351</v>
      </c>
      <c r="D33" s="6">
        <f>COUNTIFS($C$8:C33,C33)</f>
        <v>1</v>
      </c>
      <c r="E33" s="6">
        <v>3103832562</v>
      </c>
      <c r="F33" s="6" t="s">
        <v>20</v>
      </c>
      <c r="G33" s="7" t="s">
        <v>20</v>
      </c>
      <c r="H33" s="7" t="s">
        <v>20</v>
      </c>
      <c r="I33" s="8" t="s">
        <v>142</v>
      </c>
      <c r="J33" s="17" t="s">
        <v>2011</v>
      </c>
      <c r="K33" s="6" t="s">
        <v>143</v>
      </c>
      <c r="L33" s="6" t="s">
        <v>144</v>
      </c>
      <c r="M33" s="6" t="s">
        <v>145</v>
      </c>
      <c r="N33" s="6" t="s">
        <v>17</v>
      </c>
      <c r="O33" s="6" t="s">
        <v>146</v>
      </c>
      <c r="P33" t="s">
        <v>119</v>
      </c>
      <c r="Q33" s="25" t="s">
        <v>2112</v>
      </c>
    </row>
    <row r="34" spans="1:19" ht="14.4" hidden="1" x14ac:dyDescent="0.3">
      <c r="A34" s="5">
        <v>27</v>
      </c>
      <c r="B34" s="17" t="s">
        <v>147</v>
      </c>
      <c r="C34" s="6">
        <v>52918998</v>
      </c>
      <c r="D34" s="6">
        <f>COUNTIFS($C$8:C34,C34)</f>
        <v>1</v>
      </c>
      <c r="E34" s="6">
        <v>3118191247</v>
      </c>
      <c r="F34" s="12" t="s">
        <v>148</v>
      </c>
      <c r="G34" s="7">
        <v>46030</v>
      </c>
      <c r="H34" s="7">
        <v>46387</v>
      </c>
      <c r="I34" s="8" t="s">
        <v>149</v>
      </c>
      <c r="J34" s="6" t="s">
        <v>500</v>
      </c>
      <c r="K34" s="6" t="s">
        <v>115</v>
      </c>
      <c r="L34" s="6" t="s">
        <v>150</v>
      </c>
      <c r="M34" s="6" t="s">
        <v>151</v>
      </c>
      <c r="N34" s="6" t="s">
        <v>17</v>
      </c>
      <c r="O34" s="6" t="s">
        <v>60</v>
      </c>
      <c r="P34" t="s">
        <v>125</v>
      </c>
      <c r="Q34" s="25" t="s">
        <v>2112</v>
      </c>
    </row>
    <row r="35" spans="1:19" ht="14.4" hidden="1" x14ac:dyDescent="0.3">
      <c r="A35" s="16">
        <v>28</v>
      </c>
      <c r="B35" s="17" t="s">
        <v>152</v>
      </c>
      <c r="C35" s="6">
        <v>1077086276</v>
      </c>
      <c r="D35" s="6">
        <f>COUNTIFS($C$8:C35,C35)</f>
        <v>1</v>
      </c>
      <c r="E35" s="6">
        <v>3024069280</v>
      </c>
      <c r="F35" s="12" t="s">
        <v>153</v>
      </c>
      <c r="G35" s="7">
        <v>46035</v>
      </c>
      <c r="H35" s="7">
        <v>46387</v>
      </c>
      <c r="I35" s="8" t="s">
        <v>154</v>
      </c>
      <c r="J35" s="6" t="s">
        <v>500</v>
      </c>
      <c r="K35" s="6" t="s">
        <v>155</v>
      </c>
      <c r="L35" s="6" t="s">
        <v>156</v>
      </c>
      <c r="M35" s="6" t="s">
        <v>20</v>
      </c>
      <c r="N35" s="6" t="s">
        <v>129</v>
      </c>
      <c r="O35" s="6" t="s">
        <v>157</v>
      </c>
      <c r="P35" t="s">
        <v>125</v>
      </c>
      <c r="Q35" s="25" t="s">
        <v>2112</v>
      </c>
    </row>
    <row r="36" spans="1:19" ht="14.4" hidden="1" x14ac:dyDescent="0.3">
      <c r="A36" s="5">
        <v>29</v>
      </c>
      <c r="B36" s="17" t="s">
        <v>158</v>
      </c>
      <c r="C36" s="17">
        <v>1018494285</v>
      </c>
      <c r="D36" s="6">
        <f>COUNTIFS($C$8:C36,C36)</f>
        <v>1</v>
      </c>
      <c r="E36" s="17">
        <v>3143377910</v>
      </c>
      <c r="F36" s="17" t="s">
        <v>2102</v>
      </c>
      <c r="G36" s="18">
        <v>46040</v>
      </c>
      <c r="H36" s="18">
        <v>46130</v>
      </c>
      <c r="I36" s="8" t="s">
        <v>159</v>
      </c>
      <c r="J36" s="6" t="s">
        <v>201</v>
      </c>
      <c r="K36" s="6" t="s">
        <v>115</v>
      </c>
      <c r="L36" s="17" t="s">
        <v>50</v>
      </c>
      <c r="M36" s="17" t="s">
        <v>160</v>
      </c>
      <c r="N36" s="17" t="s">
        <v>17</v>
      </c>
      <c r="O36" s="17" t="s">
        <v>44</v>
      </c>
      <c r="P36" s="19" t="s">
        <v>125</v>
      </c>
      <c r="Q36" s="21" t="s">
        <v>2098</v>
      </c>
      <c r="R36" s="20"/>
      <c r="S36" s="20"/>
    </row>
    <row r="37" spans="1:19" ht="14.4" hidden="1" x14ac:dyDescent="0.3">
      <c r="A37" s="5">
        <v>30</v>
      </c>
      <c r="B37" s="17" t="s">
        <v>161</v>
      </c>
      <c r="C37" s="6">
        <v>1101754110</v>
      </c>
      <c r="D37" s="6">
        <f>COUNTIFS($C$8:C37,C37)</f>
        <v>1</v>
      </c>
      <c r="E37" s="6">
        <v>3175339549</v>
      </c>
      <c r="F37" s="12" t="s">
        <v>162</v>
      </c>
      <c r="G37" s="7">
        <v>46029</v>
      </c>
      <c r="H37" s="7">
        <v>46387</v>
      </c>
      <c r="I37" s="8" t="s">
        <v>163</v>
      </c>
      <c r="J37" s="6" t="s">
        <v>1562</v>
      </c>
      <c r="K37" s="6" t="s">
        <v>143</v>
      </c>
      <c r="L37" s="6" t="s">
        <v>164</v>
      </c>
      <c r="M37" s="6" t="s">
        <v>165</v>
      </c>
      <c r="N37" s="6" t="s">
        <v>17</v>
      </c>
      <c r="O37" s="6" t="s">
        <v>166</v>
      </c>
      <c r="P37" t="s">
        <v>125</v>
      </c>
      <c r="Q37" s="25" t="s">
        <v>2112</v>
      </c>
    </row>
    <row r="38" spans="1:19" ht="14.4" hidden="1" x14ac:dyDescent="0.3">
      <c r="A38" s="5">
        <v>31</v>
      </c>
      <c r="B38" s="17" t="s">
        <v>167</v>
      </c>
      <c r="C38" s="6">
        <v>1057593307</v>
      </c>
      <c r="D38" s="6">
        <f>COUNTIFS($C$8:C38,C38)</f>
        <v>1</v>
      </c>
      <c r="E38" s="6">
        <v>3183881512</v>
      </c>
      <c r="F38" s="12" t="s">
        <v>168</v>
      </c>
      <c r="G38" s="7">
        <v>46031</v>
      </c>
      <c r="H38" s="7">
        <v>46387</v>
      </c>
      <c r="I38" s="8" t="s">
        <v>169</v>
      </c>
      <c r="J38" s="6" t="s">
        <v>1562</v>
      </c>
      <c r="K38" s="6" t="s">
        <v>106</v>
      </c>
      <c r="L38" s="6" t="s">
        <v>170</v>
      </c>
      <c r="M38" s="6" t="s">
        <v>171</v>
      </c>
      <c r="N38" s="6" t="s">
        <v>17</v>
      </c>
      <c r="O38" s="6" t="s">
        <v>24</v>
      </c>
      <c r="P38" t="s">
        <v>125</v>
      </c>
      <c r="Q38" s="25" t="s">
        <v>2112</v>
      </c>
    </row>
    <row r="39" spans="1:19" ht="14.4" hidden="1" x14ac:dyDescent="0.3">
      <c r="A39" s="16">
        <v>32</v>
      </c>
      <c r="B39" s="17" t="s">
        <v>172</v>
      </c>
      <c r="C39" s="6">
        <v>9975124</v>
      </c>
      <c r="D39" s="6">
        <f>COUNTIFS($C$8:C39,C39)</f>
        <v>1</v>
      </c>
      <c r="E39" s="6">
        <v>3164571547</v>
      </c>
      <c r="F39" s="6" t="s">
        <v>173</v>
      </c>
      <c r="G39" s="7">
        <v>46042</v>
      </c>
      <c r="H39" s="7">
        <v>46217</v>
      </c>
      <c r="I39" s="8" t="s">
        <v>174</v>
      </c>
      <c r="J39" s="6" t="s">
        <v>1353</v>
      </c>
      <c r="K39" s="6" t="s">
        <v>106</v>
      </c>
      <c r="L39" s="6" t="s">
        <v>175</v>
      </c>
      <c r="M39" s="6" t="s">
        <v>176</v>
      </c>
      <c r="N39" s="6" t="s">
        <v>17</v>
      </c>
      <c r="O39" s="6" t="s">
        <v>177</v>
      </c>
      <c r="P39" t="s">
        <v>125</v>
      </c>
      <c r="Q39" s="25" t="s">
        <v>2112</v>
      </c>
    </row>
    <row r="40" spans="1:19" ht="14.4" hidden="1" x14ac:dyDescent="0.3">
      <c r="A40" s="5">
        <v>33</v>
      </c>
      <c r="B40" s="17" t="s">
        <v>178</v>
      </c>
      <c r="C40" s="6">
        <v>79910378</v>
      </c>
      <c r="D40" s="6">
        <f>COUNTIFS($C$8:C40,C40)</f>
        <v>1</v>
      </c>
      <c r="E40" s="6">
        <v>3016460457</v>
      </c>
      <c r="F40" s="12" t="s">
        <v>179</v>
      </c>
      <c r="G40" s="7">
        <v>46028</v>
      </c>
      <c r="H40" s="7">
        <v>46387</v>
      </c>
      <c r="I40" s="8" t="s">
        <v>180</v>
      </c>
      <c r="J40" s="6" t="s">
        <v>1716</v>
      </c>
      <c r="K40" s="6" t="s">
        <v>143</v>
      </c>
      <c r="L40" s="6" t="s">
        <v>181</v>
      </c>
      <c r="M40" s="6" t="s">
        <v>182</v>
      </c>
      <c r="N40" s="6" t="s">
        <v>17</v>
      </c>
      <c r="O40" s="6" t="s">
        <v>60</v>
      </c>
      <c r="P40" t="s">
        <v>125</v>
      </c>
      <c r="Q40" s="25" t="s">
        <v>2112</v>
      </c>
    </row>
    <row r="41" spans="1:19" ht="14.4" hidden="1" x14ac:dyDescent="0.3">
      <c r="A41" s="5">
        <v>34</v>
      </c>
      <c r="B41" s="17" t="s">
        <v>183</v>
      </c>
      <c r="C41" s="6">
        <v>1018402818</v>
      </c>
      <c r="D41" s="6">
        <f>COUNTIFS($C$8:C41,C41)</f>
        <v>1</v>
      </c>
      <c r="E41" s="6">
        <v>3153923570</v>
      </c>
      <c r="F41" s="12" t="s">
        <v>184</v>
      </c>
      <c r="G41" s="7">
        <v>46029</v>
      </c>
      <c r="H41" s="7">
        <v>46362</v>
      </c>
      <c r="I41" s="8" t="s">
        <v>185</v>
      </c>
      <c r="J41" s="6" t="s">
        <v>2111</v>
      </c>
      <c r="K41" s="6" t="s">
        <v>115</v>
      </c>
      <c r="L41" s="6" t="s">
        <v>75</v>
      </c>
      <c r="M41" s="6" t="s">
        <v>186</v>
      </c>
      <c r="N41" s="6" t="s">
        <v>17</v>
      </c>
      <c r="O41" s="6" t="s">
        <v>187</v>
      </c>
      <c r="P41" t="s">
        <v>125</v>
      </c>
      <c r="Q41" s="25" t="s">
        <v>2112</v>
      </c>
    </row>
    <row r="42" spans="1:19" ht="14.4" hidden="1" x14ac:dyDescent="0.3">
      <c r="A42" s="5">
        <v>35</v>
      </c>
      <c r="B42" s="17" t="s">
        <v>188</v>
      </c>
      <c r="C42" s="6">
        <v>1000830438</v>
      </c>
      <c r="D42" s="6">
        <f>COUNTIFS($C$8:C42,C42)</f>
        <v>1</v>
      </c>
      <c r="E42" s="6">
        <v>3103224575</v>
      </c>
      <c r="F42" s="6" t="s">
        <v>20</v>
      </c>
      <c r="G42" s="7" t="s">
        <v>20</v>
      </c>
      <c r="H42" s="7" t="s">
        <v>20</v>
      </c>
      <c r="I42" s="8" t="s">
        <v>189</v>
      </c>
      <c r="J42" s="6" t="s">
        <v>742</v>
      </c>
      <c r="K42" s="6" t="s">
        <v>106</v>
      </c>
      <c r="L42" s="6" t="s">
        <v>190</v>
      </c>
      <c r="M42" s="6" t="s">
        <v>191</v>
      </c>
      <c r="N42" s="6" t="s">
        <v>17</v>
      </c>
      <c r="O42" s="6" t="s">
        <v>192</v>
      </c>
      <c r="P42" t="s">
        <v>1280</v>
      </c>
      <c r="Q42" s="25" t="s">
        <v>2112</v>
      </c>
    </row>
    <row r="43" spans="1:19" ht="14.4" hidden="1" x14ac:dyDescent="0.3">
      <c r="A43" s="16">
        <v>36</v>
      </c>
      <c r="B43" s="17" t="s">
        <v>193</v>
      </c>
      <c r="C43" s="6">
        <v>65709742</v>
      </c>
      <c r="D43" s="6">
        <f>COUNTIFS($C$8:C43,C43)</f>
        <v>1</v>
      </c>
      <c r="E43" s="6">
        <v>3045519277</v>
      </c>
      <c r="F43" s="6" t="s">
        <v>194</v>
      </c>
      <c r="G43" s="7">
        <v>46042</v>
      </c>
      <c r="H43" s="7">
        <v>46387</v>
      </c>
      <c r="I43" s="8" t="s">
        <v>195</v>
      </c>
      <c r="J43" s="6" t="s">
        <v>201</v>
      </c>
      <c r="K43" s="6" t="s">
        <v>115</v>
      </c>
      <c r="L43" s="6" t="s">
        <v>196</v>
      </c>
      <c r="M43" s="6" t="s">
        <v>197</v>
      </c>
      <c r="N43" s="6" t="s">
        <v>17</v>
      </c>
      <c r="O43" s="6" t="s">
        <v>18</v>
      </c>
      <c r="P43" t="s">
        <v>125</v>
      </c>
      <c r="Q43" s="25" t="s">
        <v>2112</v>
      </c>
    </row>
    <row r="44" spans="1:19" ht="14.4" hidden="1" x14ac:dyDescent="0.3">
      <c r="A44" s="5">
        <v>37</v>
      </c>
      <c r="B44" s="17" t="s">
        <v>198</v>
      </c>
      <c r="C44" s="6">
        <v>7726196</v>
      </c>
      <c r="D44" s="6">
        <f>COUNTIFS($C$8:C44,C44)</f>
        <v>1</v>
      </c>
      <c r="E44" s="6">
        <v>3112227613</v>
      </c>
      <c r="F44" s="12" t="s">
        <v>199</v>
      </c>
      <c r="G44" s="7">
        <v>46035</v>
      </c>
      <c r="H44" s="7">
        <v>46387</v>
      </c>
      <c r="I44" s="8" t="s">
        <v>200</v>
      </c>
      <c r="J44" s="6" t="s">
        <v>201</v>
      </c>
      <c r="K44" s="6" t="s">
        <v>115</v>
      </c>
      <c r="L44" s="6" t="s">
        <v>202</v>
      </c>
      <c r="M44" s="6" t="s">
        <v>203</v>
      </c>
      <c r="N44" s="6" t="s">
        <v>17</v>
      </c>
      <c r="O44" s="6" t="s">
        <v>60</v>
      </c>
      <c r="P44" t="s">
        <v>125</v>
      </c>
      <c r="Q44" s="25" t="s">
        <v>2112</v>
      </c>
    </row>
    <row r="45" spans="1:19" ht="14.4" hidden="1" x14ac:dyDescent="0.3">
      <c r="A45" s="5">
        <v>38</v>
      </c>
      <c r="B45" s="17" t="s">
        <v>204</v>
      </c>
      <c r="C45" s="17">
        <v>40046195</v>
      </c>
      <c r="D45" s="6">
        <f>COUNTIFS($C$8:C45,C45)</f>
        <v>1</v>
      </c>
      <c r="E45" s="17">
        <v>3002165953</v>
      </c>
      <c r="F45" s="23" t="s">
        <v>205</v>
      </c>
      <c r="G45" s="18">
        <v>46036</v>
      </c>
      <c r="H45" s="18">
        <v>46217</v>
      </c>
      <c r="I45" s="8" t="s">
        <v>206</v>
      </c>
      <c r="J45" s="17" t="s">
        <v>207</v>
      </c>
      <c r="K45" s="6" t="s">
        <v>143</v>
      </c>
      <c r="L45" s="17" t="s">
        <v>208</v>
      </c>
      <c r="M45" s="17" t="s">
        <v>209</v>
      </c>
      <c r="N45" s="17" t="s">
        <v>17</v>
      </c>
      <c r="O45" s="17" t="s">
        <v>210</v>
      </c>
      <c r="P45" s="19" t="s">
        <v>125</v>
      </c>
      <c r="Q45" s="21" t="s">
        <v>2098</v>
      </c>
      <c r="R45" s="20"/>
      <c r="S45" s="20"/>
    </row>
    <row r="46" spans="1:19" ht="14.4" hidden="1" x14ac:dyDescent="0.3">
      <c r="A46" s="5">
        <v>39</v>
      </c>
      <c r="B46" s="17" t="s">
        <v>211</v>
      </c>
      <c r="C46" s="6">
        <v>41939388</v>
      </c>
      <c r="D46" s="6">
        <f>COUNTIFS($C$8:C46,C46)</f>
        <v>1</v>
      </c>
      <c r="E46" s="6">
        <v>3154453730</v>
      </c>
      <c r="F46" s="12" t="s">
        <v>212</v>
      </c>
      <c r="G46" s="7">
        <v>46031</v>
      </c>
      <c r="H46" s="7">
        <v>46387</v>
      </c>
      <c r="I46" s="8" t="s">
        <v>213</v>
      </c>
      <c r="J46" s="6" t="s">
        <v>201</v>
      </c>
      <c r="K46" s="6" t="s">
        <v>143</v>
      </c>
      <c r="L46" s="6" t="s">
        <v>214</v>
      </c>
      <c r="M46" s="6" t="s">
        <v>215</v>
      </c>
      <c r="N46" s="6" t="s">
        <v>17</v>
      </c>
      <c r="O46" s="6" t="s">
        <v>24</v>
      </c>
      <c r="P46" t="s">
        <v>125</v>
      </c>
      <c r="Q46" s="25" t="s">
        <v>2112</v>
      </c>
    </row>
    <row r="47" spans="1:19" ht="14.4" hidden="1" x14ac:dyDescent="0.3">
      <c r="A47" s="16">
        <v>40</v>
      </c>
      <c r="B47" s="17" t="s">
        <v>216</v>
      </c>
      <c r="C47" s="6">
        <v>52212145</v>
      </c>
      <c r="D47" s="6">
        <f>COUNTIFS($C$8:C47,C47)</f>
        <v>1</v>
      </c>
      <c r="E47" s="6">
        <v>3195138463</v>
      </c>
      <c r="F47" s="12" t="s">
        <v>217</v>
      </c>
      <c r="G47" s="7">
        <v>46038</v>
      </c>
      <c r="H47" s="7">
        <v>46386</v>
      </c>
      <c r="I47" s="8" t="s">
        <v>218</v>
      </c>
      <c r="J47" s="6" t="s">
        <v>201</v>
      </c>
      <c r="K47" s="6" t="s">
        <v>115</v>
      </c>
      <c r="L47" s="6" t="s">
        <v>219</v>
      </c>
      <c r="M47" s="6" t="s">
        <v>220</v>
      </c>
      <c r="N47" s="6" t="s">
        <v>17</v>
      </c>
      <c r="O47" s="6" t="s">
        <v>221</v>
      </c>
      <c r="P47" t="s">
        <v>125</v>
      </c>
      <c r="Q47" s="25" t="s">
        <v>2112</v>
      </c>
    </row>
    <row r="48" spans="1:19" ht="14.4" hidden="1" x14ac:dyDescent="0.3">
      <c r="A48" s="5">
        <v>41</v>
      </c>
      <c r="B48" s="17" t="s">
        <v>222</v>
      </c>
      <c r="C48" s="6">
        <v>1010185998</v>
      </c>
      <c r="D48" s="6">
        <f>COUNTIFS($C$8:C48,C48)</f>
        <v>1</v>
      </c>
      <c r="E48" s="6">
        <v>3208359808</v>
      </c>
      <c r="F48" s="12" t="s">
        <v>223</v>
      </c>
      <c r="G48" s="7">
        <v>46038</v>
      </c>
      <c r="H48" s="7">
        <v>46387</v>
      </c>
      <c r="I48" s="8" t="s">
        <v>224</v>
      </c>
      <c r="J48" s="6" t="s">
        <v>500</v>
      </c>
      <c r="K48" s="6" t="s">
        <v>115</v>
      </c>
      <c r="L48" s="6" t="s">
        <v>225</v>
      </c>
      <c r="M48" s="6" t="s">
        <v>226</v>
      </c>
      <c r="N48" s="6" t="s">
        <v>17</v>
      </c>
      <c r="O48" s="6" t="s">
        <v>60</v>
      </c>
      <c r="P48" t="s">
        <v>125</v>
      </c>
      <c r="Q48" s="25" t="s">
        <v>2112</v>
      </c>
    </row>
    <row r="49" spans="1:19" ht="14.4" hidden="1" x14ac:dyDescent="0.3">
      <c r="A49" s="5">
        <v>42</v>
      </c>
      <c r="B49" s="17" t="s">
        <v>227</v>
      </c>
      <c r="C49" s="17">
        <v>1014191355</v>
      </c>
      <c r="D49" s="6">
        <f>COUNTIFS($C$8:C49,C49)</f>
        <v>1</v>
      </c>
      <c r="E49" s="17">
        <v>3202239548</v>
      </c>
      <c r="F49" s="23" t="s">
        <v>228</v>
      </c>
      <c r="G49" s="18">
        <v>46035</v>
      </c>
      <c r="H49" s="18">
        <v>46247</v>
      </c>
      <c r="I49" s="8" t="s">
        <v>229</v>
      </c>
      <c r="J49" s="6" t="s">
        <v>1843</v>
      </c>
      <c r="K49" s="6" t="s">
        <v>143</v>
      </c>
      <c r="L49" s="17" t="s">
        <v>230</v>
      </c>
      <c r="M49" s="17" t="s">
        <v>231</v>
      </c>
      <c r="N49" s="17" t="s">
        <v>17</v>
      </c>
      <c r="O49" s="17" t="s">
        <v>232</v>
      </c>
      <c r="P49" s="19" t="s">
        <v>125</v>
      </c>
      <c r="Q49" s="22" t="s">
        <v>2098</v>
      </c>
      <c r="R49" s="20"/>
      <c r="S49" s="20"/>
    </row>
    <row r="50" spans="1:19" ht="14.4" hidden="1" x14ac:dyDescent="0.3">
      <c r="A50" s="5">
        <v>43</v>
      </c>
      <c r="B50" s="17" t="s">
        <v>233</v>
      </c>
      <c r="C50" s="6">
        <v>1030524007</v>
      </c>
      <c r="D50" s="6">
        <f>COUNTIFS($C$8:C50,C50)</f>
        <v>1</v>
      </c>
      <c r="E50" s="6">
        <v>3203872487</v>
      </c>
      <c r="F50" s="12" t="s">
        <v>234</v>
      </c>
      <c r="G50" s="7">
        <v>46048</v>
      </c>
      <c r="H50" s="7">
        <v>46387</v>
      </c>
      <c r="I50" s="8" t="s">
        <v>235</v>
      </c>
      <c r="J50" s="17" t="s">
        <v>299</v>
      </c>
      <c r="K50" s="6" t="s">
        <v>106</v>
      </c>
      <c r="L50" s="6" t="s">
        <v>236</v>
      </c>
      <c r="M50" s="6" t="s">
        <v>237</v>
      </c>
      <c r="N50" s="6" t="s">
        <v>17</v>
      </c>
      <c r="O50" s="6" t="s">
        <v>238</v>
      </c>
      <c r="P50" t="s">
        <v>125</v>
      </c>
      <c r="Q50" s="25" t="s">
        <v>2112</v>
      </c>
    </row>
    <row r="51" spans="1:19" ht="14.4" hidden="1" x14ac:dyDescent="0.3">
      <c r="A51" s="16">
        <v>44</v>
      </c>
      <c r="B51" s="17" t="s">
        <v>239</v>
      </c>
      <c r="C51" s="6">
        <v>79773343</v>
      </c>
      <c r="D51" s="6">
        <f>COUNTIFS($C$8:C51,C51)</f>
        <v>1</v>
      </c>
      <c r="E51" s="6">
        <v>3007889782</v>
      </c>
      <c r="F51" s="6" t="s">
        <v>240</v>
      </c>
      <c r="G51" s="7">
        <v>46041</v>
      </c>
      <c r="H51" s="7">
        <v>46387</v>
      </c>
      <c r="I51" s="8" t="s">
        <v>241</v>
      </c>
      <c r="J51" s="6" t="s">
        <v>434</v>
      </c>
      <c r="K51" s="6" t="s">
        <v>115</v>
      </c>
      <c r="L51" s="6" t="s">
        <v>56</v>
      </c>
      <c r="M51" s="6" t="s">
        <v>242</v>
      </c>
      <c r="N51" s="6" t="s">
        <v>17</v>
      </c>
      <c r="O51" s="6" t="s">
        <v>34</v>
      </c>
      <c r="P51" t="s">
        <v>125</v>
      </c>
      <c r="Q51" s="25" t="s">
        <v>2112</v>
      </c>
    </row>
    <row r="52" spans="1:19" ht="14.4" hidden="1" x14ac:dyDescent="0.3">
      <c r="A52" s="5">
        <v>45</v>
      </c>
      <c r="B52" s="17" t="s">
        <v>243</v>
      </c>
      <c r="C52" s="17">
        <v>11185678</v>
      </c>
      <c r="D52" s="6">
        <f>COUNTIFS($C$8:C52,C52)</f>
        <v>1</v>
      </c>
      <c r="E52" s="17">
        <v>3204437547</v>
      </c>
      <c r="F52" s="23" t="s">
        <v>244</v>
      </c>
      <c r="G52" s="18">
        <v>46037</v>
      </c>
      <c r="H52" s="18">
        <v>46387</v>
      </c>
      <c r="I52" s="8" t="s">
        <v>245</v>
      </c>
      <c r="J52" s="6" t="s">
        <v>434</v>
      </c>
      <c r="K52" s="6" t="s">
        <v>115</v>
      </c>
      <c r="L52" s="17" t="s">
        <v>246</v>
      </c>
      <c r="M52" s="17" t="s">
        <v>247</v>
      </c>
      <c r="N52" s="17" t="s">
        <v>17</v>
      </c>
      <c r="O52" s="17" t="s">
        <v>248</v>
      </c>
      <c r="P52" s="19" t="s">
        <v>125</v>
      </c>
      <c r="Q52" s="21" t="s">
        <v>2098</v>
      </c>
      <c r="R52" s="20"/>
      <c r="S52" s="20"/>
    </row>
    <row r="53" spans="1:19" ht="14.4" hidden="1" x14ac:dyDescent="0.3">
      <c r="A53" s="5">
        <v>46</v>
      </c>
      <c r="B53" s="17" t="s">
        <v>249</v>
      </c>
      <c r="C53" s="6">
        <v>5292411</v>
      </c>
      <c r="D53" s="6">
        <f>COUNTIFS($C$8:C53,C53)</f>
        <v>1</v>
      </c>
      <c r="E53" s="6">
        <v>3204777719</v>
      </c>
      <c r="F53" s="6" t="s">
        <v>250</v>
      </c>
      <c r="G53" s="7">
        <v>46036</v>
      </c>
      <c r="H53" s="7">
        <v>46387</v>
      </c>
      <c r="I53" s="8" t="s">
        <v>251</v>
      </c>
      <c r="J53" s="6" t="s">
        <v>201</v>
      </c>
      <c r="K53" s="6" t="s">
        <v>143</v>
      </c>
      <c r="L53" s="6" t="s">
        <v>64</v>
      </c>
      <c r="M53" s="6" t="s">
        <v>252</v>
      </c>
      <c r="N53" s="6" t="s">
        <v>253</v>
      </c>
      <c r="O53" s="6" t="s">
        <v>66</v>
      </c>
      <c r="P53" t="s">
        <v>125</v>
      </c>
      <c r="Q53" s="25" t="s">
        <v>2112</v>
      </c>
    </row>
    <row r="54" spans="1:19" ht="14.4" hidden="1" x14ac:dyDescent="0.3">
      <c r="A54" s="5">
        <v>47</v>
      </c>
      <c r="B54" s="17" t="s">
        <v>254</v>
      </c>
      <c r="C54" s="6">
        <v>1010187540</v>
      </c>
      <c r="D54" s="6">
        <f>COUNTIFS($C$8:C54,C54)</f>
        <v>1</v>
      </c>
      <c r="E54" s="6">
        <v>3118045214</v>
      </c>
      <c r="F54" s="6" t="s">
        <v>20</v>
      </c>
      <c r="G54" s="7" t="s">
        <v>20</v>
      </c>
      <c r="H54" s="7" t="s">
        <v>20</v>
      </c>
      <c r="I54" s="8" t="s">
        <v>255</v>
      </c>
      <c r="J54" s="6" t="s">
        <v>256</v>
      </c>
      <c r="K54" s="6" t="s">
        <v>115</v>
      </c>
      <c r="L54" s="6" t="s">
        <v>257</v>
      </c>
      <c r="M54" s="6" t="s">
        <v>258</v>
      </c>
      <c r="N54" s="6" t="s">
        <v>17</v>
      </c>
      <c r="O54" s="6" t="s">
        <v>259</v>
      </c>
      <c r="P54" t="s">
        <v>119</v>
      </c>
      <c r="Q54" s="25" t="s">
        <v>2112</v>
      </c>
    </row>
    <row r="55" spans="1:19" ht="14.4" hidden="1" x14ac:dyDescent="0.3">
      <c r="A55" s="16">
        <v>48</v>
      </c>
      <c r="B55" s="17" t="s">
        <v>239</v>
      </c>
      <c r="C55" s="6">
        <v>79873343</v>
      </c>
      <c r="D55" s="6">
        <f>COUNTIFS($C$8:C55,C55)</f>
        <v>1</v>
      </c>
      <c r="E55" s="6">
        <v>3007889782</v>
      </c>
      <c r="F55" s="6" t="s">
        <v>240</v>
      </c>
      <c r="G55" s="7">
        <v>46041</v>
      </c>
      <c r="H55" s="7">
        <v>46387</v>
      </c>
      <c r="I55" s="8" t="s">
        <v>260</v>
      </c>
      <c r="J55" s="6" t="s">
        <v>434</v>
      </c>
      <c r="K55" s="6" t="s">
        <v>106</v>
      </c>
      <c r="L55" s="6" t="s">
        <v>175</v>
      </c>
      <c r="M55" s="6" t="s">
        <v>261</v>
      </c>
      <c r="N55" s="6" t="s">
        <v>17</v>
      </c>
      <c r="O55" s="6" t="s">
        <v>60</v>
      </c>
      <c r="P55" t="s">
        <v>125</v>
      </c>
      <c r="Q55" s="25" t="s">
        <v>2112</v>
      </c>
    </row>
    <row r="56" spans="1:19" ht="14.4" hidden="1" x14ac:dyDescent="0.3">
      <c r="A56" s="5">
        <v>49</v>
      </c>
      <c r="B56" s="17" t="s">
        <v>262</v>
      </c>
      <c r="C56" s="6">
        <v>79646925</v>
      </c>
      <c r="D56" s="6">
        <f>COUNTIFS($C$8:C56,C56)</f>
        <v>1</v>
      </c>
      <c r="E56" s="6">
        <v>3005305868</v>
      </c>
      <c r="F56" s="12" t="s">
        <v>263</v>
      </c>
      <c r="G56" s="7">
        <v>46036</v>
      </c>
      <c r="H56" s="7">
        <v>46369</v>
      </c>
      <c r="I56" s="8" t="s">
        <v>264</v>
      </c>
      <c r="J56" s="6" t="s">
        <v>587</v>
      </c>
      <c r="K56" s="6" t="s">
        <v>143</v>
      </c>
      <c r="L56" s="6" t="s">
        <v>202</v>
      </c>
      <c r="M56" s="6" t="s">
        <v>265</v>
      </c>
      <c r="N56" s="6" t="s">
        <v>17</v>
      </c>
      <c r="O56" s="6" t="s">
        <v>266</v>
      </c>
      <c r="P56" t="s">
        <v>125</v>
      </c>
      <c r="Q56" s="25" t="s">
        <v>2112</v>
      </c>
    </row>
    <row r="57" spans="1:19" ht="14.4" hidden="1" x14ac:dyDescent="0.3">
      <c r="A57" s="5">
        <v>50</v>
      </c>
      <c r="B57" s="17" t="s">
        <v>267</v>
      </c>
      <c r="C57" s="6">
        <v>35530221</v>
      </c>
      <c r="D57" s="6">
        <f>COUNTIFS($C$8:C57,C57)</f>
        <v>1</v>
      </c>
      <c r="E57" s="6">
        <v>3172705684</v>
      </c>
      <c r="F57" s="6" t="s">
        <v>268</v>
      </c>
      <c r="G57" s="7">
        <v>46041</v>
      </c>
      <c r="H57" s="7">
        <v>46222</v>
      </c>
      <c r="I57" s="8" t="s">
        <v>269</v>
      </c>
      <c r="J57" s="6" t="s">
        <v>270</v>
      </c>
      <c r="K57" s="6" t="s">
        <v>143</v>
      </c>
      <c r="L57" s="6" t="s">
        <v>271</v>
      </c>
      <c r="M57" s="6" t="s">
        <v>272</v>
      </c>
      <c r="N57" s="6" t="s">
        <v>17</v>
      </c>
      <c r="O57" s="6" t="s">
        <v>177</v>
      </c>
      <c r="P57" t="s">
        <v>125</v>
      </c>
      <c r="Q57" s="25" t="s">
        <v>2112</v>
      </c>
    </row>
    <row r="58" spans="1:19" ht="14.4" hidden="1" x14ac:dyDescent="0.3">
      <c r="A58" s="5">
        <v>51</v>
      </c>
      <c r="B58" s="17" t="s">
        <v>273</v>
      </c>
      <c r="C58" s="6">
        <v>52517697</v>
      </c>
      <c r="D58" s="6">
        <f>COUNTIFS($C$8:C58,C58)</f>
        <v>1</v>
      </c>
      <c r="E58" s="6">
        <v>3104971210</v>
      </c>
      <c r="F58" s="12" t="s">
        <v>274</v>
      </c>
      <c r="G58" s="7">
        <v>46036</v>
      </c>
      <c r="H58" s="7">
        <v>46278</v>
      </c>
      <c r="I58" s="8" t="s">
        <v>275</v>
      </c>
      <c r="J58" s="6" t="s">
        <v>256</v>
      </c>
      <c r="K58" s="6" t="s">
        <v>115</v>
      </c>
      <c r="L58" s="6" t="s">
        <v>276</v>
      </c>
      <c r="M58" s="6" t="s">
        <v>277</v>
      </c>
      <c r="N58" s="6" t="s">
        <v>253</v>
      </c>
      <c r="O58" s="6" t="s">
        <v>44</v>
      </c>
      <c r="P58" t="s">
        <v>125</v>
      </c>
      <c r="Q58" s="25" t="s">
        <v>2112</v>
      </c>
    </row>
    <row r="59" spans="1:19" ht="14.4" hidden="1" x14ac:dyDescent="0.3">
      <c r="A59" s="16">
        <v>52</v>
      </c>
      <c r="B59" s="17" t="s">
        <v>278</v>
      </c>
      <c r="C59" s="6">
        <v>10270105</v>
      </c>
      <c r="D59" s="6">
        <f>COUNTIFS($C$8:C59,C59)</f>
        <v>1</v>
      </c>
      <c r="E59" s="6">
        <v>3002067716</v>
      </c>
      <c r="F59" s="6" t="s">
        <v>20</v>
      </c>
      <c r="G59" s="7" t="s">
        <v>20</v>
      </c>
      <c r="H59" s="7" t="s">
        <v>20</v>
      </c>
      <c r="I59" s="8" t="s">
        <v>279</v>
      </c>
      <c r="J59" s="6" t="s">
        <v>270</v>
      </c>
      <c r="K59" s="6" t="s">
        <v>143</v>
      </c>
      <c r="L59" s="6" t="s">
        <v>280</v>
      </c>
      <c r="M59" s="6" t="s">
        <v>281</v>
      </c>
      <c r="N59" s="6" t="s">
        <v>17</v>
      </c>
      <c r="O59" s="6" t="s">
        <v>66</v>
      </c>
      <c r="P59" t="s">
        <v>119</v>
      </c>
      <c r="Q59" s="25" t="s">
        <v>2112</v>
      </c>
    </row>
    <row r="60" spans="1:19" ht="14.4" hidden="1" x14ac:dyDescent="0.3">
      <c r="A60" s="5">
        <v>53</v>
      </c>
      <c r="B60" s="17" t="s">
        <v>282</v>
      </c>
      <c r="C60" s="6">
        <v>52710323</v>
      </c>
      <c r="D60" s="6">
        <f>COUNTIFS($C$8:C60,C60)</f>
        <v>1</v>
      </c>
      <c r="E60" s="6">
        <v>3133871937</v>
      </c>
      <c r="F60" s="12" t="s">
        <v>283</v>
      </c>
      <c r="G60" s="7">
        <v>46031</v>
      </c>
      <c r="H60" s="7">
        <v>46387</v>
      </c>
      <c r="I60" s="8" t="s">
        <v>284</v>
      </c>
      <c r="J60" s="6" t="s">
        <v>285</v>
      </c>
      <c r="K60" s="6" t="s">
        <v>143</v>
      </c>
      <c r="L60" s="6" t="s">
        <v>22</v>
      </c>
      <c r="M60" s="6" t="s">
        <v>286</v>
      </c>
      <c r="N60" s="6" t="s">
        <v>129</v>
      </c>
      <c r="O60" s="6" t="s">
        <v>166</v>
      </c>
      <c r="P60" t="s">
        <v>125</v>
      </c>
      <c r="Q60" s="25" t="s">
        <v>2112</v>
      </c>
    </row>
    <row r="61" spans="1:19" ht="14.4" hidden="1" x14ac:dyDescent="0.3">
      <c r="A61" s="5">
        <v>54</v>
      </c>
      <c r="B61" s="17" t="s">
        <v>287</v>
      </c>
      <c r="C61" s="6">
        <v>79979675</v>
      </c>
      <c r="D61" s="6">
        <f>COUNTIFS($C$8:C61,C61)</f>
        <v>1</v>
      </c>
      <c r="E61" s="6">
        <v>3004729310</v>
      </c>
      <c r="F61" s="6" t="s">
        <v>20</v>
      </c>
      <c r="G61" s="7" t="s">
        <v>20</v>
      </c>
      <c r="H61" s="7" t="s">
        <v>20</v>
      </c>
      <c r="I61" s="8" t="s">
        <v>288</v>
      </c>
      <c r="J61" s="6" t="s">
        <v>201</v>
      </c>
      <c r="K61" s="6" t="s">
        <v>143</v>
      </c>
      <c r="L61" s="6" t="s">
        <v>289</v>
      </c>
      <c r="M61" s="6" t="s">
        <v>290</v>
      </c>
      <c r="N61" s="6" t="s">
        <v>17</v>
      </c>
      <c r="O61" s="6" t="s">
        <v>66</v>
      </c>
      <c r="P61" t="s">
        <v>119</v>
      </c>
      <c r="Q61" s="25" t="s">
        <v>2112</v>
      </c>
    </row>
    <row r="62" spans="1:19" ht="14.4" hidden="1" x14ac:dyDescent="0.3">
      <c r="A62" s="5">
        <v>55</v>
      </c>
      <c r="B62" s="17" t="s">
        <v>291</v>
      </c>
      <c r="C62" s="6">
        <v>52961000</v>
      </c>
      <c r="D62" s="6">
        <f>COUNTIFS($C$8:C62,C62)</f>
        <v>1</v>
      </c>
      <c r="E62" s="6">
        <v>3223513584</v>
      </c>
      <c r="F62" s="12" t="s">
        <v>292</v>
      </c>
      <c r="G62" s="7">
        <v>46036</v>
      </c>
      <c r="H62" s="7">
        <v>46387</v>
      </c>
      <c r="I62" s="8" t="s">
        <v>293</v>
      </c>
      <c r="J62" s="6" t="s">
        <v>201</v>
      </c>
      <c r="K62" s="6" t="s">
        <v>115</v>
      </c>
      <c r="L62" s="6" t="s">
        <v>294</v>
      </c>
      <c r="M62" s="6" t="s">
        <v>295</v>
      </c>
      <c r="N62" s="6" t="s">
        <v>17</v>
      </c>
      <c r="O62" s="6" t="s">
        <v>60</v>
      </c>
      <c r="P62" t="s">
        <v>125</v>
      </c>
      <c r="Q62" s="25" t="s">
        <v>2112</v>
      </c>
    </row>
    <row r="63" spans="1:19" ht="14.4" hidden="1" x14ac:dyDescent="0.3">
      <c r="A63" s="16">
        <v>56</v>
      </c>
      <c r="B63" s="17" t="s">
        <v>296</v>
      </c>
      <c r="C63" s="6">
        <v>1001192097</v>
      </c>
      <c r="D63" s="6">
        <f>COUNTIFS($C$8:C63,C63)</f>
        <v>1</v>
      </c>
      <c r="E63" s="6">
        <v>3174248900</v>
      </c>
      <c r="F63" s="12" t="s">
        <v>297</v>
      </c>
      <c r="G63" s="7">
        <v>46030</v>
      </c>
      <c r="H63" s="7">
        <v>46211</v>
      </c>
      <c r="I63" s="8" t="s">
        <v>298</v>
      </c>
      <c r="J63" s="17" t="s">
        <v>299</v>
      </c>
      <c r="K63" s="6" t="s">
        <v>115</v>
      </c>
      <c r="L63" s="6" t="s">
        <v>64</v>
      </c>
      <c r="M63" s="6" t="s">
        <v>300</v>
      </c>
      <c r="N63" s="6" t="s">
        <v>253</v>
      </c>
      <c r="O63" s="6" t="s">
        <v>44</v>
      </c>
      <c r="P63" t="s">
        <v>125</v>
      </c>
      <c r="Q63" s="25" t="s">
        <v>2112</v>
      </c>
    </row>
    <row r="64" spans="1:19" ht="14.4" hidden="1" x14ac:dyDescent="0.3">
      <c r="A64" s="5">
        <v>57</v>
      </c>
      <c r="B64" s="17" t="s">
        <v>301</v>
      </c>
      <c r="C64" s="6">
        <v>80084377</v>
      </c>
      <c r="D64" s="6">
        <f>COUNTIFS($C$8:C64,C64)</f>
        <v>1</v>
      </c>
      <c r="E64" s="6">
        <v>3142180093</v>
      </c>
      <c r="F64" s="12" t="s">
        <v>302</v>
      </c>
      <c r="G64" s="7">
        <v>46030</v>
      </c>
      <c r="H64" s="7">
        <v>46387</v>
      </c>
      <c r="I64" s="8" t="s">
        <v>303</v>
      </c>
      <c r="J64" s="6" t="s">
        <v>201</v>
      </c>
      <c r="K64" s="6" t="s">
        <v>115</v>
      </c>
      <c r="L64" s="6" t="s">
        <v>304</v>
      </c>
      <c r="M64" s="6" t="s">
        <v>305</v>
      </c>
      <c r="N64" s="6" t="s">
        <v>129</v>
      </c>
      <c r="O64" s="6" t="s">
        <v>60</v>
      </c>
      <c r="P64" t="s">
        <v>125</v>
      </c>
      <c r="Q64" s="25" t="s">
        <v>2112</v>
      </c>
    </row>
    <row r="65" spans="1:19" ht="14.4" hidden="1" x14ac:dyDescent="0.3">
      <c r="A65" s="5">
        <v>58</v>
      </c>
      <c r="B65" s="17" t="s">
        <v>306</v>
      </c>
      <c r="C65" s="6">
        <v>52057419</v>
      </c>
      <c r="D65" s="6">
        <f>COUNTIFS($C$8:C65,C65)</f>
        <v>1</v>
      </c>
      <c r="E65" s="6">
        <v>3164533485</v>
      </c>
      <c r="F65" s="12" t="s">
        <v>307</v>
      </c>
      <c r="G65" s="7">
        <v>46030</v>
      </c>
      <c r="H65" s="7">
        <v>46387</v>
      </c>
      <c r="I65" s="8" t="s">
        <v>308</v>
      </c>
      <c r="J65" s="17" t="s">
        <v>299</v>
      </c>
      <c r="K65" s="6" t="s">
        <v>143</v>
      </c>
      <c r="L65" s="6" t="s">
        <v>309</v>
      </c>
      <c r="M65" s="6" t="s">
        <v>310</v>
      </c>
      <c r="N65" s="6" t="s">
        <v>253</v>
      </c>
      <c r="O65" s="6" t="s">
        <v>166</v>
      </c>
      <c r="P65" t="s">
        <v>125</v>
      </c>
      <c r="Q65" s="25" t="s">
        <v>2112</v>
      </c>
    </row>
    <row r="66" spans="1:19" ht="14.4" hidden="1" x14ac:dyDescent="0.3">
      <c r="A66" s="5">
        <v>59</v>
      </c>
      <c r="B66" s="17" t="s">
        <v>311</v>
      </c>
      <c r="C66" s="6">
        <v>1010222727</v>
      </c>
      <c r="D66" s="6">
        <f>COUNTIFS($C$8:C66,C66)</f>
        <v>1</v>
      </c>
      <c r="E66" s="6">
        <v>3212732590</v>
      </c>
      <c r="F66" s="12" t="s">
        <v>312</v>
      </c>
      <c r="G66" s="7">
        <v>46031</v>
      </c>
      <c r="H66" s="7">
        <v>46382</v>
      </c>
      <c r="I66" s="8" t="s">
        <v>313</v>
      </c>
      <c r="J66" s="6" t="s">
        <v>1562</v>
      </c>
      <c r="K66" s="6" t="s">
        <v>106</v>
      </c>
      <c r="L66" s="6" t="s">
        <v>314</v>
      </c>
      <c r="M66" s="6" t="s">
        <v>315</v>
      </c>
      <c r="N66" s="6" t="s">
        <v>17</v>
      </c>
      <c r="O66" s="6" t="s">
        <v>316</v>
      </c>
      <c r="P66" t="s">
        <v>125</v>
      </c>
      <c r="Q66" s="25" t="s">
        <v>2112</v>
      </c>
    </row>
    <row r="67" spans="1:19" ht="14.4" hidden="1" x14ac:dyDescent="0.3">
      <c r="A67" s="16">
        <v>60</v>
      </c>
      <c r="B67" s="17" t="s">
        <v>317</v>
      </c>
      <c r="C67" s="17">
        <v>52831248</v>
      </c>
      <c r="D67" s="6">
        <f>COUNTIFS($C$8:C67,C67)</f>
        <v>1</v>
      </c>
      <c r="E67" s="17">
        <v>3044142502</v>
      </c>
      <c r="F67" s="23" t="s">
        <v>318</v>
      </c>
      <c r="G67" s="18">
        <v>46035</v>
      </c>
      <c r="H67" s="18">
        <v>46215</v>
      </c>
      <c r="I67" s="8" t="s">
        <v>319</v>
      </c>
      <c r="J67" s="17" t="s">
        <v>1041</v>
      </c>
      <c r="K67" s="6" t="s">
        <v>115</v>
      </c>
      <c r="L67" s="17" t="s">
        <v>320</v>
      </c>
      <c r="M67" s="17" t="s">
        <v>321</v>
      </c>
      <c r="N67" s="17" t="s">
        <v>17</v>
      </c>
      <c r="O67" s="17" t="s">
        <v>248</v>
      </c>
      <c r="P67" s="19" t="s">
        <v>125</v>
      </c>
      <c r="Q67" s="22" t="s">
        <v>2098</v>
      </c>
      <c r="R67" s="20"/>
      <c r="S67" s="20"/>
    </row>
    <row r="68" spans="1:19" ht="14.4" hidden="1" x14ac:dyDescent="0.3">
      <c r="A68" s="5">
        <v>61</v>
      </c>
      <c r="B68" s="17" t="s">
        <v>322</v>
      </c>
      <c r="C68" s="6">
        <v>52725553</v>
      </c>
      <c r="D68" s="6">
        <f>COUNTIFS($C$8:C68,C68)</f>
        <v>1</v>
      </c>
      <c r="E68" s="6">
        <v>3004771471</v>
      </c>
      <c r="F68" s="12" t="s">
        <v>323</v>
      </c>
      <c r="G68" s="7">
        <v>46030</v>
      </c>
      <c r="H68" s="7">
        <v>46387</v>
      </c>
      <c r="I68" s="8" t="s">
        <v>324</v>
      </c>
      <c r="J68" s="6" t="s">
        <v>325</v>
      </c>
      <c r="K68" s="6" t="s">
        <v>115</v>
      </c>
      <c r="L68" s="6" t="s">
        <v>123</v>
      </c>
      <c r="M68" s="6" t="s">
        <v>326</v>
      </c>
      <c r="N68" s="6" t="s">
        <v>17</v>
      </c>
      <c r="O68" s="6" t="s">
        <v>24</v>
      </c>
      <c r="P68" t="s">
        <v>125</v>
      </c>
      <c r="Q68" s="25" t="s">
        <v>2112</v>
      </c>
    </row>
    <row r="69" spans="1:19" ht="14.4" hidden="1" x14ac:dyDescent="0.3">
      <c r="A69" s="5">
        <v>62</v>
      </c>
      <c r="B69" s="17" t="s">
        <v>327</v>
      </c>
      <c r="C69" s="6">
        <v>71761674</v>
      </c>
      <c r="D69" s="6">
        <f>COUNTIFS($C$8:C69,C69)</f>
        <v>1</v>
      </c>
      <c r="E69" s="6">
        <v>3212042506</v>
      </c>
      <c r="F69" s="6" t="s">
        <v>20</v>
      </c>
      <c r="G69" s="7" t="s">
        <v>20</v>
      </c>
      <c r="H69" s="7" t="s">
        <v>20</v>
      </c>
      <c r="I69" s="8" t="s">
        <v>328</v>
      </c>
      <c r="J69" s="6" t="s">
        <v>1229</v>
      </c>
      <c r="K69" s="6" t="s">
        <v>115</v>
      </c>
      <c r="L69" s="6" t="s">
        <v>276</v>
      </c>
      <c r="M69" s="6" t="s">
        <v>329</v>
      </c>
      <c r="N69" s="6" t="s">
        <v>253</v>
      </c>
      <c r="O69" s="6" t="s">
        <v>330</v>
      </c>
      <c r="P69" t="s">
        <v>119</v>
      </c>
      <c r="Q69" s="25" t="s">
        <v>2112</v>
      </c>
    </row>
    <row r="70" spans="1:19" ht="14.4" hidden="1" x14ac:dyDescent="0.3">
      <c r="A70" s="5">
        <v>63</v>
      </c>
      <c r="B70" s="17" t="s">
        <v>331</v>
      </c>
      <c r="C70" s="17">
        <v>1090334186</v>
      </c>
      <c r="D70" s="6">
        <f>COUNTIFS($C$8:C70,C70)</f>
        <v>1</v>
      </c>
      <c r="E70" s="17">
        <v>3202513080</v>
      </c>
      <c r="F70" s="23" t="s">
        <v>332</v>
      </c>
      <c r="G70" s="18">
        <v>46031</v>
      </c>
      <c r="H70" s="18">
        <v>46211</v>
      </c>
      <c r="I70" s="8" t="s">
        <v>333</v>
      </c>
      <c r="J70" s="17" t="s">
        <v>207</v>
      </c>
      <c r="K70" s="6" t="s">
        <v>115</v>
      </c>
      <c r="L70" s="17" t="s">
        <v>58</v>
      </c>
      <c r="M70" s="17" t="s">
        <v>334</v>
      </c>
      <c r="N70" s="17" t="s">
        <v>17</v>
      </c>
      <c r="O70" s="17" t="s">
        <v>259</v>
      </c>
      <c r="P70" s="19" t="s">
        <v>125</v>
      </c>
      <c r="Q70" s="21" t="s">
        <v>2098</v>
      </c>
      <c r="R70" s="20"/>
      <c r="S70" s="20"/>
    </row>
    <row r="71" spans="1:19" ht="14.4" hidden="1" x14ac:dyDescent="0.3">
      <c r="A71" s="16">
        <v>64</v>
      </c>
      <c r="B71" s="17" t="s">
        <v>335</v>
      </c>
      <c r="C71" s="6">
        <v>79383437</v>
      </c>
      <c r="D71" s="6">
        <f>COUNTIFS($C$8:C71,C71)</f>
        <v>1</v>
      </c>
      <c r="E71" s="6">
        <v>3156440350</v>
      </c>
      <c r="F71" s="6" t="s">
        <v>20</v>
      </c>
      <c r="G71" s="7" t="s">
        <v>20</v>
      </c>
      <c r="H71" s="7" t="s">
        <v>20</v>
      </c>
      <c r="I71" s="8" t="s">
        <v>336</v>
      </c>
      <c r="J71" s="6" t="s">
        <v>325</v>
      </c>
      <c r="K71" s="6" t="s">
        <v>143</v>
      </c>
      <c r="L71" s="6" t="s">
        <v>337</v>
      </c>
      <c r="M71" s="6" t="s">
        <v>338</v>
      </c>
      <c r="N71" s="6" t="s">
        <v>17</v>
      </c>
      <c r="O71" s="6" t="s">
        <v>339</v>
      </c>
      <c r="P71" t="s">
        <v>119</v>
      </c>
      <c r="Q71" s="25" t="s">
        <v>2112</v>
      </c>
    </row>
    <row r="72" spans="1:19" ht="14.4" hidden="1" x14ac:dyDescent="0.3">
      <c r="A72" s="5">
        <v>65</v>
      </c>
      <c r="B72" s="17" t="s">
        <v>340</v>
      </c>
      <c r="C72" s="6">
        <v>1010244782</v>
      </c>
      <c r="D72" s="6">
        <f>COUNTIFS($C$8:C72,C72)</f>
        <v>1</v>
      </c>
      <c r="E72" s="6">
        <v>3196717980</v>
      </c>
      <c r="F72" s="12" t="s">
        <v>341</v>
      </c>
      <c r="G72" s="7">
        <v>46038</v>
      </c>
      <c r="H72" s="7">
        <v>46281</v>
      </c>
      <c r="I72" s="8" t="s">
        <v>342</v>
      </c>
      <c r="J72" s="6" t="s">
        <v>325</v>
      </c>
      <c r="K72" s="6" t="s">
        <v>115</v>
      </c>
      <c r="L72" s="6" t="s">
        <v>343</v>
      </c>
      <c r="M72" s="6" t="s">
        <v>344</v>
      </c>
      <c r="N72" s="6" t="s">
        <v>17</v>
      </c>
      <c r="O72" s="6" t="s">
        <v>18</v>
      </c>
      <c r="P72" t="s">
        <v>125</v>
      </c>
      <c r="Q72" s="25" t="s">
        <v>2112</v>
      </c>
    </row>
    <row r="73" spans="1:19" ht="14.4" hidden="1" x14ac:dyDescent="0.3">
      <c r="A73" s="5">
        <v>66</v>
      </c>
      <c r="B73" s="17" t="s">
        <v>345</v>
      </c>
      <c r="C73" s="6">
        <v>1020767847</v>
      </c>
      <c r="D73" s="6">
        <f>COUNTIFS($C$8:C73,C73)</f>
        <v>1</v>
      </c>
      <c r="E73" s="6">
        <v>3213712008</v>
      </c>
      <c r="F73" s="12" t="s">
        <v>346</v>
      </c>
      <c r="G73" s="7">
        <v>46051</v>
      </c>
      <c r="H73" s="7">
        <v>46387</v>
      </c>
      <c r="I73" s="8" t="s">
        <v>347</v>
      </c>
      <c r="J73" s="6" t="s">
        <v>325</v>
      </c>
      <c r="K73" s="6" t="s">
        <v>143</v>
      </c>
      <c r="L73" s="6" t="s">
        <v>348</v>
      </c>
      <c r="M73" s="6" t="s">
        <v>349</v>
      </c>
      <c r="N73" s="6" t="s">
        <v>253</v>
      </c>
      <c r="O73" s="6" t="s">
        <v>350</v>
      </c>
      <c r="P73" t="s">
        <v>125</v>
      </c>
      <c r="Q73" s="25" t="s">
        <v>2112</v>
      </c>
    </row>
    <row r="74" spans="1:19" ht="14.4" hidden="1" x14ac:dyDescent="0.3">
      <c r="A74" s="5">
        <v>67</v>
      </c>
      <c r="B74" s="17" t="s">
        <v>351</v>
      </c>
      <c r="C74" s="6">
        <v>80850767</v>
      </c>
      <c r="D74" s="6">
        <f>COUNTIFS($C$8:C74,C74)</f>
        <v>1</v>
      </c>
      <c r="E74" s="6">
        <v>3004400752</v>
      </c>
      <c r="F74" s="12" t="s">
        <v>352</v>
      </c>
      <c r="G74" s="7">
        <v>46044</v>
      </c>
      <c r="H74" s="7">
        <v>46372</v>
      </c>
      <c r="I74" s="8" t="s">
        <v>353</v>
      </c>
      <c r="J74" s="6" t="s">
        <v>2109</v>
      </c>
      <c r="K74" s="6" t="s">
        <v>143</v>
      </c>
      <c r="L74" s="6" t="s">
        <v>354</v>
      </c>
      <c r="M74" s="6" t="s">
        <v>355</v>
      </c>
      <c r="N74" s="6" t="s">
        <v>17</v>
      </c>
      <c r="O74" s="6" t="s">
        <v>60</v>
      </c>
      <c r="P74" t="s">
        <v>125</v>
      </c>
      <c r="Q74" s="25" t="s">
        <v>2112</v>
      </c>
    </row>
    <row r="75" spans="1:19" ht="14.4" hidden="1" x14ac:dyDescent="0.3">
      <c r="A75" s="16">
        <v>68</v>
      </c>
      <c r="B75" s="17" t="s">
        <v>356</v>
      </c>
      <c r="C75" s="6">
        <v>15173420</v>
      </c>
      <c r="D75" s="6">
        <f>COUNTIFS($C$8:C75,C75)</f>
        <v>1</v>
      </c>
      <c r="E75" s="6">
        <v>3114785383</v>
      </c>
      <c r="F75" s="12" t="s">
        <v>357</v>
      </c>
      <c r="G75" s="7">
        <v>46048</v>
      </c>
      <c r="H75" s="7">
        <v>46387</v>
      </c>
      <c r="I75" s="8" t="s">
        <v>358</v>
      </c>
      <c r="J75" s="6" t="s">
        <v>325</v>
      </c>
      <c r="K75" s="6" t="s">
        <v>143</v>
      </c>
      <c r="L75" s="6" t="s">
        <v>64</v>
      </c>
      <c r="M75" s="6" t="s">
        <v>359</v>
      </c>
      <c r="N75" s="6" t="s">
        <v>17</v>
      </c>
      <c r="O75" s="6" t="s">
        <v>60</v>
      </c>
      <c r="P75" t="s">
        <v>125</v>
      </c>
      <c r="Q75" s="25" t="s">
        <v>2112</v>
      </c>
    </row>
    <row r="76" spans="1:19" ht="14.4" hidden="1" x14ac:dyDescent="0.3">
      <c r="A76" s="5">
        <v>69</v>
      </c>
      <c r="B76" s="17" t="s">
        <v>360</v>
      </c>
      <c r="C76" s="6">
        <v>52547327</v>
      </c>
      <c r="D76" s="6">
        <f>COUNTIFS($C$8:C76,C76)</f>
        <v>1</v>
      </c>
      <c r="E76" s="6">
        <v>3158496892</v>
      </c>
      <c r="F76" s="12" t="s">
        <v>361</v>
      </c>
      <c r="G76" s="7">
        <v>46037</v>
      </c>
      <c r="H76" s="7">
        <v>46387</v>
      </c>
      <c r="I76" s="8" t="s">
        <v>362</v>
      </c>
      <c r="J76" s="6" t="s">
        <v>325</v>
      </c>
      <c r="K76" s="6" t="s">
        <v>115</v>
      </c>
      <c r="L76" s="6" t="s">
        <v>363</v>
      </c>
      <c r="M76" s="6" t="s">
        <v>364</v>
      </c>
      <c r="N76" s="6" t="s">
        <v>253</v>
      </c>
      <c r="O76" s="6" t="s">
        <v>365</v>
      </c>
      <c r="P76" t="s">
        <v>125</v>
      </c>
      <c r="Q76" s="25" t="s">
        <v>2112</v>
      </c>
    </row>
    <row r="77" spans="1:19" ht="14.4" hidden="1" x14ac:dyDescent="0.3">
      <c r="A77" s="5">
        <v>70</v>
      </c>
      <c r="B77" s="17" t="s">
        <v>366</v>
      </c>
      <c r="C77" s="6">
        <v>52259108</v>
      </c>
      <c r="D77" s="6">
        <f>COUNTIFS($C$8:C77,C77)</f>
        <v>1</v>
      </c>
      <c r="E77" s="6">
        <v>3124472917</v>
      </c>
      <c r="F77" s="12" t="s">
        <v>367</v>
      </c>
      <c r="G77" s="7">
        <v>46041</v>
      </c>
      <c r="H77" s="7">
        <v>46387</v>
      </c>
      <c r="I77" s="8" t="s">
        <v>368</v>
      </c>
      <c r="J77" s="6" t="s">
        <v>325</v>
      </c>
      <c r="K77" s="6" t="s">
        <v>115</v>
      </c>
      <c r="L77" s="6" t="s">
        <v>343</v>
      </c>
      <c r="M77" s="6" t="s">
        <v>369</v>
      </c>
      <c r="N77" s="6" t="s">
        <v>17</v>
      </c>
      <c r="O77" s="6" t="s">
        <v>24</v>
      </c>
      <c r="P77" t="s">
        <v>125</v>
      </c>
      <c r="Q77" s="25" t="s">
        <v>2112</v>
      </c>
    </row>
    <row r="78" spans="1:19" ht="14.4" hidden="1" x14ac:dyDescent="0.3">
      <c r="A78" s="5">
        <v>71</v>
      </c>
      <c r="B78" s="17" t="s">
        <v>370</v>
      </c>
      <c r="C78" s="6">
        <v>1017140531</v>
      </c>
      <c r="D78" s="6">
        <f>COUNTIFS($C$8:C78,C78)</f>
        <v>1</v>
      </c>
      <c r="E78" s="6">
        <v>3006972526</v>
      </c>
      <c r="F78" s="12" t="s">
        <v>371</v>
      </c>
      <c r="G78" s="7">
        <v>46035</v>
      </c>
      <c r="H78" s="7">
        <v>46387</v>
      </c>
      <c r="I78" s="8" t="s">
        <v>372</v>
      </c>
      <c r="J78" s="6" t="s">
        <v>325</v>
      </c>
      <c r="K78" s="6" t="s">
        <v>106</v>
      </c>
      <c r="L78" s="6" t="s">
        <v>132</v>
      </c>
      <c r="M78" s="6" t="s">
        <v>373</v>
      </c>
      <c r="N78" s="6" t="s">
        <v>17</v>
      </c>
      <c r="O78" s="6" t="s">
        <v>374</v>
      </c>
      <c r="P78" t="s">
        <v>125</v>
      </c>
      <c r="Q78" s="25" t="s">
        <v>2112</v>
      </c>
    </row>
    <row r="79" spans="1:19" ht="14.4" hidden="1" x14ac:dyDescent="0.3">
      <c r="A79" s="16">
        <v>72</v>
      </c>
      <c r="B79" s="17" t="s">
        <v>375</v>
      </c>
      <c r="C79" s="6">
        <v>1014230598</v>
      </c>
      <c r="D79" s="6">
        <f>COUNTIFS($C$8:C79,C79)</f>
        <v>1</v>
      </c>
      <c r="E79" s="6">
        <v>3114873933</v>
      </c>
      <c r="F79" s="12" t="s">
        <v>376</v>
      </c>
      <c r="G79" s="7">
        <v>46038</v>
      </c>
      <c r="H79" s="7">
        <v>46387</v>
      </c>
      <c r="I79" s="8" t="s">
        <v>377</v>
      </c>
      <c r="J79" s="6" t="s">
        <v>325</v>
      </c>
      <c r="K79" s="6" t="s">
        <v>143</v>
      </c>
      <c r="L79" s="6" t="s">
        <v>164</v>
      </c>
      <c r="M79" s="6" t="s">
        <v>378</v>
      </c>
      <c r="N79" s="6" t="s">
        <v>17</v>
      </c>
      <c r="O79" s="6" t="s">
        <v>66</v>
      </c>
      <c r="P79" t="s">
        <v>125</v>
      </c>
      <c r="Q79" s="25" t="s">
        <v>2112</v>
      </c>
    </row>
    <row r="80" spans="1:19" ht="14.4" hidden="1" x14ac:dyDescent="0.3">
      <c r="A80" s="5">
        <v>73</v>
      </c>
      <c r="B80" s="17" t="s">
        <v>379</v>
      </c>
      <c r="C80" s="6">
        <v>52985421</v>
      </c>
      <c r="D80" s="6">
        <f>COUNTIFS($C$8:C80,C80)</f>
        <v>1</v>
      </c>
      <c r="E80" s="6">
        <v>3004085894</v>
      </c>
      <c r="F80" s="12" t="s">
        <v>380</v>
      </c>
      <c r="G80" s="7">
        <v>46050</v>
      </c>
      <c r="H80" s="7">
        <v>46387</v>
      </c>
      <c r="I80" s="8" t="s">
        <v>381</v>
      </c>
      <c r="J80" s="6" t="s">
        <v>325</v>
      </c>
      <c r="K80" s="6" t="s">
        <v>80</v>
      </c>
      <c r="L80" s="6" t="s">
        <v>382</v>
      </c>
      <c r="M80" s="6" t="s">
        <v>20</v>
      </c>
      <c r="N80" s="6" t="s">
        <v>129</v>
      </c>
      <c r="O80" s="6" t="s">
        <v>383</v>
      </c>
      <c r="P80" t="s">
        <v>125</v>
      </c>
      <c r="Q80" s="25" t="s">
        <v>2112</v>
      </c>
    </row>
    <row r="81" spans="1:19" ht="14.4" hidden="1" x14ac:dyDescent="0.3">
      <c r="A81" s="5">
        <v>74</v>
      </c>
      <c r="B81" s="17" t="s">
        <v>384</v>
      </c>
      <c r="C81" s="6">
        <v>52825005</v>
      </c>
      <c r="D81" s="6">
        <f>COUNTIFS($C$8:C81,C81)</f>
        <v>1</v>
      </c>
      <c r="E81" s="6">
        <v>3103237333</v>
      </c>
      <c r="F81" s="12" t="s">
        <v>385</v>
      </c>
      <c r="G81" s="7">
        <v>46048</v>
      </c>
      <c r="H81" s="7">
        <v>46387</v>
      </c>
      <c r="I81" s="8" t="s">
        <v>386</v>
      </c>
      <c r="J81" s="6" t="s">
        <v>325</v>
      </c>
      <c r="K81" s="6" t="s">
        <v>143</v>
      </c>
      <c r="L81" s="6" t="s">
        <v>387</v>
      </c>
      <c r="M81" s="6" t="s">
        <v>388</v>
      </c>
      <c r="N81" s="6" t="s">
        <v>17</v>
      </c>
      <c r="O81" s="6" t="s">
        <v>389</v>
      </c>
      <c r="P81" t="s">
        <v>125</v>
      </c>
      <c r="Q81" s="25" t="s">
        <v>2112</v>
      </c>
    </row>
    <row r="82" spans="1:19" ht="14.4" hidden="1" x14ac:dyDescent="0.3">
      <c r="A82" s="5">
        <v>75</v>
      </c>
      <c r="B82" s="17" t="s">
        <v>390</v>
      </c>
      <c r="C82" s="6">
        <v>52387578</v>
      </c>
      <c r="D82" s="6">
        <f>COUNTIFS($C$8:C82,C82)</f>
        <v>1</v>
      </c>
      <c r="E82" s="6">
        <v>3208638990</v>
      </c>
      <c r="F82" s="12" t="s">
        <v>391</v>
      </c>
      <c r="G82" s="7">
        <v>46035</v>
      </c>
      <c r="H82" s="7">
        <v>46387</v>
      </c>
      <c r="I82" s="8" t="s">
        <v>392</v>
      </c>
      <c r="J82" s="6" t="s">
        <v>325</v>
      </c>
      <c r="K82" s="6" t="s">
        <v>115</v>
      </c>
      <c r="L82" s="6" t="s">
        <v>393</v>
      </c>
      <c r="M82" s="6" t="s">
        <v>394</v>
      </c>
      <c r="N82" s="6" t="s">
        <v>17</v>
      </c>
      <c r="O82" s="6" t="s">
        <v>18</v>
      </c>
      <c r="P82" t="s">
        <v>125</v>
      </c>
      <c r="Q82" s="25" t="s">
        <v>2112</v>
      </c>
    </row>
    <row r="83" spans="1:19" ht="14.4" hidden="1" x14ac:dyDescent="0.3">
      <c r="A83" s="16">
        <v>76</v>
      </c>
      <c r="B83" s="17" t="s">
        <v>395</v>
      </c>
      <c r="C83" s="6">
        <v>80136470</v>
      </c>
      <c r="D83" s="6">
        <f>COUNTIFS($C$8:C83,C83)</f>
        <v>1</v>
      </c>
      <c r="E83" s="6">
        <v>3008532732</v>
      </c>
      <c r="F83" s="12" t="s">
        <v>396</v>
      </c>
      <c r="G83" s="7">
        <v>46041</v>
      </c>
      <c r="H83" s="7">
        <v>46387</v>
      </c>
      <c r="I83" s="8" t="s">
        <v>397</v>
      </c>
      <c r="J83" s="6" t="s">
        <v>500</v>
      </c>
      <c r="K83" s="6" t="s">
        <v>115</v>
      </c>
      <c r="L83" s="6" t="s">
        <v>398</v>
      </c>
      <c r="M83" s="6" t="s">
        <v>399</v>
      </c>
      <c r="N83" s="6" t="s">
        <v>17</v>
      </c>
      <c r="O83" s="6" t="s">
        <v>60</v>
      </c>
      <c r="P83" t="s">
        <v>125</v>
      </c>
      <c r="Q83" s="25" t="s">
        <v>2112</v>
      </c>
    </row>
    <row r="84" spans="1:19" ht="14.4" hidden="1" x14ac:dyDescent="0.3">
      <c r="A84" s="5">
        <v>77</v>
      </c>
      <c r="B84" s="17" t="s">
        <v>400</v>
      </c>
      <c r="C84" s="6">
        <v>1032433866</v>
      </c>
      <c r="D84" s="6">
        <f>COUNTIFS($C$8:C84,C84)</f>
        <v>1</v>
      </c>
      <c r="E84" s="6">
        <v>3118221968</v>
      </c>
      <c r="F84" s="12" t="s">
        <v>401</v>
      </c>
      <c r="G84" s="7">
        <v>46035</v>
      </c>
      <c r="H84" s="7">
        <v>46387</v>
      </c>
      <c r="I84" s="8" t="s">
        <v>402</v>
      </c>
      <c r="J84" s="17" t="s">
        <v>1667</v>
      </c>
      <c r="K84" s="6" t="s">
        <v>106</v>
      </c>
      <c r="L84" s="6" t="s">
        <v>403</v>
      </c>
      <c r="M84" s="6" t="s">
        <v>404</v>
      </c>
      <c r="N84" s="6" t="s">
        <v>17</v>
      </c>
      <c r="O84" s="6" t="s">
        <v>38</v>
      </c>
      <c r="P84" t="s">
        <v>125</v>
      </c>
      <c r="Q84" s="25" t="s">
        <v>2112</v>
      </c>
    </row>
    <row r="85" spans="1:19" ht="14.4" hidden="1" x14ac:dyDescent="0.3">
      <c r="A85" s="5">
        <v>78</v>
      </c>
      <c r="B85" s="17" t="s">
        <v>405</v>
      </c>
      <c r="C85" s="6">
        <v>1014255328</v>
      </c>
      <c r="D85" s="6">
        <f>COUNTIFS($C$8:C85,C85)</f>
        <v>1</v>
      </c>
      <c r="E85" s="6">
        <v>3013244204</v>
      </c>
      <c r="F85" s="12" t="s">
        <v>406</v>
      </c>
      <c r="G85" s="7">
        <v>46035</v>
      </c>
      <c r="H85" s="7">
        <v>46370</v>
      </c>
      <c r="I85" s="8" t="s">
        <v>407</v>
      </c>
      <c r="J85" s="6" t="s">
        <v>2111</v>
      </c>
      <c r="K85" s="6" t="s">
        <v>155</v>
      </c>
      <c r="L85" s="6" t="s">
        <v>408</v>
      </c>
      <c r="M85" s="6" t="s">
        <v>409</v>
      </c>
      <c r="N85" s="6" t="s">
        <v>17</v>
      </c>
      <c r="O85" s="6" t="s">
        <v>18</v>
      </c>
      <c r="P85" t="s">
        <v>125</v>
      </c>
      <c r="Q85" s="25" t="s">
        <v>2112</v>
      </c>
    </row>
    <row r="86" spans="1:19" ht="14.4" hidden="1" x14ac:dyDescent="0.3">
      <c r="A86" s="5">
        <v>79</v>
      </c>
      <c r="B86" s="17" t="s">
        <v>410</v>
      </c>
      <c r="C86" s="17">
        <v>1106892760</v>
      </c>
      <c r="D86" s="6">
        <f>COUNTIFS($C$8:C86,C86)</f>
        <v>1</v>
      </c>
      <c r="E86" s="17">
        <v>3015168315</v>
      </c>
      <c r="F86" s="23" t="s">
        <v>411</v>
      </c>
      <c r="G86" s="18">
        <v>46031</v>
      </c>
      <c r="H86" s="18">
        <v>46387</v>
      </c>
      <c r="I86" s="8" t="s">
        <v>412</v>
      </c>
      <c r="J86" s="17" t="s">
        <v>1667</v>
      </c>
      <c r="K86" s="6" t="s">
        <v>115</v>
      </c>
      <c r="L86" s="17" t="s">
        <v>363</v>
      </c>
      <c r="M86" s="17" t="s">
        <v>413</v>
      </c>
      <c r="N86" s="17" t="s">
        <v>17</v>
      </c>
      <c r="O86" s="17" t="s">
        <v>60</v>
      </c>
      <c r="P86" s="19" t="s">
        <v>125</v>
      </c>
      <c r="Q86" s="21" t="s">
        <v>2098</v>
      </c>
      <c r="R86" s="20"/>
      <c r="S86" s="20"/>
    </row>
    <row r="87" spans="1:19" ht="14.4" hidden="1" x14ac:dyDescent="0.3">
      <c r="A87" s="16">
        <v>80</v>
      </c>
      <c r="B87" s="17" t="s">
        <v>414</v>
      </c>
      <c r="C87" s="6">
        <v>91238271</v>
      </c>
      <c r="D87" s="6">
        <f>COUNTIFS($C$8:C87,C87)</f>
        <v>1</v>
      </c>
      <c r="E87" s="6">
        <v>3002000265</v>
      </c>
      <c r="F87" s="12" t="s">
        <v>415</v>
      </c>
      <c r="G87" s="7">
        <v>46031</v>
      </c>
      <c r="H87" s="7">
        <v>46387</v>
      </c>
      <c r="I87" s="8" t="s">
        <v>416</v>
      </c>
      <c r="J87" s="17" t="s">
        <v>1667</v>
      </c>
      <c r="K87" s="6" t="s">
        <v>143</v>
      </c>
      <c r="L87" s="6" t="s">
        <v>75</v>
      </c>
      <c r="M87" s="6" t="s">
        <v>417</v>
      </c>
      <c r="N87" s="6" t="s">
        <v>253</v>
      </c>
      <c r="O87" s="6" t="s">
        <v>134</v>
      </c>
      <c r="P87" t="s">
        <v>125</v>
      </c>
      <c r="Q87" s="25" t="s">
        <v>2112</v>
      </c>
    </row>
    <row r="88" spans="1:19" ht="14.4" hidden="1" x14ac:dyDescent="0.3">
      <c r="A88" s="5">
        <v>81</v>
      </c>
      <c r="B88" s="17" t="s">
        <v>418</v>
      </c>
      <c r="C88" s="6">
        <v>79466477</v>
      </c>
      <c r="D88" s="6">
        <f>COUNTIFS($C$8:C88,C88)</f>
        <v>1</v>
      </c>
      <c r="E88" s="6">
        <v>3192525405</v>
      </c>
      <c r="F88" s="12" t="s">
        <v>419</v>
      </c>
      <c r="G88" s="7">
        <v>46048</v>
      </c>
      <c r="H88" s="7">
        <v>46290</v>
      </c>
      <c r="I88" s="8" t="s">
        <v>420</v>
      </c>
      <c r="J88" s="6" t="s">
        <v>325</v>
      </c>
      <c r="K88" s="6" t="s">
        <v>80</v>
      </c>
      <c r="L88" s="6" t="s">
        <v>421</v>
      </c>
      <c r="M88" s="6" t="s">
        <v>422</v>
      </c>
      <c r="N88" s="6" t="s">
        <v>129</v>
      </c>
      <c r="O88" s="6" t="s">
        <v>60</v>
      </c>
      <c r="P88" t="s">
        <v>125</v>
      </c>
      <c r="Q88" s="25" t="s">
        <v>2112</v>
      </c>
    </row>
    <row r="89" spans="1:19" ht="14.4" hidden="1" x14ac:dyDescent="0.3">
      <c r="A89" s="5">
        <v>82</v>
      </c>
      <c r="B89" s="17" t="s">
        <v>423</v>
      </c>
      <c r="C89" s="6">
        <v>39755949</v>
      </c>
      <c r="D89" s="6">
        <f>COUNTIFS($C$8:C89,C89)</f>
        <v>1</v>
      </c>
      <c r="E89" s="6">
        <v>3224017010</v>
      </c>
      <c r="F89" s="12" t="s">
        <v>424</v>
      </c>
      <c r="G89" s="7">
        <v>46031</v>
      </c>
      <c r="H89" s="7">
        <v>46364</v>
      </c>
      <c r="I89" s="8" t="s">
        <v>425</v>
      </c>
      <c r="J89" s="6" t="s">
        <v>1905</v>
      </c>
      <c r="K89" s="6" t="s">
        <v>143</v>
      </c>
      <c r="L89" s="6" t="s">
        <v>304</v>
      </c>
      <c r="M89" s="6" t="s">
        <v>426</v>
      </c>
      <c r="N89" s="6" t="s">
        <v>17</v>
      </c>
      <c r="O89" s="6" t="s">
        <v>427</v>
      </c>
      <c r="P89" t="s">
        <v>125</v>
      </c>
      <c r="Q89" s="25" t="s">
        <v>2112</v>
      </c>
    </row>
    <row r="90" spans="1:19" ht="14.4" hidden="1" x14ac:dyDescent="0.3">
      <c r="A90" s="5">
        <v>83</v>
      </c>
      <c r="B90" s="17" t="s">
        <v>428</v>
      </c>
      <c r="C90" s="6">
        <v>1010222069</v>
      </c>
      <c r="D90" s="6">
        <f>COUNTIFS($C$8:C90,C90)</f>
        <v>2</v>
      </c>
      <c r="E90" s="6">
        <v>3106664184</v>
      </c>
      <c r="F90" s="12" t="s">
        <v>88</v>
      </c>
      <c r="G90" s="7">
        <v>46013</v>
      </c>
      <c r="H90" s="7">
        <v>46255</v>
      </c>
      <c r="I90" s="8" t="s">
        <v>89</v>
      </c>
      <c r="J90" s="6" t="s">
        <v>1905</v>
      </c>
      <c r="K90" s="6" t="s">
        <v>106</v>
      </c>
      <c r="L90" s="6" t="s">
        <v>429</v>
      </c>
      <c r="M90" s="6" t="s">
        <v>20</v>
      </c>
      <c r="N90" s="6" t="s">
        <v>129</v>
      </c>
      <c r="O90" s="6" t="s">
        <v>430</v>
      </c>
      <c r="P90" t="s">
        <v>125</v>
      </c>
      <c r="Q90" s="25" t="s">
        <v>2112</v>
      </c>
    </row>
    <row r="91" spans="1:19" ht="14.4" hidden="1" x14ac:dyDescent="0.3">
      <c r="A91" s="16">
        <v>84</v>
      </c>
      <c r="B91" s="17" t="s">
        <v>431</v>
      </c>
      <c r="C91" s="6">
        <v>11350393</v>
      </c>
      <c r="D91" s="6">
        <f>COUNTIFS($C$8:C91,C91)</f>
        <v>1</v>
      </c>
      <c r="E91" s="6">
        <v>3046650488</v>
      </c>
      <c r="F91" s="12" t="s">
        <v>432</v>
      </c>
      <c r="G91" s="7">
        <v>46031</v>
      </c>
      <c r="H91" s="7">
        <v>46387</v>
      </c>
      <c r="I91" s="8" t="s">
        <v>433</v>
      </c>
      <c r="J91" s="6" t="s">
        <v>434</v>
      </c>
      <c r="K91" s="6" t="s">
        <v>115</v>
      </c>
      <c r="L91" s="6" t="s">
        <v>393</v>
      </c>
      <c r="M91" s="6" t="s">
        <v>435</v>
      </c>
      <c r="N91" s="6" t="s">
        <v>17</v>
      </c>
      <c r="O91" s="6" t="s">
        <v>44</v>
      </c>
      <c r="P91" t="s">
        <v>125</v>
      </c>
      <c r="Q91" s="25" t="s">
        <v>2112</v>
      </c>
    </row>
    <row r="92" spans="1:19" ht="14.4" hidden="1" x14ac:dyDescent="0.3">
      <c r="A92" s="5">
        <v>85</v>
      </c>
      <c r="B92" s="17" t="s">
        <v>436</v>
      </c>
      <c r="C92" s="17">
        <v>81715332</v>
      </c>
      <c r="D92" s="6">
        <f>COUNTIFS($C$8:C92,C92)</f>
        <v>1</v>
      </c>
      <c r="E92" s="17">
        <v>3014996335</v>
      </c>
      <c r="F92" s="23" t="s">
        <v>437</v>
      </c>
      <c r="G92" s="18">
        <v>46029</v>
      </c>
      <c r="H92" s="18">
        <v>46332</v>
      </c>
      <c r="I92" s="8" t="s">
        <v>438</v>
      </c>
      <c r="J92" s="6" t="s">
        <v>1905</v>
      </c>
      <c r="K92" s="6" t="s">
        <v>143</v>
      </c>
      <c r="L92" s="17" t="s">
        <v>439</v>
      </c>
      <c r="M92" s="17" t="s">
        <v>440</v>
      </c>
      <c r="N92" s="17" t="s">
        <v>17</v>
      </c>
      <c r="O92" s="17" t="s">
        <v>18</v>
      </c>
      <c r="P92" s="19" t="s">
        <v>125</v>
      </c>
      <c r="Q92" s="22" t="s">
        <v>2098</v>
      </c>
      <c r="R92" s="20"/>
      <c r="S92" s="20"/>
    </row>
    <row r="93" spans="1:19" ht="14.4" hidden="1" x14ac:dyDescent="0.3">
      <c r="A93" s="5">
        <v>86</v>
      </c>
      <c r="B93" s="17" t="s">
        <v>441</v>
      </c>
      <c r="C93" s="6">
        <v>4579016</v>
      </c>
      <c r="D93" s="6">
        <f>COUNTIFS($C$8:C93,C93)</f>
        <v>1</v>
      </c>
      <c r="E93" s="6">
        <v>3169705853</v>
      </c>
      <c r="F93" s="6" t="s">
        <v>20</v>
      </c>
      <c r="G93" s="7" t="s">
        <v>20</v>
      </c>
      <c r="H93" s="7" t="s">
        <v>20</v>
      </c>
      <c r="I93" s="8" t="s">
        <v>442</v>
      </c>
      <c r="J93" s="6" t="s">
        <v>270</v>
      </c>
      <c r="K93" s="6" t="s">
        <v>143</v>
      </c>
      <c r="L93" s="6" t="s">
        <v>443</v>
      </c>
      <c r="M93" s="6" t="s">
        <v>444</v>
      </c>
      <c r="N93" s="6" t="s">
        <v>17</v>
      </c>
      <c r="O93" s="6" t="s">
        <v>60</v>
      </c>
      <c r="P93" t="s">
        <v>119</v>
      </c>
      <c r="Q93" s="25" t="s">
        <v>2112</v>
      </c>
    </row>
    <row r="94" spans="1:19" ht="14.4" hidden="1" x14ac:dyDescent="0.3">
      <c r="A94" s="5">
        <v>87</v>
      </c>
      <c r="B94" s="17" t="s">
        <v>445</v>
      </c>
      <c r="C94" s="6">
        <v>52820550</v>
      </c>
      <c r="D94" s="6">
        <f>COUNTIFS($C$8:C94,C94)</f>
        <v>1</v>
      </c>
      <c r="E94" s="6">
        <v>3005554875</v>
      </c>
      <c r="F94" s="6" t="s">
        <v>20</v>
      </c>
      <c r="G94" s="7" t="s">
        <v>20</v>
      </c>
      <c r="H94" s="7" t="s">
        <v>20</v>
      </c>
      <c r="I94" s="8" t="s">
        <v>446</v>
      </c>
      <c r="J94" s="6" t="s">
        <v>434</v>
      </c>
      <c r="K94" s="6" t="s">
        <v>143</v>
      </c>
      <c r="L94" s="6" t="s">
        <v>447</v>
      </c>
      <c r="M94" s="6" t="s">
        <v>448</v>
      </c>
      <c r="N94" s="6" t="s">
        <v>17</v>
      </c>
      <c r="O94" s="6" t="s">
        <v>259</v>
      </c>
      <c r="P94" t="s">
        <v>119</v>
      </c>
      <c r="Q94" s="25" t="s">
        <v>2112</v>
      </c>
    </row>
    <row r="95" spans="1:19" ht="14.4" hidden="1" x14ac:dyDescent="0.3">
      <c r="A95" s="16">
        <v>88</v>
      </c>
      <c r="B95" s="17" t="s">
        <v>449</v>
      </c>
      <c r="C95" s="6">
        <v>1026263191</v>
      </c>
      <c r="D95" s="6">
        <f>COUNTIFS($C$8:C95,C95)</f>
        <v>1</v>
      </c>
      <c r="E95" s="6">
        <v>3185570652</v>
      </c>
      <c r="F95" s="12" t="s">
        <v>450</v>
      </c>
      <c r="G95" s="7">
        <v>46048</v>
      </c>
      <c r="H95" s="7">
        <v>46353</v>
      </c>
      <c r="I95" s="8" t="s">
        <v>451</v>
      </c>
      <c r="J95" s="6" t="s">
        <v>270</v>
      </c>
      <c r="K95" s="6" t="s">
        <v>115</v>
      </c>
      <c r="L95" s="6" t="s">
        <v>452</v>
      </c>
      <c r="M95" s="6" t="s">
        <v>453</v>
      </c>
      <c r="N95" s="6" t="s">
        <v>17</v>
      </c>
      <c r="O95" s="6" t="s">
        <v>146</v>
      </c>
      <c r="P95" t="s">
        <v>125</v>
      </c>
      <c r="Q95" s="25" t="s">
        <v>2112</v>
      </c>
    </row>
    <row r="96" spans="1:19" ht="14.4" hidden="1" x14ac:dyDescent="0.3">
      <c r="A96" s="5">
        <v>89</v>
      </c>
      <c r="B96" s="17" t="s">
        <v>454</v>
      </c>
      <c r="C96" s="17">
        <v>49606615</v>
      </c>
      <c r="D96" s="6">
        <f>COUNTIFS($C$8:C96,C96)</f>
        <v>1</v>
      </c>
      <c r="E96" s="17">
        <v>3017008600</v>
      </c>
      <c r="F96" s="23" t="s">
        <v>455</v>
      </c>
      <c r="G96" s="18">
        <v>46044</v>
      </c>
      <c r="H96" s="18">
        <v>46225</v>
      </c>
      <c r="I96" s="8" t="s">
        <v>456</v>
      </c>
      <c r="J96" s="6" t="s">
        <v>270</v>
      </c>
      <c r="K96" s="6" t="s">
        <v>143</v>
      </c>
      <c r="L96" s="17" t="s">
        <v>64</v>
      </c>
      <c r="M96" s="17" t="s">
        <v>457</v>
      </c>
      <c r="N96" s="17" t="s">
        <v>17</v>
      </c>
      <c r="O96" s="17" t="s">
        <v>66</v>
      </c>
      <c r="P96" s="19" t="s">
        <v>125</v>
      </c>
      <c r="Q96" s="21" t="s">
        <v>2098</v>
      </c>
      <c r="R96" s="20"/>
      <c r="S96" s="20"/>
    </row>
    <row r="97" spans="1:19" ht="14.4" hidden="1" x14ac:dyDescent="0.3">
      <c r="A97" s="5">
        <v>90</v>
      </c>
      <c r="B97" s="17" t="s">
        <v>458</v>
      </c>
      <c r="C97" s="17">
        <v>1032405392</v>
      </c>
      <c r="D97" s="6">
        <f>COUNTIFS($C$8:C97,C97)</f>
        <v>1</v>
      </c>
      <c r="E97" s="17">
        <v>3507072865</v>
      </c>
      <c r="F97" s="23" t="s">
        <v>459</v>
      </c>
      <c r="G97" s="18">
        <v>46045</v>
      </c>
      <c r="H97" s="18">
        <v>46225</v>
      </c>
      <c r="I97" s="8" t="s">
        <v>460</v>
      </c>
      <c r="J97" s="6" t="s">
        <v>270</v>
      </c>
      <c r="K97" s="6" t="s">
        <v>115</v>
      </c>
      <c r="L97" s="17" t="s">
        <v>461</v>
      </c>
      <c r="M97" s="17" t="s">
        <v>462</v>
      </c>
      <c r="N97" s="17" t="s">
        <v>17</v>
      </c>
      <c r="O97" s="17" t="s">
        <v>24</v>
      </c>
      <c r="P97" s="19" t="s">
        <v>125</v>
      </c>
      <c r="Q97" s="21" t="s">
        <v>2098</v>
      </c>
      <c r="R97" s="20"/>
      <c r="S97" s="20"/>
    </row>
    <row r="98" spans="1:19" ht="14.4" hidden="1" x14ac:dyDescent="0.3">
      <c r="A98" s="5">
        <v>91</v>
      </c>
      <c r="B98" s="17" t="s">
        <v>463</v>
      </c>
      <c r="C98" s="6">
        <v>79620120</v>
      </c>
      <c r="D98" s="6">
        <f>COUNTIFS($C$8:C98,C98)</f>
        <v>1</v>
      </c>
      <c r="E98" s="6">
        <v>3153572466</v>
      </c>
      <c r="F98" s="12" t="s">
        <v>464</v>
      </c>
      <c r="G98" s="7">
        <v>46036</v>
      </c>
      <c r="H98" s="7">
        <v>46387</v>
      </c>
      <c r="I98" s="8" t="s">
        <v>465</v>
      </c>
      <c r="J98" s="6" t="s">
        <v>2110</v>
      </c>
      <c r="K98" s="6" t="s">
        <v>143</v>
      </c>
      <c r="L98" s="6" t="s">
        <v>58</v>
      </c>
      <c r="M98" s="6" t="s">
        <v>466</v>
      </c>
      <c r="N98" s="6" t="s">
        <v>17</v>
      </c>
      <c r="O98" s="6" t="s">
        <v>467</v>
      </c>
      <c r="P98" t="s">
        <v>125</v>
      </c>
      <c r="Q98" s="25" t="s">
        <v>2112</v>
      </c>
    </row>
    <row r="99" spans="1:19" ht="14.4" hidden="1" x14ac:dyDescent="0.3">
      <c r="A99" s="16">
        <v>92</v>
      </c>
      <c r="B99" s="17" t="s">
        <v>468</v>
      </c>
      <c r="C99" s="6">
        <v>53066202</v>
      </c>
      <c r="D99" s="6">
        <f>COUNTIFS($C$8:C99,C99)</f>
        <v>1</v>
      </c>
      <c r="E99" s="6">
        <v>3002619924</v>
      </c>
      <c r="F99" s="12" t="s">
        <v>469</v>
      </c>
      <c r="G99" s="7">
        <v>46041</v>
      </c>
      <c r="H99" s="7">
        <v>46387</v>
      </c>
      <c r="I99" s="8" t="s">
        <v>470</v>
      </c>
      <c r="J99" s="6" t="s">
        <v>500</v>
      </c>
      <c r="K99" s="6" t="s">
        <v>115</v>
      </c>
      <c r="L99" s="6" t="s">
        <v>471</v>
      </c>
      <c r="M99" s="6" t="s">
        <v>472</v>
      </c>
      <c r="N99" s="6" t="s">
        <v>17</v>
      </c>
      <c r="O99" s="6" t="s">
        <v>44</v>
      </c>
      <c r="P99" t="s">
        <v>125</v>
      </c>
      <c r="Q99" s="25" t="s">
        <v>2112</v>
      </c>
    </row>
    <row r="100" spans="1:19" ht="14.4" hidden="1" x14ac:dyDescent="0.3">
      <c r="A100" s="5">
        <v>93</v>
      </c>
      <c r="B100" s="17" t="s">
        <v>473</v>
      </c>
      <c r="C100" s="6">
        <v>79754530</v>
      </c>
      <c r="D100" s="6">
        <f>COUNTIFS($C$8:C100,C100)</f>
        <v>1</v>
      </c>
      <c r="E100" s="6">
        <v>3162263936</v>
      </c>
      <c r="F100" s="12" t="s">
        <v>474</v>
      </c>
      <c r="G100" s="7">
        <v>46037</v>
      </c>
      <c r="H100" s="7">
        <v>46369</v>
      </c>
      <c r="I100" s="8" t="s">
        <v>475</v>
      </c>
      <c r="J100" s="17" t="s">
        <v>207</v>
      </c>
      <c r="K100" s="6" t="s">
        <v>143</v>
      </c>
      <c r="L100" s="6" t="s">
        <v>476</v>
      </c>
      <c r="M100" s="6" t="s">
        <v>477</v>
      </c>
      <c r="N100" s="6" t="s">
        <v>253</v>
      </c>
      <c r="O100" s="6" t="s">
        <v>66</v>
      </c>
      <c r="P100" t="s">
        <v>125</v>
      </c>
      <c r="Q100" s="25" t="s">
        <v>2112</v>
      </c>
    </row>
    <row r="101" spans="1:19" ht="14.4" hidden="1" x14ac:dyDescent="0.3">
      <c r="A101" s="5">
        <v>94</v>
      </c>
      <c r="B101" s="17" t="s">
        <v>478</v>
      </c>
      <c r="C101" s="6">
        <v>53075545</v>
      </c>
      <c r="D101" s="6">
        <f>COUNTIFS($C$8:C101,C101)</f>
        <v>1</v>
      </c>
      <c r="E101" s="6">
        <v>3013397612</v>
      </c>
      <c r="F101" s="12" t="s">
        <v>479</v>
      </c>
      <c r="G101" s="7">
        <v>46041</v>
      </c>
      <c r="H101" s="7">
        <v>46387</v>
      </c>
      <c r="I101" s="8" t="s">
        <v>480</v>
      </c>
      <c r="J101" s="6" t="s">
        <v>500</v>
      </c>
      <c r="K101" s="6" t="s">
        <v>143</v>
      </c>
      <c r="L101" s="6" t="s">
        <v>363</v>
      </c>
      <c r="M101" s="6" t="s">
        <v>481</v>
      </c>
      <c r="N101" s="6" t="s">
        <v>253</v>
      </c>
      <c r="O101" s="6" t="s">
        <v>146</v>
      </c>
      <c r="P101" t="s">
        <v>125</v>
      </c>
      <c r="Q101" s="25" t="s">
        <v>2112</v>
      </c>
    </row>
    <row r="102" spans="1:19" ht="14.4" hidden="1" x14ac:dyDescent="0.3">
      <c r="A102" s="5">
        <v>95</v>
      </c>
      <c r="B102" s="17" t="s">
        <v>482</v>
      </c>
      <c r="C102" s="6">
        <v>1026279388</v>
      </c>
      <c r="D102" s="6">
        <f>COUNTIFS($C$8:C102,C102)</f>
        <v>1</v>
      </c>
      <c r="E102" s="6">
        <v>3012286118</v>
      </c>
      <c r="F102" s="12" t="s">
        <v>483</v>
      </c>
      <c r="G102" s="7">
        <v>46036</v>
      </c>
      <c r="H102" s="7">
        <v>46387</v>
      </c>
      <c r="I102" s="8" t="s">
        <v>484</v>
      </c>
      <c r="J102" s="6" t="s">
        <v>434</v>
      </c>
      <c r="K102" s="6" t="s">
        <v>143</v>
      </c>
      <c r="L102" s="6" t="s">
        <v>485</v>
      </c>
      <c r="M102" s="6" t="s">
        <v>486</v>
      </c>
      <c r="N102" s="6" t="s">
        <v>253</v>
      </c>
      <c r="O102" s="6" t="s">
        <v>487</v>
      </c>
      <c r="P102" t="s">
        <v>125</v>
      </c>
      <c r="Q102" s="25" t="s">
        <v>2112</v>
      </c>
    </row>
    <row r="103" spans="1:19" ht="14.4" hidden="1" x14ac:dyDescent="0.3">
      <c r="A103" s="16">
        <v>96</v>
      </c>
      <c r="B103" s="17" t="s">
        <v>488</v>
      </c>
      <c r="C103" s="6">
        <v>52355600</v>
      </c>
      <c r="D103" s="6">
        <f>COUNTIFS($C$8:C103,C103)</f>
        <v>1</v>
      </c>
      <c r="E103" s="6">
        <v>3143575405</v>
      </c>
      <c r="F103" s="12" t="s">
        <v>489</v>
      </c>
      <c r="G103" s="7">
        <v>46036</v>
      </c>
      <c r="H103" s="7">
        <v>46387</v>
      </c>
      <c r="I103" s="8" t="s">
        <v>490</v>
      </c>
      <c r="J103" s="6" t="s">
        <v>500</v>
      </c>
      <c r="K103" s="6" t="s">
        <v>143</v>
      </c>
      <c r="L103" s="6" t="s">
        <v>491</v>
      </c>
      <c r="M103" s="6" t="s">
        <v>492</v>
      </c>
      <c r="N103" s="6" t="s">
        <v>17</v>
      </c>
      <c r="O103" s="6" t="s">
        <v>259</v>
      </c>
      <c r="P103" t="s">
        <v>125</v>
      </c>
      <c r="Q103" s="25" t="s">
        <v>2112</v>
      </c>
    </row>
    <row r="104" spans="1:19" ht="14.4" hidden="1" x14ac:dyDescent="0.3">
      <c r="A104" s="5">
        <v>97</v>
      </c>
      <c r="B104" s="17" t="s">
        <v>493</v>
      </c>
      <c r="C104" s="6">
        <v>1010222054</v>
      </c>
      <c r="D104" s="6">
        <f>COUNTIFS($C$8:C104,C104)</f>
        <v>1</v>
      </c>
      <c r="E104" s="6">
        <v>3102900983</v>
      </c>
      <c r="F104" s="12" t="s">
        <v>494</v>
      </c>
      <c r="G104" s="7">
        <v>46035</v>
      </c>
      <c r="H104" s="7">
        <v>46387</v>
      </c>
      <c r="I104" s="8" t="s">
        <v>495</v>
      </c>
      <c r="J104" s="6" t="s">
        <v>500</v>
      </c>
      <c r="K104" s="6" t="s">
        <v>143</v>
      </c>
      <c r="L104" s="6" t="s">
        <v>304</v>
      </c>
      <c r="M104" s="6" t="s">
        <v>496</v>
      </c>
      <c r="N104" s="6" t="s">
        <v>17</v>
      </c>
      <c r="O104" s="6" t="s">
        <v>66</v>
      </c>
      <c r="P104" t="s">
        <v>125</v>
      </c>
      <c r="Q104" s="25" t="s">
        <v>2112</v>
      </c>
    </row>
    <row r="105" spans="1:19" ht="14.4" hidden="1" x14ac:dyDescent="0.3">
      <c r="A105" s="5">
        <v>98</v>
      </c>
      <c r="B105" s="17" t="s">
        <v>497</v>
      </c>
      <c r="C105" s="6">
        <v>1022332783</v>
      </c>
      <c r="D105" s="6">
        <f>COUNTIFS($C$8:C105,C105)</f>
        <v>1</v>
      </c>
      <c r="E105" s="6">
        <v>3174017065</v>
      </c>
      <c r="F105" s="12" t="s">
        <v>498</v>
      </c>
      <c r="G105" s="7">
        <v>46045</v>
      </c>
      <c r="H105" s="7">
        <v>46387</v>
      </c>
      <c r="I105" s="8" t="s">
        <v>499</v>
      </c>
      <c r="J105" s="6" t="s">
        <v>500</v>
      </c>
      <c r="K105" s="6" t="s">
        <v>115</v>
      </c>
      <c r="L105" s="6" t="s">
        <v>501</v>
      </c>
      <c r="M105" s="6" t="s">
        <v>502</v>
      </c>
      <c r="N105" s="6" t="s">
        <v>17</v>
      </c>
      <c r="O105" s="6" t="s">
        <v>259</v>
      </c>
      <c r="P105" t="s">
        <v>125</v>
      </c>
      <c r="Q105" s="25" t="s">
        <v>2112</v>
      </c>
    </row>
    <row r="106" spans="1:19" ht="14.4" hidden="1" x14ac:dyDescent="0.3">
      <c r="A106" s="5">
        <v>99</v>
      </c>
      <c r="B106" s="17" t="s">
        <v>503</v>
      </c>
      <c r="C106" s="6">
        <v>80723272</v>
      </c>
      <c r="D106" s="6">
        <f>COUNTIFS($C$8:C106,C106)</f>
        <v>1</v>
      </c>
      <c r="E106" s="6">
        <v>3118556165</v>
      </c>
      <c r="F106" s="12" t="s">
        <v>504</v>
      </c>
      <c r="G106" s="7">
        <v>46041</v>
      </c>
      <c r="H106" s="7">
        <v>46387</v>
      </c>
      <c r="I106" s="8" t="s">
        <v>505</v>
      </c>
      <c r="J106" s="6" t="s">
        <v>500</v>
      </c>
      <c r="K106" s="6" t="s">
        <v>143</v>
      </c>
      <c r="L106" s="6" t="s">
        <v>506</v>
      </c>
      <c r="M106" s="6" t="s">
        <v>507</v>
      </c>
      <c r="N106" s="6" t="s">
        <v>17</v>
      </c>
      <c r="O106" s="6" t="s">
        <v>24</v>
      </c>
      <c r="P106" t="s">
        <v>125</v>
      </c>
      <c r="Q106" s="25" t="s">
        <v>2112</v>
      </c>
    </row>
    <row r="107" spans="1:19" ht="14.4" hidden="1" x14ac:dyDescent="0.3">
      <c r="A107" s="16">
        <v>100</v>
      </c>
      <c r="B107" s="17" t="s">
        <v>508</v>
      </c>
      <c r="C107" s="6">
        <v>52267468</v>
      </c>
      <c r="D107" s="6">
        <f>COUNTIFS($C$8:C107,C107)</f>
        <v>1</v>
      </c>
      <c r="E107" s="6">
        <v>3112711276</v>
      </c>
      <c r="F107" s="12" t="s">
        <v>509</v>
      </c>
      <c r="G107" s="7">
        <v>46036</v>
      </c>
      <c r="H107" s="7">
        <v>46278</v>
      </c>
      <c r="I107" s="8" t="s">
        <v>510</v>
      </c>
      <c r="J107" s="6" t="s">
        <v>500</v>
      </c>
      <c r="K107" s="6" t="s">
        <v>143</v>
      </c>
      <c r="L107" s="6" t="s">
        <v>56</v>
      </c>
      <c r="M107" s="6" t="s">
        <v>511</v>
      </c>
      <c r="N107" s="6" t="s">
        <v>17</v>
      </c>
      <c r="O107" s="6" t="s">
        <v>512</v>
      </c>
      <c r="P107" t="s">
        <v>125</v>
      </c>
      <c r="Q107" s="25" t="s">
        <v>2112</v>
      </c>
    </row>
    <row r="108" spans="1:19" ht="14.4" hidden="1" x14ac:dyDescent="0.3">
      <c r="A108" s="5">
        <v>101</v>
      </c>
      <c r="B108" s="17" t="s">
        <v>513</v>
      </c>
      <c r="C108" s="6">
        <v>11204191</v>
      </c>
      <c r="D108" s="6">
        <f>COUNTIFS($C$8:C108,C108)</f>
        <v>1</v>
      </c>
      <c r="E108" s="6">
        <v>3125349131</v>
      </c>
      <c r="F108" s="12" t="s">
        <v>514</v>
      </c>
      <c r="G108" s="7">
        <v>46038</v>
      </c>
      <c r="H108" s="7">
        <v>46249</v>
      </c>
      <c r="I108" s="8" t="s">
        <v>515</v>
      </c>
      <c r="J108" s="6" t="s">
        <v>1338</v>
      </c>
      <c r="K108" s="6" t="s">
        <v>106</v>
      </c>
      <c r="L108" s="6" t="s">
        <v>516</v>
      </c>
      <c r="M108" s="6" t="s">
        <v>517</v>
      </c>
      <c r="N108" s="6" t="s">
        <v>17</v>
      </c>
      <c r="O108" s="6" t="s">
        <v>177</v>
      </c>
      <c r="P108" t="s">
        <v>125</v>
      </c>
      <c r="Q108" s="25" t="s">
        <v>2112</v>
      </c>
    </row>
    <row r="109" spans="1:19" ht="14.4" hidden="1" x14ac:dyDescent="0.3">
      <c r="A109" s="5">
        <v>102</v>
      </c>
      <c r="B109" s="17" t="s">
        <v>518</v>
      </c>
      <c r="C109" s="6">
        <v>52096386</v>
      </c>
      <c r="D109" s="6">
        <f>COUNTIFS($C$8:C109,C109)</f>
        <v>1</v>
      </c>
      <c r="E109" s="6">
        <v>3104717361</v>
      </c>
      <c r="F109" s="12" t="s">
        <v>519</v>
      </c>
      <c r="G109" s="7">
        <v>46038</v>
      </c>
      <c r="H109" s="7">
        <v>46387</v>
      </c>
      <c r="I109" s="8" t="s">
        <v>520</v>
      </c>
      <c r="J109" s="6" t="s">
        <v>1562</v>
      </c>
      <c r="K109" s="6" t="s">
        <v>115</v>
      </c>
      <c r="L109" s="6" t="s">
        <v>304</v>
      </c>
      <c r="M109" s="6" t="s">
        <v>521</v>
      </c>
      <c r="N109" s="6" t="s">
        <v>17</v>
      </c>
      <c r="O109" s="6" t="s">
        <v>24</v>
      </c>
      <c r="P109" t="s">
        <v>125</v>
      </c>
      <c r="Q109" s="25" t="s">
        <v>2112</v>
      </c>
    </row>
    <row r="110" spans="1:19" ht="14.4" hidden="1" x14ac:dyDescent="0.3">
      <c r="A110" s="5">
        <v>103</v>
      </c>
      <c r="B110" s="17" t="s">
        <v>522</v>
      </c>
      <c r="C110" s="6">
        <v>396645660</v>
      </c>
      <c r="D110" s="6">
        <f>COUNTIFS($C$8:C110,C110)</f>
        <v>1</v>
      </c>
      <c r="E110" s="6">
        <v>3108741396</v>
      </c>
      <c r="F110" s="6" t="s">
        <v>20</v>
      </c>
      <c r="G110" s="7" t="s">
        <v>20</v>
      </c>
      <c r="H110" s="7" t="s">
        <v>20</v>
      </c>
      <c r="I110" s="8" t="s">
        <v>523</v>
      </c>
      <c r="J110" s="6" t="s">
        <v>270</v>
      </c>
      <c r="K110" s="6" t="s">
        <v>143</v>
      </c>
      <c r="L110" s="6" t="s">
        <v>524</v>
      </c>
      <c r="M110" s="6" t="s">
        <v>525</v>
      </c>
      <c r="N110" s="6" t="s">
        <v>17</v>
      </c>
      <c r="O110" s="6" t="s">
        <v>526</v>
      </c>
      <c r="P110" t="s">
        <v>119</v>
      </c>
      <c r="Q110" s="25" t="s">
        <v>2112</v>
      </c>
    </row>
    <row r="111" spans="1:19" ht="14.4" hidden="1" x14ac:dyDescent="0.3">
      <c r="A111" s="16">
        <v>104</v>
      </c>
      <c r="B111" s="17" t="s">
        <v>527</v>
      </c>
      <c r="C111" s="6">
        <v>1023867746</v>
      </c>
      <c r="D111" s="6">
        <f>COUNTIFS($C$8:C111,C111)</f>
        <v>1</v>
      </c>
      <c r="E111" s="6">
        <v>3118179706</v>
      </c>
      <c r="F111" s="12" t="s">
        <v>528</v>
      </c>
      <c r="G111" s="7">
        <v>46039</v>
      </c>
      <c r="H111" s="7">
        <v>46251</v>
      </c>
      <c r="I111" s="8" t="s">
        <v>529</v>
      </c>
      <c r="J111" s="6" t="s">
        <v>1338</v>
      </c>
      <c r="K111" s="6" t="s">
        <v>143</v>
      </c>
      <c r="L111" s="6" t="s">
        <v>304</v>
      </c>
      <c r="M111" s="6" t="s">
        <v>530</v>
      </c>
      <c r="N111" s="6" t="s">
        <v>17</v>
      </c>
      <c r="O111" s="6" t="s">
        <v>134</v>
      </c>
      <c r="P111" t="s">
        <v>125</v>
      </c>
      <c r="Q111" s="25" t="s">
        <v>2112</v>
      </c>
    </row>
    <row r="112" spans="1:19" ht="14.4" hidden="1" x14ac:dyDescent="0.3">
      <c r="A112" s="5">
        <v>105</v>
      </c>
      <c r="B112" s="17" t="s">
        <v>531</v>
      </c>
      <c r="C112" s="6">
        <v>79844430</v>
      </c>
      <c r="D112" s="6">
        <f>COUNTIFS($C$8:C112,C112)</f>
        <v>1</v>
      </c>
      <c r="E112" s="6">
        <v>3176481417</v>
      </c>
      <c r="F112" s="12" t="s">
        <v>532</v>
      </c>
      <c r="G112" s="7">
        <v>46031</v>
      </c>
      <c r="H112" s="7">
        <v>46387</v>
      </c>
      <c r="I112" s="8" t="s">
        <v>533</v>
      </c>
      <c r="J112" s="6" t="s">
        <v>2110</v>
      </c>
      <c r="K112" s="6" t="s">
        <v>115</v>
      </c>
      <c r="L112" s="6" t="s">
        <v>75</v>
      </c>
      <c r="M112" s="6" t="s">
        <v>534</v>
      </c>
      <c r="N112" s="6" t="s">
        <v>17</v>
      </c>
      <c r="O112" s="6" t="s">
        <v>166</v>
      </c>
      <c r="P112" t="s">
        <v>125</v>
      </c>
      <c r="Q112" s="25" t="s">
        <v>2112</v>
      </c>
    </row>
    <row r="113" spans="1:19" ht="14.4" hidden="1" x14ac:dyDescent="0.3">
      <c r="A113" s="5">
        <v>106</v>
      </c>
      <c r="B113" s="17" t="s">
        <v>535</v>
      </c>
      <c r="C113" s="6">
        <v>50939844</v>
      </c>
      <c r="D113" s="6">
        <f>COUNTIFS($C$8:C113,C113)</f>
        <v>1</v>
      </c>
      <c r="E113" s="6">
        <v>3006677111</v>
      </c>
      <c r="F113" s="12" t="s">
        <v>536</v>
      </c>
      <c r="G113" s="7">
        <v>46042</v>
      </c>
      <c r="H113" s="7">
        <v>46342</v>
      </c>
      <c r="I113" s="8" t="s">
        <v>537</v>
      </c>
      <c r="J113" s="6" t="s">
        <v>270</v>
      </c>
      <c r="K113" s="6" t="s">
        <v>115</v>
      </c>
      <c r="L113" s="6" t="s">
        <v>320</v>
      </c>
      <c r="M113" s="6" t="s">
        <v>538</v>
      </c>
      <c r="N113" s="6" t="s">
        <v>17</v>
      </c>
      <c r="O113" s="6" t="s">
        <v>18</v>
      </c>
      <c r="P113" t="s">
        <v>125</v>
      </c>
      <c r="Q113" s="25" t="s">
        <v>2112</v>
      </c>
    </row>
    <row r="114" spans="1:19" ht="14.4" hidden="1" x14ac:dyDescent="0.3">
      <c r="A114" s="5">
        <v>107</v>
      </c>
      <c r="B114" s="17" t="s">
        <v>539</v>
      </c>
      <c r="C114" s="17">
        <v>1020834737</v>
      </c>
      <c r="D114" s="6">
        <f>COUNTIFS($C$8:C114,C114)</f>
        <v>1</v>
      </c>
      <c r="E114" s="17">
        <v>3176797300</v>
      </c>
      <c r="F114" s="17" t="s">
        <v>540</v>
      </c>
      <c r="G114" s="18">
        <v>46013</v>
      </c>
      <c r="H114" s="18">
        <v>46224</v>
      </c>
      <c r="I114" s="8" t="s">
        <v>541</v>
      </c>
      <c r="J114" s="6" t="s">
        <v>1905</v>
      </c>
      <c r="K114" s="6" t="s">
        <v>115</v>
      </c>
      <c r="L114" s="17" t="s">
        <v>202</v>
      </c>
      <c r="M114" s="17" t="s">
        <v>542</v>
      </c>
      <c r="N114" s="17" t="s">
        <v>17</v>
      </c>
      <c r="O114" s="17" t="s">
        <v>66</v>
      </c>
      <c r="P114" s="19" t="s">
        <v>125</v>
      </c>
      <c r="Q114" s="21" t="s">
        <v>2098</v>
      </c>
      <c r="R114" s="20"/>
      <c r="S114" s="20"/>
    </row>
    <row r="115" spans="1:19" ht="14.4" hidden="1" x14ac:dyDescent="0.3">
      <c r="A115" s="16">
        <v>108</v>
      </c>
      <c r="B115" s="17" t="s">
        <v>543</v>
      </c>
      <c r="C115" s="17">
        <v>13741047</v>
      </c>
      <c r="D115" s="6">
        <f>COUNTIFS($C$8:C115,C115)</f>
        <v>1</v>
      </c>
      <c r="E115" s="17">
        <v>3108128412</v>
      </c>
      <c r="F115" s="23" t="s">
        <v>544</v>
      </c>
      <c r="G115" s="18">
        <v>46029</v>
      </c>
      <c r="H115" s="18">
        <v>46363</v>
      </c>
      <c r="I115" s="8" t="s">
        <v>545</v>
      </c>
      <c r="J115" s="6" t="s">
        <v>1905</v>
      </c>
      <c r="K115" s="6" t="s">
        <v>115</v>
      </c>
      <c r="L115" s="17" t="s">
        <v>501</v>
      </c>
      <c r="M115" s="17" t="s">
        <v>546</v>
      </c>
      <c r="N115" s="17" t="s">
        <v>17</v>
      </c>
      <c r="O115" s="17" t="s">
        <v>60</v>
      </c>
      <c r="P115" s="19" t="s">
        <v>125</v>
      </c>
      <c r="Q115" s="21" t="s">
        <v>2098</v>
      </c>
      <c r="R115" s="20"/>
      <c r="S115" s="20"/>
    </row>
    <row r="116" spans="1:19" ht="14.4" hidden="1" x14ac:dyDescent="0.3">
      <c r="A116" s="5">
        <v>109</v>
      </c>
      <c r="B116" s="17" t="s">
        <v>547</v>
      </c>
      <c r="C116" s="6">
        <v>1030669555</v>
      </c>
      <c r="D116" s="6">
        <f>COUNTIFS($C$8:C116,C116)</f>
        <v>1</v>
      </c>
      <c r="E116" s="6">
        <v>3142393483</v>
      </c>
      <c r="F116" s="12" t="s">
        <v>548</v>
      </c>
      <c r="G116" s="7">
        <v>46048</v>
      </c>
      <c r="H116" s="7">
        <v>46387</v>
      </c>
      <c r="I116" s="8" t="s">
        <v>549</v>
      </c>
      <c r="J116" s="6" t="s">
        <v>2110</v>
      </c>
      <c r="K116" s="6" t="s">
        <v>80</v>
      </c>
      <c r="L116" s="6" t="s">
        <v>550</v>
      </c>
      <c r="M116" s="6" t="s">
        <v>20</v>
      </c>
      <c r="N116" s="6" t="s">
        <v>80</v>
      </c>
      <c r="O116" s="6" t="s">
        <v>551</v>
      </c>
      <c r="P116" t="s">
        <v>125</v>
      </c>
      <c r="Q116" s="25" t="s">
        <v>2112</v>
      </c>
    </row>
    <row r="117" spans="1:19" ht="14.4" hidden="1" x14ac:dyDescent="0.3">
      <c r="A117" s="5">
        <v>110</v>
      </c>
      <c r="B117" s="17" t="s">
        <v>552</v>
      </c>
      <c r="C117" s="6">
        <v>52715205</v>
      </c>
      <c r="D117" s="6">
        <f>COUNTIFS($C$8:C117,C117)</f>
        <v>1</v>
      </c>
      <c r="E117" s="6">
        <v>3103268056</v>
      </c>
      <c r="F117" s="12" t="s">
        <v>553</v>
      </c>
      <c r="G117" s="7">
        <v>46041</v>
      </c>
      <c r="H117" s="7">
        <v>46252</v>
      </c>
      <c r="I117" s="8" t="s">
        <v>554</v>
      </c>
      <c r="J117" s="6" t="s">
        <v>1338</v>
      </c>
      <c r="K117" s="6" t="s">
        <v>115</v>
      </c>
      <c r="L117" s="6" t="s">
        <v>294</v>
      </c>
      <c r="M117" s="6" t="s">
        <v>555</v>
      </c>
      <c r="N117" s="6" t="s">
        <v>17</v>
      </c>
      <c r="O117" s="6" t="s">
        <v>60</v>
      </c>
      <c r="P117" t="s">
        <v>125</v>
      </c>
      <c r="Q117" s="25" t="s">
        <v>2112</v>
      </c>
    </row>
    <row r="118" spans="1:19" ht="14.4" hidden="1" x14ac:dyDescent="0.3">
      <c r="A118" s="5">
        <v>111</v>
      </c>
      <c r="B118" s="17" t="s">
        <v>556</v>
      </c>
      <c r="C118" s="6">
        <v>30393634</v>
      </c>
      <c r="D118" s="6">
        <f>COUNTIFS($C$8:C118,C118)</f>
        <v>1</v>
      </c>
      <c r="E118" s="6">
        <v>3176685571</v>
      </c>
      <c r="F118" s="12" t="s">
        <v>557</v>
      </c>
      <c r="G118" s="7">
        <v>46038</v>
      </c>
      <c r="H118" s="7">
        <v>46371</v>
      </c>
      <c r="I118" s="8" t="s">
        <v>558</v>
      </c>
      <c r="J118" s="6" t="s">
        <v>1843</v>
      </c>
      <c r="K118" s="6" t="s">
        <v>143</v>
      </c>
      <c r="L118" s="6" t="s">
        <v>559</v>
      </c>
      <c r="M118" s="6" t="s">
        <v>560</v>
      </c>
      <c r="N118" s="6" t="s">
        <v>17</v>
      </c>
      <c r="O118" s="6" t="s">
        <v>60</v>
      </c>
      <c r="P118" t="s">
        <v>125</v>
      </c>
      <c r="Q118" s="25" t="s">
        <v>2112</v>
      </c>
    </row>
    <row r="119" spans="1:19" ht="14.4" hidden="1" x14ac:dyDescent="0.3">
      <c r="A119" s="16">
        <v>112</v>
      </c>
      <c r="B119" s="17" t="s">
        <v>561</v>
      </c>
      <c r="C119" s="6">
        <v>79950133</v>
      </c>
      <c r="D119" s="6">
        <f>COUNTIFS($C$8:C119,C119)</f>
        <v>1</v>
      </c>
      <c r="E119" s="6">
        <v>3407192209</v>
      </c>
      <c r="F119" s="12" t="s">
        <v>562</v>
      </c>
      <c r="G119" s="7">
        <v>46042</v>
      </c>
      <c r="H119" s="7">
        <v>46387</v>
      </c>
      <c r="I119" s="8" t="s">
        <v>563</v>
      </c>
      <c r="J119" s="6" t="s">
        <v>742</v>
      </c>
      <c r="K119" s="6" t="s">
        <v>115</v>
      </c>
      <c r="L119" s="6" t="s">
        <v>524</v>
      </c>
      <c r="M119" s="6" t="s">
        <v>564</v>
      </c>
      <c r="N119" s="6" t="s">
        <v>17</v>
      </c>
      <c r="O119" s="6" t="s">
        <v>259</v>
      </c>
      <c r="P119" t="s">
        <v>125</v>
      </c>
      <c r="Q119" s="25" t="s">
        <v>2112</v>
      </c>
    </row>
    <row r="120" spans="1:19" ht="14.4" hidden="1" x14ac:dyDescent="0.3">
      <c r="A120" s="5">
        <v>113</v>
      </c>
      <c r="B120" s="17" t="s">
        <v>565</v>
      </c>
      <c r="C120" s="6">
        <v>1030589207</v>
      </c>
      <c r="D120" s="6">
        <f>COUNTIFS($C$8:C120,C120)</f>
        <v>1</v>
      </c>
      <c r="E120" s="6">
        <v>3232341517</v>
      </c>
      <c r="F120" s="6" t="s">
        <v>566</v>
      </c>
      <c r="G120" s="7">
        <v>46031</v>
      </c>
      <c r="H120" s="7">
        <v>46387</v>
      </c>
      <c r="I120" s="8" t="s">
        <v>567</v>
      </c>
      <c r="J120" s="6" t="s">
        <v>434</v>
      </c>
      <c r="K120" s="6" t="s">
        <v>143</v>
      </c>
      <c r="L120" s="6" t="s">
        <v>568</v>
      </c>
      <c r="M120" s="6" t="s">
        <v>569</v>
      </c>
      <c r="N120" s="6" t="s">
        <v>17</v>
      </c>
      <c r="O120" s="6" t="s">
        <v>570</v>
      </c>
      <c r="P120" t="s">
        <v>125</v>
      </c>
      <c r="Q120" s="25" t="s">
        <v>2112</v>
      </c>
    </row>
    <row r="121" spans="1:19" ht="14.4" hidden="1" x14ac:dyDescent="0.3">
      <c r="A121" s="5">
        <v>114</v>
      </c>
      <c r="B121" s="17" t="s">
        <v>571</v>
      </c>
      <c r="C121" s="6">
        <v>1019060772</v>
      </c>
      <c r="D121" s="6">
        <f>COUNTIFS($C$8:C121,C121)</f>
        <v>1</v>
      </c>
      <c r="E121" s="6">
        <v>3212564943</v>
      </c>
      <c r="F121" s="12" t="s">
        <v>357</v>
      </c>
      <c r="G121" s="7">
        <v>46042</v>
      </c>
      <c r="H121" s="7">
        <v>46387</v>
      </c>
      <c r="I121" s="8" t="s">
        <v>572</v>
      </c>
      <c r="J121" s="17" t="s">
        <v>299</v>
      </c>
      <c r="K121" s="6" t="s">
        <v>106</v>
      </c>
      <c r="L121" s="6" t="s">
        <v>516</v>
      </c>
      <c r="M121" s="6" t="s">
        <v>573</v>
      </c>
      <c r="N121" s="6" t="s">
        <v>17</v>
      </c>
      <c r="O121" s="6" t="s">
        <v>570</v>
      </c>
      <c r="P121" t="s">
        <v>125</v>
      </c>
      <c r="Q121" s="25" t="s">
        <v>2112</v>
      </c>
    </row>
    <row r="122" spans="1:19" ht="14.4" hidden="1" x14ac:dyDescent="0.3">
      <c r="A122" s="5">
        <v>115</v>
      </c>
      <c r="B122" s="17" t="s">
        <v>574</v>
      </c>
      <c r="C122" s="6">
        <v>79938373</v>
      </c>
      <c r="D122" s="6">
        <f>COUNTIFS($C$8:C122,C122)</f>
        <v>1</v>
      </c>
      <c r="E122" s="6">
        <v>3015403942</v>
      </c>
      <c r="F122" s="12" t="s">
        <v>575</v>
      </c>
      <c r="G122" s="7">
        <v>46038</v>
      </c>
      <c r="H122" s="7">
        <v>46387</v>
      </c>
      <c r="I122" s="8" t="s">
        <v>576</v>
      </c>
      <c r="J122" s="6" t="s">
        <v>587</v>
      </c>
      <c r="K122" s="6" t="s">
        <v>115</v>
      </c>
      <c r="L122" s="6" t="s">
        <v>22</v>
      </c>
      <c r="M122" s="6" t="s">
        <v>577</v>
      </c>
      <c r="N122" s="6" t="s">
        <v>129</v>
      </c>
      <c r="O122" s="6" t="s">
        <v>578</v>
      </c>
      <c r="P122" t="s">
        <v>125</v>
      </c>
      <c r="Q122" s="25" t="s">
        <v>2112</v>
      </c>
    </row>
    <row r="123" spans="1:19" ht="14.4" hidden="1" x14ac:dyDescent="0.3">
      <c r="A123" s="16">
        <v>116</v>
      </c>
      <c r="B123" s="17" t="s">
        <v>579</v>
      </c>
      <c r="C123" s="17">
        <v>85203798</v>
      </c>
      <c r="D123" s="6">
        <f>COUNTIFS($C$8:C123,C123)</f>
        <v>1</v>
      </c>
      <c r="E123" s="17">
        <v>3102141909</v>
      </c>
      <c r="F123" s="17" t="s">
        <v>580</v>
      </c>
      <c r="G123" s="18">
        <v>46048</v>
      </c>
      <c r="H123" s="18">
        <v>46210</v>
      </c>
      <c r="I123" s="8" t="s">
        <v>581</v>
      </c>
      <c r="J123" s="6" t="s">
        <v>1843</v>
      </c>
      <c r="K123" s="6" t="s">
        <v>106</v>
      </c>
      <c r="L123" s="17" t="s">
        <v>582</v>
      </c>
      <c r="M123" s="17" t="s">
        <v>583</v>
      </c>
      <c r="N123" s="17" t="s">
        <v>17</v>
      </c>
      <c r="O123" s="17" t="s">
        <v>44</v>
      </c>
      <c r="P123" s="19" t="s">
        <v>125</v>
      </c>
      <c r="Q123" s="22" t="s">
        <v>2098</v>
      </c>
      <c r="R123" s="20"/>
      <c r="S123" s="20"/>
    </row>
    <row r="124" spans="1:19" ht="14.4" hidden="1" x14ac:dyDescent="0.3">
      <c r="A124" s="5">
        <v>117</v>
      </c>
      <c r="B124" s="17" t="s">
        <v>584</v>
      </c>
      <c r="C124" s="17">
        <v>1001090013</v>
      </c>
      <c r="D124" s="6">
        <f>COUNTIFS($C$8:C124,C124)</f>
        <v>1</v>
      </c>
      <c r="E124" s="17">
        <v>3214308705</v>
      </c>
      <c r="F124" s="23" t="s">
        <v>585</v>
      </c>
      <c r="G124" s="18">
        <v>46041</v>
      </c>
      <c r="H124" s="18">
        <v>46387</v>
      </c>
      <c r="I124" s="8" t="s">
        <v>586</v>
      </c>
      <c r="J124" s="6" t="s">
        <v>587</v>
      </c>
      <c r="K124" s="6" t="s">
        <v>143</v>
      </c>
      <c r="L124" s="17" t="s">
        <v>164</v>
      </c>
      <c r="M124" s="17" t="s">
        <v>588</v>
      </c>
      <c r="N124" s="17" t="s">
        <v>17</v>
      </c>
      <c r="O124" s="17" t="s">
        <v>589</v>
      </c>
      <c r="P124" s="19" t="s">
        <v>125</v>
      </c>
      <c r="Q124" s="21" t="s">
        <v>2098</v>
      </c>
      <c r="R124" s="20"/>
      <c r="S124" s="20"/>
    </row>
    <row r="125" spans="1:19" ht="14.4" hidden="1" x14ac:dyDescent="0.3">
      <c r="A125" s="5">
        <v>118</v>
      </c>
      <c r="B125" s="17" t="s">
        <v>590</v>
      </c>
      <c r="C125" s="6">
        <v>1049616323</v>
      </c>
      <c r="D125" s="6">
        <f>COUNTIFS($C$8:C125,C125)</f>
        <v>1</v>
      </c>
      <c r="E125" s="6">
        <v>3004886701</v>
      </c>
      <c r="F125" s="12" t="s">
        <v>591</v>
      </c>
      <c r="G125" s="7">
        <v>46028</v>
      </c>
      <c r="H125" s="7">
        <v>46270</v>
      </c>
      <c r="I125" s="8" t="s">
        <v>592</v>
      </c>
      <c r="J125" s="6" t="s">
        <v>1843</v>
      </c>
      <c r="K125" s="6" t="s">
        <v>143</v>
      </c>
      <c r="L125" s="6" t="s">
        <v>294</v>
      </c>
      <c r="M125" s="6" t="s">
        <v>593</v>
      </c>
      <c r="N125" s="6" t="s">
        <v>17</v>
      </c>
      <c r="O125" s="6" t="s">
        <v>66</v>
      </c>
      <c r="P125" t="s">
        <v>125</v>
      </c>
      <c r="Q125" s="25" t="s">
        <v>2112</v>
      </c>
    </row>
    <row r="126" spans="1:19" ht="14.4" hidden="1" x14ac:dyDescent="0.3">
      <c r="A126" s="5">
        <v>119</v>
      </c>
      <c r="B126" s="17" t="s">
        <v>594</v>
      </c>
      <c r="C126" s="6">
        <v>1015461189</v>
      </c>
      <c r="D126" s="6">
        <f>COUNTIFS($C$8:C126,C126)</f>
        <v>1</v>
      </c>
      <c r="E126" s="6">
        <v>3106959545</v>
      </c>
      <c r="F126" s="12" t="s">
        <v>595</v>
      </c>
      <c r="G126" s="7">
        <v>46031</v>
      </c>
      <c r="H126" s="7">
        <v>46211</v>
      </c>
      <c r="I126" s="8" t="s">
        <v>596</v>
      </c>
      <c r="J126" s="6" t="s">
        <v>1353</v>
      </c>
      <c r="K126" s="6" t="s">
        <v>115</v>
      </c>
      <c r="L126" s="6" t="s">
        <v>64</v>
      </c>
      <c r="M126" s="6" t="s">
        <v>597</v>
      </c>
      <c r="N126" s="6" t="s">
        <v>253</v>
      </c>
      <c r="O126" s="6" t="s">
        <v>66</v>
      </c>
      <c r="P126" t="s">
        <v>125</v>
      </c>
      <c r="Q126" s="25" t="s">
        <v>2112</v>
      </c>
    </row>
    <row r="127" spans="1:19" ht="14.4" hidden="1" x14ac:dyDescent="0.3">
      <c r="A127" s="16">
        <v>120</v>
      </c>
      <c r="B127" s="17" t="s">
        <v>598</v>
      </c>
      <c r="C127" s="6">
        <v>1032400206</v>
      </c>
      <c r="D127" s="6">
        <f>COUNTIFS($C$8:C127,C127)</f>
        <v>1</v>
      </c>
      <c r="E127" s="6">
        <v>1032400206</v>
      </c>
      <c r="F127" s="12" t="s">
        <v>599</v>
      </c>
      <c r="G127" s="7">
        <v>46029</v>
      </c>
      <c r="H127" s="7">
        <v>46387</v>
      </c>
      <c r="I127" s="8" t="s">
        <v>600</v>
      </c>
      <c r="J127" s="6" t="s">
        <v>1843</v>
      </c>
      <c r="K127" s="6" t="s">
        <v>115</v>
      </c>
      <c r="L127" s="6" t="s">
        <v>75</v>
      </c>
      <c r="M127" s="6" t="s">
        <v>601</v>
      </c>
      <c r="N127" s="6" t="s">
        <v>253</v>
      </c>
      <c r="O127" s="6" t="s">
        <v>602</v>
      </c>
      <c r="P127" t="s">
        <v>125</v>
      </c>
      <c r="Q127" s="25" t="s">
        <v>2112</v>
      </c>
    </row>
    <row r="128" spans="1:19" ht="14.4" hidden="1" x14ac:dyDescent="0.3">
      <c r="A128" s="5">
        <v>121</v>
      </c>
      <c r="B128" s="17" t="s">
        <v>603</v>
      </c>
      <c r="C128" s="17">
        <v>80505613</v>
      </c>
      <c r="D128" s="6">
        <f>COUNTIFS($C$8:C128,C128)</f>
        <v>1</v>
      </c>
      <c r="E128" s="17">
        <v>3122600799</v>
      </c>
      <c r="F128" s="23" t="s">
        <v>604</v>
      </c>
      <c r="G128" s="18">
        <v>46042</v>
      </c>
      <c r="H128" s="18">
        <v>46041</v>
      </c>
      <c r="I128" s="8" t="s">
        <v>605</v>
      </c>
      <c r="J128" s="6" t="s">
        <v>1338</v>
      </c>
      <c r="K128" s="6" t="s">
        <v>106</v>
      </c>
      <c r="L128" s="17" t="s">
        <v>606</v>
      </c>
      <c r="M128" s="17" t="s">
        <v>607</v>
      </c>
      <c r="N128" s="17" t="s">
        <v>17</v>
      </c>
      <c r="O128" s="17" t="s">
        <v>608</v>
      </c>
      <c r="P128" s="19" t="s">
        <v>125</v>
      </c>
      <c r="Q128" s="21" t="s">
        <v>2098</v>
      </c>
      <c r="R128" s="20"/>
      <c r="S128" s="20"/>
    </row>
    <row r="129" spans="1:19" ht="14.4" hidden="1" x14ac:dyDescent="0.3">
      <c r="A129" s="5">
        <v>122</v>
      </c>
      <c r="B129" s="17" t="s">
        <v>609</v>
      </c>
      <c r="C129" s="6">
        <v>1015444843</v>
      </c>
      <c r="D129" s="6">
        <f>COUNTIFS($C$8:C129,C129)</f>
        <v>1</v>
      </c>
      <c r="E129" s="6">
        <v>3104810937</v>
      </c>
      <c r="F129" s="12" t="s">
        <v>610</v>
      </c>
      <c r="G129" s="7">
        <v>46036</v>
      </c>
      <c r="H129" s="7">
        <v>46340</v>
      </c>
      <c r="I129" s="8" t="s">
        <v>611</v>
      </c>
      <c r="J129" s="6" t="s">
        <v>587</v>
      </c>
      <c r="K129" s="6" t="s">
        <v>115</v>
      </c>
      <c r="L129" s="6" t="s">
        <v>116</v>
      </c>
      <c r="M129" s="6" t="s">
        <v>612</v>
      </c>
      <c r="N129" s="6" t="s">
        <v>17</v>
      </c>
      <c r="O129" s="6" t="s">
        <v>66</v>
      </c>
      <c r="P129" t="s">
        <v>125</v>
      </c>
      <c r="Q129" s="25" t="s">
        <v>2112</v>
      </c>
    </row>
    <row r="130" spans="1:19" ht="14.4" hidden="1" x14ac:dyDescent="0.3">
      <c r="A130" s="5">
        <v>123</v>
      </c>
      <c r="B130" s="17" t="s">
        <v>613</v>
      </c>
      <c r="C130" s="6">
        <v>39698825</v>
      </c>
      <c r="D130" s="6">
        <f>COUNTIFS($C$8:C130,C130)</f>
        <v>1</v>
      </c>
      <c r="E130" s="6">
        <v>3103341145</v>
      </c>
      <c r="F130" s="12" t="s">
        <v>614</v>
      </c>
      <c r="G130" s="7">
        <v>46045</v>
      </c>
      <c r="H130" s="7">
        <v>46256</v>
      </c>
      <c r="I130" s="8" t="s">
        <v>615</v>
      </c>
      <c r="J130" s="6" t="s">
        <v>1843</v>
      </c>
      <c r="K130" s="6" t="s">
        <v>115</v>
      </c>
      <c r="L130" s="6" t="s">
        <v>616</v>
      </c>
      <c r="M130" s="6" t="s">
        <v>617</v>
      </c>
      <c r="N130" s="6" t="s">
        <v>253</v>
      </c>
      <c r="O130" s="6" t="s">
        <v>618</v>
      </c>
      <c r="P130" t="s">
        <v>125</v>
      </c>
      <c r="Q130" s="25" t="s">
        <v>2112</v>
      </c>
    </row>
    <row r="131" spans="1:19" ht="14.4" hidden="1" x14ac:dyDescent="0.3">
      <c r="A131" s="16">
        <v>124</v>
      </c>
      <c r="B131" s="17" t="s">
        <v>619</v>
      </c>
      <c r="C131" s="6">
        <v>53047446</v>
      </c>
      <c r="D131" s="6">
        <f>COUNTIFS($C$8:C131,C131)</f>
        <v>1</v>
      </c>
      <c r="E131" s="6">
        <v>3214141813</v>
      </c>
      <c r="F131" s="6" t="s">
        <v>20</v>
      </c>
      <c r="G131" s="7" t="s">
        <v>20</v>
      </c>
      <c r="H131" s="7" t="s">
        <v>20</v>
      </c>
      <c r="I131" s="8" t="s">
        <v>620</v>
      </c>
      <c r="J131" s="6" t="s">
        <v>2110</v>
      </c>
      <c r="K131" s="6" t="s">
        <v>143</v>
      </c>
      <c r="L131" s="6" t="s">
        <v>64</v>
      </c>
      <c r="M131" s="6" t="s">
        <v>621</v>
      </c>
      <c r="N131" s="6" t="s">
        <v>253</v>
      </c>
      <c r="O131" s="6" t="s">
        <v>18</v>
      </c>
      <c r="P131" t="s">
        <v>119</v>
      </c>
      <c r="Q131" s="25" t="s">
        <v>2112</v>
      </c>
    </row>
    <row r="132" spans="1:19" ht="14.4" hidden="1" x14ac:dyDescent="0.3">
      <c r="A132" s="5">
        <v>125</v>
      </c>
      <c r="B132" s="17" t="s">
        <v>622</v>
      </c>
      <c r="C132" s="6">
        <v>1019104675</v>
      </c>
      <c r="D132" s="6">
        <f>COUNTIFS($C$8:C132,C132)</f>
        <v>1</v>
      </c>
      <c r="E132" s="6">
        <v>3102390866</v>
      </c>
      <c r="F132" s="12" t="s">
        <v>623</v>
      </c>
      <c r="G132" s="7">
        <v>46031</v>
      </c>
      <c r="H132" s="7">
        <v>46264</v>
      </c>
      <c r="I132" s="8" t="s">
        <v>624</v>
      </c>
      <c r="J132" s="6" t="s">
        <v>270</v>
      </c>
      <c r="K132" s="6" t="s">
        <v>106</v>
      </c>
      <c r="L132" s="6" t="s">
        <v>276</v>
      </c>
      <c r="M132" s="6" t="s">
        <v>625</v>
      </c>
      <c r="N132" s="6" t="s">
        <v>17</v>
      </c>
      <c r="O132" s="6" t="s">
        <v>157</v>
      </c>
      <c r="P132" t="s">
        <v>125</v>
      </c>
      <c r="Q132" s="25" t="s">
        <v>2112</v>
      </c>
    </row>
    <row r="133" spans="1:19" ht="14.4" hidden="1" x14ac:dyDescent="0.3">
      <c r="A133" s="5">
        <v>126</v>
      </c>
      <c r="B133" s="17" t="s">
        <v>626</v>
      </c>
      <c r="C133" s="6">
        <v>19325842</v>
      </c>
      <c r="D133" s="6">
        <f>COUNTIFS($C$8:C133,C133)</f>
        <v>1</v>
      </c>
      <c r="E133" s="6">
        <v>3192146582</v>
      </c>
      <c r="F133" s="12" t="s">
        <v>627</v>
      </c>
      <c r="G133" s="7">
        <v>46031</v>
      </c>
      <c r="H133" s="7">
        <v>46387</v>
      </c>
      <c r="I133" s="8" t="s">
        <v>628</v>
      </c>
      <c r="J133" s="6" t="s">
        <v>1562</v>
      </c>
      <c r="K133" s="6" t="s">
        <v>115</v>
      </c>
      <c r="L133" s="6" t="s">
        <v>75</v>
      </c>
      <c r="M133" s="6" t="s">
        <v>629</v>
      </c>
      <c r="N133" s="6" t="s">
        <v>17</v>
      </c>
      <c r="O133" s="6" t="s">
        <v>630</v>
      </c>
      <c r="P133" t="s">
        <v>125</v>
      </c>
      <c r="Q133" s="25" t="s">
        <v>2112</v>
      </c>
    </row>
    <row r="134" spans="1:19" ht="14.4" hidden="1" x14ac:dyDescent="0.3">
      <c r="A134" s="5">
        <v>127</v>
      </c>
      <c r="B134" s="17" t="s">
        <v>631</v>
      </c>
      <c r="C134" s="6">
        <v>1031156687</v>
      </c>
      <c r="D134" s="6">
        <f>COUNTIFS($C$8:C134,C134)</f>
        <v>1</v>
      </c>
      <c r="E134" s="6">
        <v>3102338749</v>
      </c>
      <c r="F134" s="12" t="s">
        <v>632</v>
      </c>
      <c r="G134" s="7">
        <v>46036</v>
      </c>
      <c r="H134" s="7">
        <v>46339</v>
      </c>
      <c r="I134" s="8" t="s">
        <v>633</v>
      </c>
      <c r="J134" s="6" t="s">
        <v>1843</v>
      </c>
      <c r="K134" s="6" t="s">
        <v>143</v>
      </c>
      <c r="L134" s="6" t="s">
        <v>116</v>
      </c>
      <c r="M134" s="6" t="s">
        <v>634</v>
      </c>
      <c r="N134" s="6" t="s">
        <v>253</v>
      </c>
      <c r="O134" s="6" t="s">
        <v>146</v>
      </c>
      <c r="P134" t="s">
        <v>125</v>
      </c>
      <c r="Q134" s="25" t="s">
        <v>2112</v>
      </c>
    </row>
    <row r="135" spans="1:19" ht="14.4" hidden="1" x14ac:dyDescent="0.3">
      <c r="A135" s="16">
        <v>128</v>
      </c>
      <c r="B135" s="17" t="s">
        <v>635</v>
      </c>
      <c r="C135" s="17">
        <v>52453674</v>
      </c>
      <c r="D135" s="6">
        <f>COUNTIFS($C$8:C135,C135)</f>
        <v>1</v>
      </c>
      <c r="E135" s="17">
        <v>3112023325</v>
      </c>
      <c r="F135" s="23" t="s">
        <v>636</v>
      </c>
      <c r="G135" s="18">
        <v>46035</v>
      </c>
      <c r="H135" s="18">
        <v>46215</v>
      </c>
      <c r="I135" s="8" t="s">
        <v>637</v>
      </c>
      <c r="J135" s="6" t="s">
        <v>1353</v>
      </c>
      <c r="K135" s="6" t="s">
        <v>143</v>
      </c>
      <c r="L135" s="17" t="s">
        <v>638</v>
      </c>
      <c r="M135" s="17" t="s">
        <v>639</v>
      </c>
      <c r="N135" s="6" t="s">
        <v>253</v>
      </c>
      <c r="O135" s="17" t="s">
        <v>259</v>
      </c>
      <c r="P135" s="19" t="s">
        <v>125</v>
      </c>
      <c r="Q135" s="21" t="s">
        <v>2098</v>
      </c>
      <c r="R135" s="20"/>
      <c r="S135" s="20"/>
    </row>
    <row r="136" spans="1:19" ht="14.4" hidden="1" x14ac:dyDescent="0.3">
      <c r="A136" s="5">
        <v>129</v>
      </c>
      <c r="B136" s="17" t="s">
        <v>640</v>
      </c>
      <c r="C136" s="6">
        <v>1023943099</v>
      </c>
      <c r="D136" s="6">
        <f>COUNTIFS($C$8:C136,C136)</f>
        <v>1</v>
      </c>
      <c r="E136" s="6">
        <v>3118215076</v>
      </c>
      <c r="F136" s="12" t="s">
        <v>641</v>
      </c>
      <c r="G136" s="7">
        <v>46035</v>
      </c>
      <c r="H136" s="7">
        <v>46387</v>
      </c>
      <c r="I136" s="8" t="s">
        <v>642</v>
      </c>
      <c r="J136" s="6" t="s">
        <v>500</v>
      </c>
      <c r="K136" s="6" t="s">
        <v>106</v>
      </c>
      <c r="L136" s="6" t="s">
        <v>175</v>
      </c>
      <c r="M136" s="6" t="s">
        <v>643</v>
      </c>
      <c r="N136" s="6" t="s">
        <v>17</v>
      </c>
      <c r="O136" s="6" t="s">
        <v>60</v>
      </c>
      <c r="P136" t="s">
        <v>125</v>
      </c>
      <c r="Q136" s="25" t="s">
        <v>2112</v>
      </c>
    </row>
    <row r="137" spans="1:19" ht="14.4" hidden="1" x14ac:dyDescent="0.3">
      <c r="A137" s="5">
        <v>130</v>
      </c>
      <c r="B137" s="17" t="s">
        <v>644</v>
      </c>
      <c r="C137" s="6">
        <v>1020833621</v>
      </c>
      <c r="D137" s="6">
        <f>COUNTIFS($C$8:C137,C137)</f>
        <v>1</v>
      </c>
      <c r="E137" s="6">
        <v>3106183500</v>
      </c>
      <c r="F137" s="6" t="s">
        <v>645</v>
      </c>
      <c r="G137" s="7">
        <v>46031</v>
      </c>
      <c r="H137" s="7">
        <v>46387</v>
      </c>
      <c r="I137" s="8" t="s">
        <v>646</v>
      </c>
      <c r="J137" s="17" t="s">
        <v>299</v>
      </c>
      <c r="K137" s="6" t="s">
        <v>143</v>
      </c>
      <c r="L137" s="6" t="s">
        <v>276</v>
      </c>
      <c r="M137" s="6" t="s">
        <v>647</v>
      </c>
      <c r="N137" s="6" t="s">
        <v>17</v>
      </c>
      <c r="O137" s="6" t="s">
        <v>146</v>
      </c>
      <c r="P137" t="s">
        <v>125</v>
      </c>
      <c r="Q137" s="25" t="s">
        <v>2112</v>
      </c>
    </row>
    <row r="138" spans="1:19" ht="14.4" hidden="1" x14ac:dyDescent="0.3">
      <c r="A138" s="5">
        <v>131</v>
      </c>
      <c r="B138" s="17" t="s">
        <v>648</v>
      </c>
      <c r="C138" s="6">
        <v>1032464919</v>
      </c>
      <c r="D138" s="6">
        <f>COUNTIFS($C$8:C138,C138)</f>
        <v>1</v>
      </c>
      <c r="E138" s="6">
        <v>3204134805</v>
      </c>
      <c r="F138" s="12" t="s">
        <v>649</v>
      </c>
      <c r="G138" s="7">
        <v>46042</v>
      </c>
      <c r="H138" s="7">
        <v>46265</v>
      </c>
      <c r="I138" s="8" t="s">
        <v>650</v>
      </c>
      <c r="J138" s="6" t="s">
        <v>270</v>
      </c>
      <c r="K138" s="6" t="s">
        <v>115</v>
      </c>
      <c r="L138" s="6" t="s">
        <v>651</v>
      </c>
      <c r="M138" s="6" t="s">
        <v>652</v>
      </c>
      <c r="N138" s="6" t="s">
        <v>17</v>
      </c>
      <c r="O138" s="6" t="s">
        <v>653</v>
      </c>
      <c r="P138" t="s">
        <v>125</v>
      </c>
      <c r="Q138" s="25" t="s">
        <v>2112</v>
      </c>
    </row>
    <row r="139" spans="1:19" ht="14.4" hidden="1" x14ac:dyDescent="0.3">
      <c r="A139" s="16">
        <v>132</v>
      </c>
      <c r="B139" s="17" t="s">
        <v>654</v>
      </c>
      <c r="C139" s="6">
        <v>1070306077</v>
      </c>
      <c r="D139" s="6">
        <f>COUNTIFS($C$8:C139,C139)</f>
        <v>1</v>
      </c>
      <c r="E139" s="6">
        <v>3143622249</v>
      </c>
      <c r="F139" s="12" t="s">
        <v>655</v>
      </c>
      <c r="G139" s="7">
        <v>46031</v>
      </c>
      <c r="H139" s="7">
        <v>46364</v>
      </c>
      <c r="I139" s="8" t="s">
        <v>656</v>
      </c>
      <c r="J139" s="6" t="s">
        <v>1905</v>
      </c>
      <c r="K139" s="6" t="s">
        <v>143</v>
      </c>
      <c r="L139" s="6" t="s">
        <v>657</v>
      </c>
      <c r="M139" s="6" t="s">
        <v>658</v>
      </c>
      <c r="N139" s="6" t="s">
        <v>17</v>
      </c>
      <c r="O139" s="6" t="s">
        <v>60</v>
      </c>
      <c r="P139" t="s">
        <v>125</v>
      </c>
      <c r="Q139" s="25" t="s">
        <v>2112</v>
      </c>
    </row>
    <row r="140" spans="1:19" ht="14.4" hidden="1" x14ac:dyDescent="0.3">
      <c r="A140" s="5">
        <v>133</v>
      </c>
      <c r="B140" s="17" t="s">
        <v>659</v>
      </c>
      <c r="C140" s="17">
        <v>1075282666</v>
      </c>
      <c r="D140" s="6">
        <f>COUNTIFS($C$8:C140,C140)</f>
        <v>1</v>
      </c>
      <c r="E140" s="17">
        <v>3166559929</v>
      </c>
      <c r="F140" s="23" t="s">
        <v>660</v>
      </c>
      <c r="G140" s="18">
        <v>46031</v>
      </c>
      <c r="H140" s="18">
        <v>46211</v>
      </c>
      <c r="I140" s="8" t="s">
        <v>661</v>
      </c>
      <c r="J140" s="6" t="s">
        <v>256</v>
      </c>
      <c r="K140" s="6" t="s">
        <v>106</v>
      </c>
      <c r="L140" s="17" t="s">
        <v>582</v>
      </c>
      <c r="M140" s="17" t="s">
        <v>662</v>
      </c>
      <c r="N140" s="17" t="s">
        <v>17</v>
      </c>
      <c r="O140" s="17" t="s">
        <v>18</v>
      </c>
      <c r="P140" s="19" t="s">
        <v>125</v>
      </c>
      <c r="Q140" s="21" t="s">
        <v>2098</v>
      </c>
      <c r="R140" s="20"/>
      <c r="S140" s="20"/>
    </row>
    <row r="141" spans="1:19" ht="14.4" hidden="1" x14ac:dyDescent="0.3">
      <c r="A141" s="5">
        <v>134</v>
      </c>
      <c r="B141" s="17" t="s">
        <v>663</v>
      </c>
      <c r="C141" s="6">
        <v>1019023084</v>
      </c>
      <c r="D141" s="6">
        <f>COUNTIFS($C$8:C141,C141)</f>
        <v>1</v>
      </c>
      <c r="E141" s="6">
        <v>3104785629</v>
      </c>
      <c r="F141" s="12" t="s">
        <v>664</v>
      </c>
      <c r="G141" s="7">
        <v>46037</v>
      </c>
      <c r="H141" s="7">
        <v>46387</v>
      </c>
      <c r="I141" s="8" t="s">
        <v>665</v>
      </c>
      <c r="J141" s="17" t="s">
        <v>299</v>
      </c>
      <c r="K141" s="6" t="s">
        <v>115</v>
      </c>
      <c r="L141" s="6" t="s">
        <v>116</v>
      </c>
      <c r="M141" s="6" t="s">
        <v>666</v>
      </c>
      <c r="N141" s="6" t="s">
        <v>17</v>
      </c>
      <c r="O141" s="6" t="s">
        <v>60</v>
      </c>
      <c r="P141" t="s">
        <v>125</v>
      </c>
      <c r="Q141" s="25" t="s">
        <v>2112</v>
      </c>
    </row>
    <row r="142" spans="1:19" ht="14.4" hidden="1" x14ac:dyDescent="0.3">
      <c r="A142" s="5">
        <v>135</v>
      </c>
      <c r="B142" s="17" t="s">
        <v>667</v>
      </c>
      <c r="C142" s="6">
        <v>1022356860</v>
      </c>
      <c r="D142" s="6">
        <f>COUNTIFS($C$8:C142,C142)</f>
        <v>1</v>
      </c>
      <c r="E142" s="6">
        <v>3004842838</v>
      </c>
      <c r="F142" s="12" t="s">
        <v>668</v>
      </c>
      <c r="G142" s="7">
        <v>46030</v>
      </c>
      <c r="H142" s="7">
        <v>46363</v>
      </c>
      <c r="I142" s="8" t="s">
        <v>669</v>
      </c>
      <c r="J142" s="6" t="s">
        <v>587</v>
      </c>
      <c r="K142" s="6" t="s">
        <v>106</v>
      </c>
      <c r="L142" s="6" t="s">
        <v>670</v>
      </c>
      <c r="M142" s="6" t="s">
        <v>671</v>
      </c>
      <c r="N142" s="6" t="s">
        <v>17</v>
      </c>
      <c r="O142" s="6" t="s">
        <v>672</v>
      </c>
      <c r="P142" t="s">
        <v>125</v>
      </c>
      <c r="Q142" s="25" t="s">
        <v>2112</v>
      </c>
    </row>
    <row r="143" spans="1:19" ht="14.4" hidden="1" x14ac:dyDescent="0.3">
      <c r="A143" s="16">
        <v>136</v>
      </c>
      <c r="B143" s="17" t="s">
        <v>673</v>
      </c>
      <c r="C143" s="6">
        <v>51974917</v>
      </c>
      <c r="D143" s="6">
        <f>COUNTIFS($C$8:C143,C143)</f>
        <v>1</v>
      </c>
      <c r="E143" s="6">
        <v>3175767854</v>
      </c>
      <c r="F143" s="6" t="s">
        <v>674</v>
      </c>
      <c r="G143" s="7">
        <v>46044</v>
      </c>
      <c r="H143" s="7">
        <v>46387</v>
      </c>
      <c r="I143" s="8" t="s">
        <v>675</v>
      </c>
      <c r="J143" s="6" t="s">
        <v>500</v>
      </c>
      <c r="K143" s="6" t="s">
        <v>115</v>
      </c>
      <c r="L143" s="6" t="s">
        <v>676</v>
      </c>
      <c r="M143" s="6" t="s">
        <v>677</v>
      </c>
      <c r="N143" s="6" t="s">
        <v>253</v>
      </c>
      <c r="O143" s="6" t="s">
        <v>60</v>
      </c>
      <c r="P143" t="s">
        <v>125</v>
      </c>
      <c r="Q143" s="25" t="s">
        <v>2112</v>
      </c>
    </row>
    <row r="144" spans="1:19" ht="14.4" hidden="1" x14ac:dyDescent="0.3">
      <c r="A144" s="5">
        <v>137</v>
      </c>
      <c r="B144" s="17" t="s">
        <v>678</v>
      </c>
      <c r="C144" s="6">
        <v>1233895766</v>
      </c>
      <c r="D144" s="6">
        <f>COUNTIFS($C$8:C144,C144)</f>
        <v>1</v>
      </c>
      <c r="E144" s="6">
        <v>3013641971</v>
      </c>
      <c r="F144" s="6" t="s">
        <v>679</v>
      </c>
      <c r="G144" s="7">
        <v>46045</v>
      </c>
      <c r="H144" s="7">
        <v>46387</v>
      </c>
      <c r="I144" s="8" t="s">
        <v>680</v>
      </c>
      <c r="J144" s="6" t="s">
        <v>500</v>
      </c>
      <c r="K144" s="6" t="s">
        <v>115</v>
      </c>
      <c r="L144" s="6" t="s">
        <v>681</v>
      </c>
      <c r="M144" s="6" t="s">
        <v>682</v>
      </c>
      <c r="N144" s="6" t="s">
        <v>17</v>
      </c>
      <c r="O144" s="6" t="s">
        <v>683</v>
      </c>
      <c r="P144" t="s">
        <v>125</v>
      </c>
      <c r="Q144" s="25" t="s">
        <v>2112</v>
      </c>
    </row>
    <row r="145" spans="1:19" ht="14.4" hidden="1" x14ac:dyDescent="0.3">
      <c r="A145" s="5">
        <v>138</v>
      </c>
      <c r="B145" s="17" t="s">
        <v>684</v>
      </c>
      <c r="C145" s="6">
        <v>10288931</v>
      </c>
      <c r="D145" s="6">
        <f>COUNTIFS($C$8:C145,C145)</f>
        <v>1</v>
      </c>
      <c r="E145" s="6">
        <v>3176767882</v>
      </c>
      <c r="F145" s="12" t="s">
        <v>685</v>
      </c>
      <c r="G145" s="7">
        <v>46041</v>
      </c>
      <c r="H145" s="7">
        <v>46252</v>
      </c>
      <c r="I145" s="8" t="s">
        <v>686</v>
      </c>
      <c r="J145" s="6" t="s">
        <v>1716</v>
      </c>
      <c r="K145" s="6" t="s">
        <v>115</v>
      </c>
      <c r="L145" s="6" t="s">
        <v>337</v>
      </c>
      <c r="M145" s="6" t="s">
        <v>687</v>
      </c>
      <c r="N145" s="6" t="s">
        <v>17</v>
      </c>
      <c r="O145" s="6" t="s">
        <v>248</v>
      </c>
      <c r="P145" t="s">
        <v>125</v>
      </c>
      <c r="Q145" s="25" t="s">
        <v>2112</v>
      </c>
    </row>
    <row r="146" spans="1:19" ht="14.4" hidden="1" x14ac:dyDescent="0.3">
      <c r="A146" s="5">
        <v>139</v>
      </c>
      <c r="B146" s="17" t="s">
        <v>688</v>
      </c>
      <c r="C146" s="6">
        <v>228042</v>
      </c>
      <c r="D146" s="6">
        <f>COUNTIFS($C$8:C146,C146)</f>
        <v>1</v>
      </c>
      <c r="E146" s="6">
        <v>3132090951</v>
      </c>
      <c r="F146" s="12" t="s">
        <v>689</v>
      </c>
      <c r="G146" s="7">
        <v>46038</v>
      </c>
      <c r="H146" s="7">
        <v>46387</v>
      </c>
      <c r="I146" s="8" t="s">
        <v>690</v>
      </c>
      <c r="J146" s="6" t="s">
        <v>2109</v>
      </c>
      <c r="K146" s="6" t="s">
        <v>115</v>
      </c>
      <c r="L146" s="6" t="s">
        <v>691</v>
      </c>
      <c r="M146" s="6" t="s">
        <v>692</v>
      </c>
      <c r="N146" s="6" t="s">
        <v>17</v>
      </c>
      <c r="O146" s="6" t="s">
        <v>693</v>
      </c>
      <c r="P146" t="s">
        <v>125</v>
      </c>
      <c r="Q146" s="25" t="s">
        <v>2112</v>
      </c>
    </row>
    <row r="147" spans="1:19" ht="14.4" hidden="1" x14ac:dyDescent="0.3">
      <c r="A147" s="16">
        <v>140</v>
      </c>
      <c r="B147" s="17" t="s">
        <v>694</v>
      </c>
      <c r="C147" s="6">
        <v>7217591</v>
      </c>
      <c r="D147" s="6">
        <f>COUNTIFS($C$8:C147,C147)</f>
        <v>1</v>
      </c>
      <c r="E147" s="6">
        <v>3102059928</v>
      </c>
      <c r="F147" s="6" t="s">
        <v>20</v>
      </c>
      <c r="G147" s="7" t="s">
        <v>20</v>
      </c>
      <c r="H147" s="7" t="s">
        <v>20</v>
      </c>
      <c r="I147" s="8" t="s">
        <v>695</v>
      </c>
      <c r="J147" s="6" t="s">
        <v>270</v>
      </c>
      <c r="K147" s="6" t="s">
        <v>143</v>
      </c>
      <c r="L147" s="6" t="s">
        <v>696</v>
      </c>
      <c r="M147" s="6" t="s">
        <v>697</v>
      </c>
      <c r="N147" s="6" t="s">
        <v>17</v>
      </c>
      <c r="O147" s="6" t="s">
        <v>60</v>
      </c>
      <c r="P147" t="s">
        <v>119</v>
      </c>
      <c r="Q147" s="25" t="s">
        <v>2112</v>
      </c>
    </row>
    <row r="148" spans="1:19" ht="14.4" hidden="1" x14ac:dyDescent="0.3">
      <c r="A148" s="5">
        <v>141</v>
      </c>
      <c r="B148" s="17" t="s">
        <v>698</v>
      </c>
      <c r="C148" s="6">
        <v>80154998</v>
      </c>
      <c r="D148" s="6">
        <f>COUNTIFS($C$8:C148,C148)</f>
        <v>1</v>
      </c>
      <c r="E148" s="6">
        <v>3102136875</v>
      </c>
      <c r="F148" s="12" t="s">
        <v>699</v>
      </c>
      <c r="G148" s="7">
        <v>46036</v>
      </c>
      <c r="H148" s="7">
        <v>46387</v>
      </c>
      <c r="I148" s="8" t="s">
        <v>700</v>
      </c>
      <c r="J148" s="6" t="s">
        <v>1006</v>
      </c>
      <c r="K148" s="6" t="s">
        <v>106</v>
      </c>
      <c r="L148" s="6" t="s">
        <v>701</v>
      </c>
      <c r="M148" s="6" t="s">
        <v>702</v>
      </c>
      <c r="N148" s="6" t="s">
        <v>17</v>
      </c>
      <c r="O148" s="6" t="s">
        <v>703</v>
      </c>
      <c r="P148" t="s">
        <v>125</v>
      </c>
      <c r="Q148" s="25" t="s">
        <v>2112</v>
      </c>
    </row>
    <row r="149" spans="1:19" ht="14.4" hidden="1" x14ac:dyDescent="0.3">
      <c r="A149" s="5">
        <v>142</v>
      </c>
      <c r="B149" s="17" t="s">
        <v>704</v>
      </c>
      <c r="C149" s="6">
        <v>51769687</v>
      </c>
      <c r="D149" s="6">
        <f>COUNTIFS($C$8:C149,C149)</f>
        <v>1</v>
      </c>
      <c r="E149" s="6">
        <v>3153111493</v>
      </c>
      <c r="F149" s="12" t="s">
        <v>705</v>
      </c>
      <c r="G149" s="7">
        <v>46049</v>
      </c>
      <c r="H149" s="7">
        <v>46387</v>
      </c>
      <c r="I149" s="8" t="s">
        <v>706</v>
      </c>
      <c r="J149" s="6" t="s">
        <v>500</v>
      </c>
      <c r="K149" s="6" t="s">
        <v>143</v>
      </c>
      <c r="L149" s="6" t="s">
        <v>398</v>
      </c>
      <c r="M149" s="6" t="s">
        <v>707</v>
      </c>
      <c r="N149" s="6" t="s">
        <v>17</v>
      </c>
      <c r="O149" s="6" t="s">
        <v>708</v>
      </c>
      <c r="P149" t="s">
        <v>125</v>
      </c>
      <c r="Q149" s="25" t="s">
        <v>2112</v>
      </c>
    </row>
    <row r="150" spans="1:19" ht="14.4" hidden="1" x14ac:dyDescent="0.3">
      <c r="A150" s="5">
        <v>143</v>
      </c>
      <c r="B150" s="17" t="s">
        <v>709</v>
      </c>
      <c r="C150" s="6">
        <v>1024496377</v>
      </c>
      <c r="D150" s="6">
        <f>COUNTIFS($C$8:C150,C150)</f>
        <v>1</v>
      </c>
      <c r="E150" s="6">
        <v>3193786568</v>
      </c>
      <c r="F150" s="12" t="s">
        <v>710</v>
      </c>
      <c r="G150" s="7">
        <v>46048</v>
      </c>
      <c r="H150" s="7">
        <v>46387</v>
      </c>
      <c r="I150" s="8" t="s">
        <v>711</v>
      </c>
      <c r="J150" s="6" t="s">
        <v>325</v>
      </c>
      <c r="K150" s="6" t="s">
        <v>143</v>
      </c>
      <c r="L150" s="6" t="s">
        <v>712</v>
      </c>
      <c r="M150" s="6" t="s">
        <v>713</v>
      </c>
      <c r="N150" s="6" t="s">
        <v>17</v>
      </c>
      <c r="O150" s="6" t="s">
        <v>339</v>
      </c>
      <c r="P150" t="s">
        <v>125</v>
      </c>
      <c r="Q150" s="25" t="s">
        <v>2112</v>
      </c>
    </row>
    <row r="151" spans="1:19" ht="14.4" hidden="1" x14ac:dyDescent="0.3">
      <c r="A151" s="16">
        <v>144</v>
      </c>
      <c r="B151" s="17" t="s">
        <v>714</v>
      </c>
      <c r="C151" s="17">
        <v>1012330327</v>
      </c>
      <c r="D151" s="6">
        <f>COUNTIFS($C$8:C151,C151)</f>
        <v>1</v>
      </c>
      <c r="E151" s="17">
        <v>3223664247</v>
      </c>
      <c r="F151" s="23" t="s">
        <v>715</v>
      </c>
      <c r="G151" s="18">
        <v>46030</v>
      </c>
      <c r="H151" s="18">
        <v>46387</v>
      </c>
      <c r="I151" s="8" t="s">
        <v>716</v>
      </c>
      <c r="J151" s="6" t="s">
        <v>500</v>
      </c>
      <c r="K151" s="6" t="s">
        <v>106</v>
      </c>
      <c r="L151" s="17" t="s">
        <v>56</v>
      </c>
      <c r="M151" s="17" t="s">
        <v>717</v>
      </c>
      <c r="N151" s="17" t="s">
        <v>17</v>
      </c>
      <c r="O151" s="17" t="s">
        <v>166</v>
      </c>
      <c r="P151" s="19" t="s">
        <v>125</v>
      </c>
      <c r="Q151" s="21" t="s">
        <v>2098</v>
      </c>
      <c r="R151" s="20"/>
      <c r="S151" s="20"/>
    </row>
    <row r="152" spans="1:19" ht="14.4" hidden="1" x14ac:dyDescent="0.3">
      <c r="A152" s="5">
        <v>145</v>
      </c>
      <c r="B152" s="17" t="s">
        <v>718</v>
      </c>
      <c r="C152" s="6">
        <v>11204730</v>
      </c>
      <c r="D152" s="6">
        <f>COUNTIFS($C$8:C152,C152)</f>
        <v>1</v>
      </c>
      <c r="E152" s="6">
        <v>3003093074</v>
      </c>
      <c r="F152" s="6" t="s">
        <v>20</v>
      </c>
      <c r="G152" s="7" t="s">
        <v>20</v>
      </c>
      <c r="H152" s="7" t="s">
        <v>20</v>
      </c>
      <c r="I152" s="8" t="s">
        <v>719</v>
      </c>
      <c r="J152" s="17" t="s">
        <v>1395</v>
      </c>
      <c r="K152" s="6" t="s">
        <v>115</v>
      </c>
      <c r="L152" s="6" t="s">
        <v>144</v>
      </c>
      <c r="M152" s="6" t="s">
        <v>720</v>
      </c>
      <c r="N152" s="6" t="s">
        <v>17</v>
      </c>
      <c r="O152" s="6" t="s">
        <v>60</v>
      </c>
      <c r="P152" t="s">
        <v>119</v>
      </c>
      <c r="Q152" s="25" t="s">
        <v>2112</v>
      </c>
    </row>
    <row r="153" spans="1:19" ht="14.4" hidden="1" x14ac:dyDescent="0.3">
      <c r="A153" s="5">
        <v>146</v>
      </c>
      <c r="B153" s="17" t="s">
        <v>721</v>
      </c>
      <c r="C153" s="6">
        <v>5710812</v>
      </c>
      <c r="D153" s="6">
        <f>COUNTIFS($C$8:C153,C153)</f>
        <v>1</v>
      </c>
      <c r="E153" s="6">
        <v>3153353328</v>
      </c>
      <c r="F153" s="12" t="s">
        <v>722</v>
      </c>
      <c r="G153" s="7">
        <v>46042</v>
      </c>
      <c r="H153" s="7">
        <v>46346</v>
      </c>
      <c r="I153" s="8" t="s">
        <v>723</v>
      </c>
      <c r="J153" s="6" t="s">
        <v>270</v>
      </c>
      <c r="K153" s="6" t="s">
        <v>143</v>
      </c>
      <c r="L153" s="6" t="s">
        <v>524</v>
      </c>
      <c r="M153" s="6" t="s">
        <v>724</v>
      </c>
      <c r="N153" s="6" t="s">
        <v>17</v>
      </c>
      <c r="O153" s="6" t="s">
        <v>725</v>
      </c>
      <c r="P153" t="s">
        <v>125</v>
      </c>
      <c r="Q153" s="25" t="s">
        <v>2112</v>
      </c>
    </row>
    <row r="154" spans="1:19" ht="14.4" hidden="1" x14ac:dyDescent="0.3">
      <c r="A154" s="5">
        <v>147</v>
      </c>
      <c r="B154" s="17" t="s">
        <v>726</v>
      </c>
      <c r="C154" s="6">
        <v>52777129</v>
      </c>
      <c r="D154" s="6">
        <f>COUNTIFS($C$8:C154,C154)</f>
        <v>1</v>
      </c>
      <c r="E154" s="6">
        <v>3212128327</v>
      </c>
      <c r="F154" s="12" t="s">
        <v>727</v>
      </c>
      <c r="G154" s="7">
        <v>46036</v>
      </c>
      <c r="H154" s="7">
        <v>46370</v>
      </c>
      <c r="I154" s="8" t="s">
        <v>728</v>
      </c>
      <c r="J154" s="6" t="s">
        <v>587</v>
      </c>
      <c r="K154" s="6" t="s">
        <v>115</v>
      </c>
      <c r="L154" s="6" t="s">
        <v>164</v>
      </c>
      <c r="M154" s="6" t="s">
        <v>729</v>
      </c>
      <c r="N154" s="6" t="s">
        <v>17</v>
      </c>
      <c r="O154" s="6" t="s">
        <v>60</v>
      </c>
      <c r="P154" t="s">
        <v>125</v>
      </c>
      <c r="Q154" s="25" t="s">
        <v>2112</v>
      </c>
    </row>
    <row r="155" spans="1:19" ht="14.4" hidden="1" x14ac:dyDescent="0.3">
      <c r="A155" s="16">
        <v>148</v>
      </c>
      <c r="B155" s="17" t="s">
        <v>730</v>
      </c>
      <c r="C155" s="6">
        <v>1019132150</v>
      </c>
      <c r="D155" s="6">
        <f>COUNTIFS($C$8:C155,C155)</f>
        <v>1</v>
      </c>
      <c r="E155" s="6">
        <v>3115143524</v>
      </c>
      <c r="F155" s="12" t="s">
        <v>731</v>
      </c>
      <c r="G155" s="7">
        <v>46041</v>
      </c>
      <c r="H155" s="7">
        <v>46356</v>
      </c>
      <c r="I155" s="8" t="s">
        <v>732</v>
      </c>
      <c r="J155" s="6" t="s">
        <v>256</v>
      </c>
      <c r="K155" s="6" t="s">
        <v>106</v>
      </c>
      <c r="L155" s="6" t="s">
        <v>56</v>
      </c>
      <c r="M155" s="6" t="s">
        <v>733</v>
      </c>
      <c r="N155" s="6" t="s">
        <v>17</v>
      </c>
      <c r="O155" s="6" t="s">
        <v>734</v>
      </c>
      <c r="P155" t="s">
        <v>125</v>
      </c>
      <c r="Q155" s="25" t="s">
        <v>2112</v>
      </c>
    </row>
    <row r="156" spans="1:19" ht="14.4" hidden="1" x14ac:dyDescent="0.3">
      <c r="A156" s="5">
        <v>149</v>
      </c>
      <c r="B156" s="17" t="s">
        <v>735</v>
      </c>
      <c r="C156" s="6">
        <v>79328182</v>
      </c>
      <c r="D156" s="6">
        <f>COUNTIFS($C$8:C156,C156)</f>
        <v>1</v>
      </c>
      <c r="E156" s="6">
        <v>3166210717</v>
      </c>
      <c r="F156" s="12" t="s">
        <v>736</v>
      </c>
      <c r="G156" s="7">
        <v>46035</v>
      </c>
      <c r="H156" s="7">
        <v>46379</v>
      </c>
      <c r="I156" s="8" t="s">
        <v>737</v>
      </c>
      <c r="J156" s="6" t="s">
        <v>587</v>
      </c>
      <c r="K156" s="6" t="s">
        <v>115</v>
      </c>
      <c r="L156" s="6" t="s">
        <v>196</v>
      </c>
      <c r="M156" s="6" t="s">
        <v>738</v>
      </c>
      <c r="N156" s="6" t="s">
        <v>17</v>
      </c>
      <c r="O156" s="6" t="s">
        <v>24</v>
      </c>
      <c r="P156" t="s">
        <v>125</v>
      </c>
      <c r="Q156" s="25" t="s">
        <v>2112</v>
      </c>
    </row>
    <row r="157" spans="1:19" ht="14.4" hidden="1" x14ac:dyDescent="0.3">
      <c r="A157" s="5">
        <v>150</v>
      </c>
      <c r="B157" s="17" t="s">
        <v>739</v>
      </c>
      <c r="C157" s="6">
        <v>51940883</v>
      </c>
      <c r="D157" s="6">
        <f>COUNTIFS($C$8:C157,C157)</f>
        <v>1</v>
      </c>
      <c r="E157" s="6">
        <v>3103348195</v>
      </c>
      <c r="F157" s="12" t="s">
        <v>740</v>
      </c>
      <c r="G157" s="7">
        <v>46049</v>
      </c>
      <c r="H157" s="7">
        <v>46387</v>
      </c>
      <c r="I157" s="8" t="s">
        <v>741</v>
      </c>
      <c r="J157" s="6" t="s">
        <v>742</v>
      </c>
      <c r="K157" s="6" t="s">
        <v>115</v>
      </c>
      <c r="L157" s="6" t="s">
        <v>743</v>
      </c>
      <c r="M157" s="6" t="s">
        <v>744</v>
      </c>
      <c r="N157" s="6" t="s">
        <v>17</v>
      </c>
      <c r="O157" s="6" t="s">
        <v>44</v>
      </c>
      <c r="P157" t="s">
        <v>125</v>
      </c>
      <c r="Q157" s="25" t="s">
        <v>2112</v>
      </c>
    </row>
    <row r="158" spans="1:19" ht="14.4" hidden="1" x14ac:dyDescent="0.3">
      <c r="A158" s="5">
        <v>151</v>
      </c>
      <c r="B158" s="17" t="s">
        <v>745</v>
      </c>
      <c r="C158" s="6">
        <v>67023991</v>
      </c>
      <c r="D158" s="6">
        <f>COUNTIFS($C$8:C158,C158)</f>
        <v>1</v>
      </c>
      <c r="E158" s="6">
        <v>3214263022</v>
      </c>
      <c r="F158" s="12" t="s">
        <v>746</v>
      </c>
      <c r="G158" s="7">
        <v>46035</v>
      </c>
      <c r="H158" s="7">
        <v>46387</v>
      </c>
      <c r="I158" s="8" t="s">
        <v>747</v>
      </c>
      <c r="J158" s="6" t="s">
        <v>2110</v>
      </c>
      <c r="K158" s="6" t="s">
        <v>115</v>
      </c>
      <c r="L158" s="6" t="s">
        <v>348</v>
      </c>
      <c r="M158" s="6" t="s">
        <v>748</v>
      </c>
      <c r="N158" s="6" t="s">
        <v>253</v>
      </c>
      <c r="O158" s="6" t="s">
        <v>146</v>
      </c>
      <c r="P158" t="s">
        <v>125</v>
      </c>
      <c r="Q158" s="25" t="s">
        <v>2112</v>
      </c>
    </row>
    <row r="159" spans="1:19" ht="14.4" hidden="1" x14ac:dyDescent="0.3">
      <c r="A159" s="16">
        <v>152</v>
      </c>
      <c r="B159" s="17" t="s">
        <v>749</v>
      </c>
      <c r="C159" s="6">
        <v>11433116</v>
      </c>
      <c r="D159" s="6">
        <f>COUNTIFS($C$8:C159,C159)</f>
        <v>1</v>
      </c>
      <c r="E159" s="6">
        <v>3123789683</v>
      </c>
      <c r="F159" s="6" t="s">
        <v>20</v>
      </c>
      <c r="G159" s="7" t="s">
        <v>20</v>
      </c>
      <c r="H159" s="7" t="s">
        <v>20</v>
      </c>
      <c r="I159" s="8" t="s">
        <v>750</v>
      </c>
      <c r="J159" s="6" t="s">
        <v>270</v>
      </c>
      <c r="K159" s="6" t="s">
        <v>143</v>
      </c>
      <c r="L159" s="6" t="s">
        <v>751</v>
      </c>
      <c r="M159" s="6" t="s">
        <v>752</v>
      </c>
      <c r="N159" s="6" t="s">
        <v>17</v>
      </c>
      <c r="O159" s="6" t="s">
        <v>248</v>
      </c>
      <c r="P159" t="s">
        <v>119</v>
      </c>
      <c r="Q159" s="25" t="s">
        <v>2112</v>
      </c>
    </row>
    <row r="160" spans="1:19" ht="14.4" hidden="1" x14ac:dyDescent="0.3">
      <c r="A160" s="5">
        <v>153</v>
      </c>
      <c r="B160" s="17" t="s">
        <v>2106</v>
      </c>
      <c r="C160" s="6">
        <v>91495511</v>
      </c>
      <c r="D160" s="6">
        <f>COUNTIFS($C$8:C160,C160)</f>
        <v>1</v>
      </c>
      <c r="E160" s="6">
        <v>3163208044</v>
      </c>
      <c r="F160" s="6" t="s">
        <v>2105</v>
      </c>
      <c r="G160" s="7">
        <v>46048</v>
      </c>
      <c r="H160" s="7">
        <v>46387</v>
      </c>
      <c r="I160" s="8" t="s">
        <v>753</v>
      </c>
      <c r="J160" s="6" t="s">
        <v>201</v>
      </c>
      <c r="K160" s="6" t="s">
        <v>106</v>
      </c>
      <c r="L160" s="6" t="s">
        <v>754</v>
      </c>
      <c r="M160" s="6" t="s">
        <v>755</v>
      </c>
      <c r="N160" s="6" t="s">
        <v>17</v>
      </c>
      <c r="O160" s="6" t="s">
        <v>24</v>
      </c>
      <c r="P160" t="s">
        <v>125</v>
      </c>
      <c r="Q160" s="25" t="s">
        <v>2112</v>
      </c>
    </row>
    <row r="161" spans="1:19" ht="14.4" hidden="1" x14ac:dyDescent="0.3">
      <c r="A161" s="5">
        <v>154</v>
      </c>
      <c r="B161" s="17" t="s">
        <v>756</v>
      </c>
      <c r="C161" s="6">
        <v>79908099</v>
      </c>
      <c r="D161" s="6">
        <f>COUNTIFS($C$8:C161,C161)</f>
        <v>1</v>
      </c>
      <c r="E161" s="6">
        <v>3012386108</v>
      </c>
      <c r="F161" s="12" t="s">
        <v>757</v>
      </c>
      <c r="G161" s="7">
        <v>46045</v>
      </c>
      <c r="H161" s="7">
        <v>46387</v>
      </c>
      <c r="I161" s="8" t="s">
        <v>758</v>
      </c>
      <c r="J161" s="6" t="s">
        <v>325</v>
      </c>
      <c r="K161" s="6" t="s">
        <v>143</v>
      </c>
      <c r="L161" s="6" t="s">
        <v>408</v>
      </c>
      <c r="M161" s="6" t="s">
        <v>759</v>
      </c>
      <c r="N161" s="6" t="s">
        <v>253</v>
      </c>
      <c r="O161" s="6" t="s">
        <v>60</v>
      </c>
      <c r="P161" t="s">
        <v>125</v>
      </c>
      <c r="Q161" s="25" t="s">
        <v>2112</v>
      </c>
    </row>
    <row r="162" spans="1:19" ht="14.4" hidden="1" x14ac:dyDescent="0.3">
      <c r="A162" s="5">
        <v>155</v>
      </c>
      <c r="B162" s="17" t="s">
        <v>760</v>
      </c>
      <c r="C162" s="6">
        <v>80543468</v>
      </c>
      <c r="D162" s="6">
        <f>COUNTIFS($C$8:C162,C162)</f>
        <v>1</v>
      </c>
      <c r="E162" s="6">
        <v>3108847606</v>
      </c>
      <c r="F162" s="12" t="s">
        <v>761</v>
      </c>
      <c r="G162" s="7">
        <v>46031</v>
      </c>
      <c r="H162" s="7">
        <v>46387</v>
      </c>
      <c r="I162" s="8" t="s">
        <v>762</v>
      </c>
      <c r="J162" s="6" t="s">
        <v>2110</v>
      </c>
      <c r="K162" s="6" t="s">
        <v>143</v>
      </c>
      <c r="L162" s="6" t="s">
        <v>64</v>
      </c>
      <c r="M162" s="6" t="s">
        <v>763</v>
      </c>
      <c r="N162" s="6" t="s">
        <v>17</v>
      </c>
      <c r="O162" s="6" t="s">
        <v>66</v>
      </c>
      <c r="P162" t="s">
        <v>125</v>
      </c>
      <c r="Q162" s="25" t="s">
        <v>2112</v>
      </c>
    </row>
    <row r="163" spans="1:19" ht="14.4" hidden="1" x14ac:dyDescent="0.3">
      <c r="A163" s="16">
        <v>156</v>
      </c>
      <c r="B163" s="17" t="s">
        <v>764</v>
      </c>
      <c r="C163" s="6">
        <v>1010206263</v>
      </c>
      <c r="D163" s="6">
        <f>COUNTIFS($C$8:C163,C163)</f>
        <v>1</v>
      </c>
      <c r="E163" s="6">
        <v>3204811196</v>
      </c>
      <c r="F163" s="12" t="s">
        <v>765</v>
      </c>
      <c r="G163" s="7">
        <v>46036</v>
      </c>
      <c r="H163" s="7">
        <v>46273</v>
      </c>
      <c r="I163" s="8" t="s">
        <v>766</v>
      </c>
      <c r="J163" s="6" t="s">
        <v>2110</v>
      </c>
      <c r="K163" s="6" t="s">
        <v>115</v>
      </c>
      <c r="L163" s="6" t="s">
        <v>616</v>
      </c>
      <c r="M163" s="6" t="s">
        <v>767</v>
      </c>
      <c r="N163" s="6" t="s">
        <v>17</v>
      </c>
      <c r="O163" s="6" t="s">
        <v>146</v>
      </c>
      <c r="P163" t="s">
        <v>125</v>
      </c>
      <c r="Q163" s="25" t="s">
        <v>2112</v>
      </c>
    </row>
    <row r="164" spans="1:19" ht="14.4" hidden="1" x14ac:dyDescent="0.3">
      <c r="A164" s="5">
        <v>157</v>
      </c>
      <c r="B164" s="17" t="s">
        <v>768</v>
      </c>
      <c r="C164" s="6">
        <v>1020722791</v>
      </c>
      <c r="D164" s="6">
        <f>COUNTIFS($C$8:C164,C164)</f>
        <v>1</v>
      </c>
      <c r="E164" s="6">
        <v>3194507035</v>
      </c>
      <c r="F164" s="12" t="s">
        <v>769</v>
      </c>
      <c r="G164" s="7">
        <v>46043</v>
      </c>
      <c r="H164" s="7">
        <v>46387</v>
      </c>
      <c r="I164" s="8" t="s">
        <v>770</v>
      </c>
      <c r="J164" s="6" t="s">
        <v>434</v>
      </c>
      <c r="K164" s="6" t="s">
        <v>143</v>
      </c>
      <c r="L164" s="6" t="s">
        <v>771</v>
      </c>
      <c r="M164" s="6" t="s">
        <v>772</v>
      </c>
      <c r="N164" s="6" t="s">
        <v>17</v>
      </c>
      <c r="O164" s="6" t="s">
        <v>773</v>
      </c>
      <c r="P164" t="s">
        <v>125</v>
      </c>
      <c r="Q164" s="25" t="s">
        <v>2112</v>
      </c>
    </row>
    <row r="165" spans="1:19" ht="14.4" hidden="1" x14ac:dyDescent="0.3">
      <c r="A165" s="5">
        <v>158</v>
      </c>
      <c r="B165" s="17" t="s">
        <v>774</v>
      </c>
      <c r="C165" s="6">
        <v>1026568929</v>
      </c>
      <c r="D165" s="6">
        <f>COUNTIFS($C$8:C165,C165)</f>
        <v>1</v>
      </c>
      <c r="E165" s="6">
        <v>3156165304</v>
      </c>
      <c r="F165" s="12" t="s">
        <v>775</v>
      </c>
      <c r="G165" s="7">
        <v>46045</v>
      </c>
      <c r="H165" s="7">
        <v>46387</v>
      </c>
      <c r="I165" s="8" t="s">
        <v>776</v>
      </c>
      <c r="J165" s="6" t="s">
        <v>201</v>
      </c>
      <c r="K165" s="6" t="s">
        <v>143</v>
      </c>
      <c r="L165" s="6" t="s">
        <v>777</v>
      </c>
      <c r="M165" s="6" t="s">
        <v>778</v>
      </c>
      <c r="N165" s="6" t="s">
        <v>17</v>
      </c>
      <c r="O165" s="6" t="s">
        <v>725</v>
      </c>
      <c r="P165" t="s">
        <v>125</v>
      </c>
      <c r="Q165" s="25" t="s">
        <v>2112</v>
      </c>
    </row>
    <row r="166" spans="1:19" ht="14.4" hidden="1" x14ac:dyDescent="0.3">
      <c r="A166" s="5">
        <v>159</v>
      </c>
      <c r="B166" s="17" t="s">
        <v>779</v>
      </c>
      <c r="C166" s="6">
        <v>80121497</v>
      </c>
      <c r="D166" s="6">
        <f>COUNTIFS($C$8:C166,C166)</f>
        <v>1</v>
      </c>
      <c r="E166" s="6">
        <v>3003457997</v>
      </c>
      <c r="F166" s="6" t="s">
        <v>20</v>
      </c>
      <c r="G166" s="7" t="s">
        <v>20</v>
      </c>
      <c r="H166" s="7" t="s">
        <v>20</v>
      </c>
      <c r="I166" s="8" t="s">
        <v>780</v>
      </c>
      <c r="J166" s="6" t="s">
        <v>1229</v>
      </c>
      <c r="K166" s="6" t="s">
        <v>115</v>
      </c>
      <c r="L166" s="6" t="s">
        <v>781</v>
      </c>
      <c r="M166" s="6" t="s">
        <v>782</v>
      </c>
      <c r="N166" s="6" t="s">
        <v>17</v>
      </c>
      <c r="O166" s="6" t="s">
        <v>66</v>
      </c>
      <c r="P166" t="s">
        <v>119</v>
      </c>
      <c r="Q166" s="25" t="s">
        <v>2112</v>
      </c>
    </row>
    <row r="167" spans="1:19" ht="14.4" hidden="1" x14ac:dyDescent="0.3">
      <c r="A167" s="16">
        <v>160</v>
      </c>
      <c r="B167" s="17" t="s">
        <v>783</v>
      </c>
      <c r="C167" s="17">
        <v>1020716220</v>
      </c>
      <c r="D167" s="6">
        <f>COUNTIFS($C$8:C167,C167)</f>
        <v>1</v>
      </c>
      <c r="E167" s="17">
        <v>3103201521</v>
      </c>
      <c r="F167" s="17" t="s">
        <v>784</v>
      </c>
      <c r="G167" s="18">
        <v>46031</v>
      </c>
      <c r="H167" s="18">
        <v>46209</v>
      </c>
      <c r="I167" s="8" t="s">
        <v>785</v>
      </c>
      <c r="J167" s="17" t="s">
        <v>299</v>
      </c>
      <c r="K167" s="6" t="s">
        <v>143</v>
      </c>
      <c r="L167" s="17" t="s">
        <v>58</v>
      </c>
      <c r="M167" s="17" t="s">
        <v>786</v>
      </c>
      <c r="N167" s="17" t="s">
        <v>17</v>
      </c>
      <c r="O167" s="17" t="s">
        <v>52</v>
      </c>
      <c r="P167" s="19" t="s">
        <v>125</v>
      </c>
      <c r="Q167" s="21" t="s">
        <v>2098</v>
      </c>
      <c r="R167" s="20"/>
      <c r="S167" s="20"/>
    </row>
    <row r="168" spans="1:19" ht="14.4" hidden="1" x14ac:dyDescent="0.3">
      <c r="A168" s="5">
        <v>161</v>
      </c>
      <c r="B168" s="17" t="s">
        <v>787</v>
      </c>
      <c r="C168" s="6">
        <v>80766953</v>
      </c>
      <c r="D168" s="6">
        <f>COUNTIFS($C$8:C168,C168)</f>
        <v>1</v>
      </c>
      <c r="E168" s="6">
        <v>3124619148</v>
      </c>
      <c r="F168" s="12" t="s">
        <v>788</v>
      </c>
      <c r="G168" s="7">
        <v>46035</v>
      </c>
      <c r="H168" s="7">
        <v>46277</v>
      </c>
      <c r="I168" s="8" t="s">
        <v>789</v>
      </c>
      <c r="J168" s="6" t="s">
        <v>500</v>
      </c>
      <c r="K168" s="6" t="s">
        <v>143</v>
      </c>
      <c r="L168" s="6" t="s">
        <v>790</v>
      </c>
      <c r="M168" s="6" t="s">
        <v>791</v>
      </c>
      <c r="N168" s="6" t="s">
        <v>17</v>
      </c>
      <c r="O168" s="6" t="s">
        <v>66</v>
      </c>
      <c r="P168" t="s">
        <v>125</v>
      </c>
      <c r="Q168" s="25" t="s">
        <v>2112</v>
      </c>
    </row>
    <row r="169" spans="1:19" ht="14.4" hidden="1" x14ac:dyDescent="0.3">
      <c r="A169" s="5">
        <v>162</v>
      </c>
      <c r="B169" s="17" t="s">
        <v>792</v>
      </c>
      <c r="C169" s="6">
        <v>80060504</v>
      </c>
      <c r="D169" s="6">
        <f>COUNTIFS($C$8:C169,C169)</f>
        <v>1</v>
      </c>
      <c r="E169" s="6">
        <v>3176435060</v>
      </c>
      <c r="F169" s="6" t="s">
        <v>793</v>
      </c>
      <c r="G169" s="7">
        <v>46037</v>
      </c>
      <c r="H169" s="7">
        <v>46371</v>
      </c>
      <c r="I169" s="8" t="s">
        <v>794</v>
      </c>
      <c r="J169" s="6" t="s">
        <v>587</v>
      </c>
      <c r="K169" s="6" t="s">
        <v>106</v>
      </c>
      <c r="L169" s="6" t="s">
        <v>795</v>
      </c>
      <c r="M169" s="6" t="s">
        <v>796</v>
      </c>
      <c r="N169" s="6" t="s">
        <v>17</v>
      </c>
      <c r="O169" s="6" t="s">
        <v>797</v>
      </c>
      <c r="P169" t="s">
        <v>125</v>
      </c>
      <c r="Q169" s="25" t="s">
        <v>2112</v>
      </c>
    </row>
    <row r="170" spans="1:19" ht="14.4" hidden="1" x14ac:dyDescent="0.3">
      <c r="A170" s="5">
        <v>163</v>
      </c>
      <c r="B170" s="17" t="s">
        <v>798</v>
      </c>
      <c r="C170" s="6">
        <v>5770982</v>
      </c>
      <c r="D170" s="6">
        <f>COUNTIFS($C$8:C170,C170)</f>
        <v>1</v>
      </c>
      <c r="E170" s="6">
        <v>3164707235</v>
      </c>
      <c r="F170" s="12" t="s">
        <v>799</v>
      </c>
      <c r="G170" s="7">
        <v>46048</v>
      </c>
      <c r="H170" s="7">
        <v>46371</v>
      </c>
      <c r="I170" s="8" t="s">
        <v>800</v>
      </c>
      <c r="J170" s="17" t="s">
        <v>1667</v>
      </c>
      <c r="K170" s="6" t="s">
        <v>115</v>
      </c>
      <c r="L170" s="6" t="s">
        <v>164</v>
      </c>
      <c r="M170" s="6" t="s">
        <v>801</v>
      </c>
      <c r="N170" s="6" t="s">
        <v>17</v>
      </c>
      <c r="O170" s="6" t="s">
        <v>60</v>
      </c>
      <c r="P170" t="s">
        <v>125</v>
      </c>
      <c r="Q170" s="25" t="s">
        <v>2112</v>
      </c>
    </row>
    <row r="171" spans="1:19" ht="14.4" hidden="1" x14ac:dyDescent="0.3">
      <c r="A171" s="16">
        <v>164</v>
      </c>
      <c r="B171" s="17" t="s">
        <v>802</v>
      </c>
      <c r="C171" s="17">
        <v>52494966</v>
      </c>
      <c r="D171" s="6">
        <f>COUNTIFS($C$8:C171,C171)</f>
        <v>1</v>
      </c>
      <c r="E171" s="17">
        <v>3132523070</v>
      </c>
      <c r="F171" s="23" t="s">
        <v>803</v>
      </c>
      <c r="G171" s="18">
        <v>46031</v>
      </c>
      <c r="H171" s="18">
        <v>46242</v>
      </c>
      <c r="I171" s="8" t="s">
        <v>804</v>
      </c>
      <c r="J171" s="6" t="s">
        <v>270</v>
      </c>
      <c r="K171" s="6" t="s">
        <v>106</v>
      </c>
      <c r="L171" s="17" t="s">
        <v>805</v>
      </c>
      <c r="M171" s="17" t="s">
        <v>806</v>
      </c>
      <c r="N171" s="17" t="s">
        <v>17</v>
      </c>
      <c r="O171" s="17" t="s">
        <v>24</v>
      </c>
      <c r="P171" s="19" t="s">
        <v>125</v>
      </c>
      <c r="Q171" s="22" t="s">
        <v>2098</v>
      </c>
      <c r="R171" s="20"/>
      <c r="S171" s="20"/>
    </row>
    <row r="172" spans="1:19" ht="14.4" hidden="1" x14ac:dyDescent="0.3">
      <c r="A172" s="5">
        <v>165</v>
      </c>
      <c r="B172" s="17" t="s">
        <v>807</v>
      </c>
      <c r="C172" s="6">
        <v>28483877</v>
      </c>
      <c r="D172" s="6">
        <f>COUNTIFS($C$8:C172,C172)</f>
        <v>1</v>
      </c>
      <c r="E172" s="6">
        <v>3206522181</v>
      </c>
      <c r="F172" s="12" t="s">
        <v>808</v>
      </c>
      <c r="G172" s="7">
        <v>46035</v>
      </c>
      <c r="H172" s="7">
        <v>46216</v>
      </c>
      <c r="I172" s="8" t="s">
        <v>809</v>
      </c>
      <c r="J172" s="6" t="s">
        <v>270</v>
      </c>
      <c r="K172" s="6" t="s">
        <v>143</v>
      </c>
      <c r="L172" s="6" t="s">
        <v>810</v>
      </c>
      <c r="M172" s="6" t="s">
        <v>811</v>
      </c>
      <c r="N172" s="6" t="s">
        <v>253</v>
      </c>
      <c r="O172" s="6" t="s">
        <v>166</v>
      </c>
      <c r="P172" t="s">
        <v>125</v>
      </c>
      <c r="Q172" s="25" t="s">
        <v>2112</v>
      </c>
    </row>
    <row r="173" spans="1:19" ht="14.4" hidden="1" x14ac:dyDescent="0.3">
      <c r="A173" s="5">
        <v>166</v>
      </c>
      <c r="B173" s="17" t="s">
        <v>812</v>
      </c>
      <c r="C173" s="17">
        <v>1140882919</v>
      </c>
      <c r="D173" s="6">
        <f>COUNTIFS($C$8:C173,C173)</f>
        <v>1</v>
      </c>
      <c r="E173" s="17">
        <v>3012086860</v>
      </c>
      <c r="F173" s="17" t="s">
        <v>813</v>
      </c>
      <c r="G173" s="18">
        <v>46044</v>
      </c>
      <c r="H173" s="18">
        <v>46226</v>
      </c>
      <c r="I173" s="8" t="s">
        <v>814</v>
      </c>
      <c r="J173" s="6" t="s">
        <v>270</v>
      </c>
      <c r="K173" s="6" t="s">
        <v>115</v>
      </c>
      <c r="L173" s="17" t="s">
        <v>815</v>
      </c>
      <c r="M173" s="17" t="s">
        <v>30</v>
      </c>
      <c r="N173" s="17" t="s">
        <v>17</v>
      </c>
      <c r="O173" s="17" t="s">
        <v>66</v>
      </c>
      <c r="P173" s="19" t="s">
        <v>125</v>
      </c>
      <c r="Q173" s="21" t="s">
        <v>2098</v>
      </c>
      <c r="R173" s="20"/>
      <c r="S173" s="20"/>
    </row>
    <row r="174" spans="1:19" ht="14.4" hidden="1" x14ac:dyDescent="0.3">
      <c r="A174" s="5">
        <v>167</v>
      </c>
      <c r="B174" s="17" t="s">
        <v>816</v>
      </c>
      <c r="C174" s="6">
        <v>1026271116</v>
      </c>
      <c r="D174" s="6">
        <f>COUNTIFS($C$8:C174,C174)</f>
        <v>1</v>
      </c>
      <c r="E174" s="6">
        <v>3187948753</v>
      </c>
      <c r="F174" s="6" t="s">
        <v>20</v>
      </c>
      <c r="G174" s="7" t="s">
        <v>20</v>
      </c>
      <c r="H174" s="7" t="s">
        <v>20</v>
      </c>
      <c r="I174" s="8" t="s">
        <v>817</v>
      </c>
      <c r="J174" s="6" t="s">
        <v>270</v>
      </c>
      <c r="K174" s="6" t="s">
        <v>143</v>
      </c>
      <c r="L174" s="6" t="s">
        <v>337</v>
      </c>
      <c r="M174" s="6" t="s">
        <v>818</v>
      </c>
      <c r="N174" s="6" t="s">
        <v>17</v>
      </c>
      <c r="O174" s="6" t="s">
        <v>60</v>
      </c>
      <c r="P174" t="s">
        <v>119</v>
      </c>
      <c r="Q174" s="25" t="s">
        <v>2112</v>
      </c>
    </row>
    <row r="175" spans="1:19" ht="14.4" hidden="1" x14ac:dyDescent="0.3">
      <c r="A175" s="16">
        <v>168</v>
      </c>
      <c r="B175" s="17" t="s">
        <v>819</v>
      </c>
      <c r="C175" s="17">
        <v>1121869677</v>
      </c>
      <c r="D175" s="6">
        <f>COUNTIFS($C$8:C175,C175)</f>
        <v>1</v>
      </c>
      <c r="E175" s="17">
        <v>3212005607</v>
      </c>
      <c r="F175" s="23" t="s">
        <v>820</v>
      </c>
      <c r="G175" s="18">
        <v>46035</v>
      </c>
      <c r="H175" s="18">
        <v>46216</v>
      </c>
      <c r="I175" s="8" t="s">
        <v>821</v>
      </c>
      <c r="J175" s="6" t="s">
        <v>270</v>
      </c>
      <c r="K175" s="6" t="s">
        <v>115</v>
      </c>
      <c r="L175" s="17" t="s">
        <v>681</v>
      </c>
      <c r="M175" s="17" t="s">
        <v>822</v>
      </c>
      <c r="N175" s="17" t="s">
        <v>17</v>
      </c>
      <c r="O175" s="17" t="s">
        <v>66</v>
      </c>
      <c r="P175" s="19" t="s">
        <v>125</v>
      </c>
      <c r="Q175" s="21" t="s">
        <v>2098</v>
      </c>
      <c r="R175" s="20"/>
      <c r="S175" s="20"/>
    </row>
    <row r="176" spans="1:19" ht="14.4" hidden="1" x14ac:dyDescent="0.3">
      <c r="A176" s="5">
        <v>169</v>
      </c>
      <c r="B176" s="17" t="s">
        <v>823</v>
      </c>
      <c r="C176" s="6">
        <v>1020731626</v>
      </c>
      <c r="D176" s="6">
        <f>COUNTIFS($C$8:C176,C176)</f>
        <v>1</v>
      </c>
      <c r="E176" s="6">
        <v>3155350751</v>
      </c>
      <c r="F176" s="12" t="s">
        <v>824</v>
      </c>
      <c r="G176" s="7">
        <v>46049</v>
      </c>
      <c r="H176" s="7">
        <v>46387</v>
      </c>
      <c r="I176" s="8" t="s">
        <v>825</v>
      </c>
      <c r="J176" s="6" t="s">
        <v>325</v>
      </c>
      <c r="K176" s="6" t="s">
        <v>143</v>
      </c>
      <c r="L176" s="6" t="s">
        <v>75</v>
      </c>
      <c r="M176" s="6" t="s">
        <v>826</v>
      </c>
      <c r="N176" s="6" t="s">
        <v>253</v>
      </c>
      <c r="O176" s="6" t="s">
        <v>44</v>
      </c>
      <c r="P176" t="s">
        <v>125</v>
      </c>
      <c r="Q176" s="25" t="s">
        <v>2112</v>
      </c>
    </row>
    <row r="177" spans="1:19" ht="14.4" hidden="1" x14ac:dyDescent="0.3">
      <c r="A177" s="5">
        <v>170</v>
      </c>
      <c r="B177" s="17" t="s">
        <v>827</v>
      </c>
      <c r="C177" s="6">
        <v>52907657</v>
      </c>
      <c r="D177" s="6">
        <f>COUNTIFS($C$8:C177,C177)</f>
        <v>1</v>
      </c>
      <c r="E177" s="6">
        <v>3123779731</v>
      </c>
      <c r="F177" s="12" t="s">
        <v>828</v>
      </c>
      <c r="G177" s="7">
        <v>46044</v>
      </c>
      <c r="H177" s="7">
        <v>46255</v>
      </c>
      <c r="I177" s="8" t="s">
        <v>829</v>
      </c>
      <c r="J177" s="6" t="s">
        <v>1843</v>
      </c>
      <c r="K177" s="6" t="s">
        <v>143</v>
      </c>
      <c r="L177" s="6" t="s">
        <v>830</v>
      </c>
      <c r="M177" s="6" t="s">
        <v>831</v>
      </c>
      <c r="N177" s="6" t="s">
        <v>17</v>
      </c>
      <c r="O177" s="6" t="s">
        <v>44</v>
      </c>
      <c r="P177" t="s">
        <v>125</v>
      </c>
      <c r="Q177" s="25" t="s">
        <v>2112</v>
      </c>
    </row>
    <row r="178" spans="1:19" ht="14.4" hidden="1" x14ac:dyDescent="0.3">
      <c r="A178" s="5">
        <v>171</v>
      </c>
      <c r="B178" s="17" t="s">
        <v>832</v>
      </c>
      <c r="C178" s="6">
        <v>1030579980</v>
      </c>
      <c r="D178" s="6">
        <f>COUNTIFS($C$8:C178,C178)</f>
        <v>1</v>
      </c>
      <c r="E178" s="6">
        <v>3112350620</v>
      </c>
      <c r="F178" s="12" t="s">
        <v>833</v>
      </c>
      <c r="G178" s="7">
        <v>46042</v>
      </c>
      <c r="H178" s="7">
        <v>46387</v>
      </c>
      <c r="I178" s="8" t="s">
        <v>834</v>
      </c>
      <c r="J178" s="6" t="s">
        <v>2109</v>
      </c>
      <c r="K178" s="6" t="s">
        <v>106</v>
      </c>
      <c r="L178" s="6" t="s">
        <v>701</v>
      </c>
      <c r="M178" s="6" t="s">
        <v>835</v>
      </c>
      <c r="N178" s="6" t="s">
        <v>17</v>
      </c>
      <c r="O178" s="6" t="s">
        <v>24</v>
      </c>
      <c r="P178" t="s">
        <v>125</v>
      </c>
      <c r="Q178" s="25" t="s">
        <v>2112</v>
      </c>
    </row>
    <row r="179" spans="1:19" ht="14.4" hidden="1" x14ac:dyDescent="0.3">
      <c r="A179" s="16">
        <v>172</v>
      </c>
      <c r="B179" s="17" t="s">
        <v>836</v>
      </c>
      <c r="C179" s="6">
        <v>79798056</v>
      </c>
      <c r="D179" s="6">
        <f>COUNTIFS($C$8:C179,C179)</f>
        <v>1</v>
      </c>
      <c r="E179" s="6">
        <v>3112816837</v>
      </c>
      <c r="F179" s="12" t="s">
        <v>837</v>
      </c>
      <c r="G179" s="7">
        <v>46036</v>
      </c>
      <c r="H179" s="7">
        <v>46216</v>
      </c>
      <c r="I179" s="8" t="s">
        <v>838</v>
      </c>
      <c r="J179" s="6" t="s">
        <v>1353</v>
      </c>
      <c r="K179" s="6" t="s">
        <v>115</v>
      </c>
      <c r="L179" s="6" t="s">
        <v>246</v>
      </c>
      <c r="M179" s="6" t="s">
        <v>839</v>
      </c>
      <c r="N179" s="6" t="s">
        <v>17</v>
      </c>
      <c r="O179" s="6" t="s">
        <v>166</v>
      </c>
      <c r="P179" t="s">
        <v>125</v>
      </c>
      <c r="Q179" s="25" t="s">
        <v>2112</v>
      </c>
    </row>
    <row r="180" spans="1:19" ht="14.4" hidden="1" x14ac:dyDescent="0.3">
      <c r="A180" s="5">
        <v>173</v>
      </c>
      <c r="B180" s="17" t="s">
        <v>840</v>
      </c>
      <c r="C180" s="6">
        <v>52152263</v>
      </c>
      <c r="D180" s="6">
        <f>COUNTIFS($C$8:C180,C180)</f>
        <v>1</v>
      </c>
      <c r="E180" s="6">
        <v>3203940357</v>
      </c>
      <c r="F180" s="12" t="s">
        <v>841</v>
      </c>
      <c r="G180" s="7">
        <v>46035</v>
      </c>
      <c r="H180" s="7">
        <v>46338</v>
      </c>
      <c r="I180" s="8" t="s">
        <v>842</v>
      </c>
      <c r="J180" s="6" t="s">
        <v>2109</v>
      </c>
      <c r="K180" s="6" t="s">
        <v>115</v>
      </c>
      <c r="L180" s="6" t="s">
        <v>843</v>
      </c>
      <c r="M180" s="6" t="s">
        <v>844</v>
      </c>
      <c r="N180" s="6" t="s">
        <v>17</v>
      </c>
      <c r="O180" s="6" t="s">
        <v>845</v>
      </c>
      <c r="P180" t="s">
        <v>125</v>
      </c>
      <c r="Q180" s="25" t="s">
        <v>2112</v>
      </c>
    </row>
    <row r="181" spans="1:19" ht="14.4" hidden="1" x14ac:dyDescent="0.3">
      <c r="A181" s="5">
        <v>174</v>
      </c>
      <c r="B181" s="17" t="s">
        <v>846</v>
      </c>
      <c r="C181" s="6">
        <v>1073152672</v>
      </c>
      <c r="D181" s="6">
        <f>COUNTIFS($C$8:C181,C181)</f>
        <v>1</v>
      </c>
      <c r="E181" s="6">
        <v>3102543144</v>
      </c>
      <c r="F181" s="12" t="s">
        <v>847</v>
      </c>
      <c r="G181" s="7">
        <v>46038</v>
      </c>
      <c r="H181" s="7">
        <v>46387</v>
      </c>
      <c r="I181" s="8" t="s">
        <v>848</v>
      </c>
      <c r="J181" s="17" t="s">
        <v>2011</v>
      </c>
      <c r="K181" s="6" t="s">
        <v>106</v>
      </c>
      <c r="L181" s="6" t="s">
        <v>849</v>
      </c>
      <c r="M181" s="6" t="s">
        <v>850</v>
      </c>
      <c r="N181" s="6" t="s">
        <v>17</v>
      </c>
      <c r="O181" s="6" t="s">
        <v>851</v>
      </c>
      <c r="P181" t="s">
        <v>125</v>
      </c>
      <c r="Q181" s="25" t="s">
        <v>2112</v>
      </c>
    </row>
    <row r="182" spans="1:19" ht="14.4" hidden="1" x14ac:dyDescent="0.3">
      <c r="A182" s="5">
        <v>175</v>
      </c>
      <c r="B182" s="17" t="s">
        <v>852</v>
      </c>
      <c r="C182" s="6">
        <v>6769668</v>
      </c>
      <c r="D182" s="6">
        <f>COUNTIFS($C$8:C182,C182)</f>
        <v>1</v>
      </c>
      <c r="E182" s="6">
        <v>3105680410</v>
      </c>
      <c r="F182" s="6" t="s">
        <v>20</v>
      </c>
      <c r="G182" s="7" t="s">
        <v>20</v>
      </c>
      <c r="H182" s="7" t="s">
        <v>20</v>
      </c>
      <c r="I182" s="8" t="s">
        <v>853</v>
      </c>
      <c r="J182" s="6" t="s">
        <v>500</v>
      </c>
      <c r="K182" s="6" t="s">
        <v>115</v>
      </c>
      <c r="L182" s="6" t="s">
        <v>144</v>
      </c>
      <c r="M182" s="6" t="s">
        <v>854</v>
      </c>
      <c r="N182" s="6" t="s">
        <v>17</v>
      </c>
      <c r="O182" s="6" t="s">
        <v>339</v>
      </c>
      <c r="P182" t="s">
        <v>119</v>
      </c>
      <c r="Q182" s="25" t="s">
        <v>2112</v>
      </c>
    </row>
    <row r="183" spans="1:19" ht="14.4" hidden="1" x14ac:dyDescent="0.3">
      <c r="A183" s="16">
        <v>176</v>
      </c>
      <c r="B183" s="17" t="s">
        <v>855</v>
      </c>
      <c r="C183" s="6">
        <v>52028400</v>
      </c>
      <c r="D183" s="6">
        <f>COUNTIFS($C$8:C183,C183)</f>
        <v>1</v>
      </c>
      <c r="E183" s="6">
        <v>3123500023</v>
      </c>
      <c r="F183" s="12" t="s">
        <v>856</v>
      </c>
      <c r="G183" s="7">
        <v>46037</v>
      </c>
      <c r="H183" s="7">
        <v>46387</v>
      </c>
      <c r="I183" s="8" t="s">
        <v>857</v>
      </c>
      <c r="J183" s="6" t="s">
        <v>500</v>
      </c>
      <c r="K183" s="6" t="s">
        <v>115</v>
      </c>
      <c r="L183" s="6" t="s">
        <v>202</v>
      </c>
      <c r="M183" s="6" t="s">
        <v>858</v>
      </c>
      <c r="N183" s="6" t="s">
        <v>17</v>
      </c>
      <c r="O183" s="6" t="s">
        <v>859</v>
      </c>
      <c r="P183" t="s">
        <v>125</v>
      </c>
      <c r="Q183" s="25" t="s">
        <v>2112</v>
      </c>
    </row>
    <row r="184" spans="1:19" ht="14.4" hidden="1" x14ac:dyDescent="0.3">
      <c r="A184" s="5">
        <v>177</v>
      </c>
      <c r="B184" s="17" t="s">
        <v>860</v>
      </c>
      <c r="C184" s="17">
        <v>29120343</v>
      </c>
      <c r="D184" s="6">
        <f>COUNTIFS($C$8:C184,C184)</f>
        <v>1</v>
      </c>
      <c r="E184" s="17">
        <v>3017861952</v>
      </c>
      <c r="F184" s="23" t="s">
        <v>861</v>
      </c>
      <c r="G184" s="18">
        <v>46031</v>
      </c>
      <c r="H184" s="18">
        <v>46387</v>
      </c>
      <c r="I184" s="8" t="s">
        <v>862</v>
      </c>
      <c r="J184" s="6" t="s">
        <v>500</v>
      </c>
      <c r="K184" s="6" t="s">
        <v>115</v>
      </c>
      <c r="L184" s="17" t="s">
        <v>337</v>
      </c>
      <c r="M184" s="17" t="s">
        <v>863</v>
      </c>
      <c r="N184" s="17" t="s">
        <v>17</v>
      </c>
      <c r="O184" s="17" t="s">
        <v>248</v>
      </c>
      <c r="P184" s="19" t="s">
        <v>125</v>
      </c>
      <c r="Q184" s="21" t="s">
        <v>2098</v>
      </c>
      <c r="R184" s="20"/>
      <c r="S184" s="20"/>
    </row>
    <row r="185" spans="1:19" ht="14.4" hidden="1" x14ac:dyDescent="0.3">
      <c r="A185" s="5">
        <v>178</v>
      </c>
      <c r="B185" s="17" t="s">
        <v>864</v>
      </c>
      <c r="C185" s="6">
        <v>1010196659</v>
      </c>
      <c r="D185" s="6">
        <f>COUNTIFS($C$8:C185,C185)</f>
        <v>1</v>
      </c>
      <c r="E185" s="6">
        <v>3213057575</v>
      </c>
      <c r="F185" s="12" t="s">
        <v>865</v>
      </c>
      <c r="G185" s="7">
        <v>46041</v>
      </c>
      <c r="H185" s="7">
        <v>46387</v>
      </c>
      <c r="I185" s="8" t="s">
        <v>866</v>
      </c>
      <c r="J185" s="6" t="s">
        <v>500</v>
      </c>
      <c r="K185" s="6" t="s">
        <v>143</v>
      </c>
      <c r="L185" s="6" t="s">
        <v>132</v>
      </c>
      <c r="M185" s="6" t="s">
        <v>867</v>
      </c>
      <c r="N185" s="6" t="s">
        <v>17</v>
      </c>
      <c r="O185" s="6" t="s">
        <v>60</v>
      </c>
      <c r="P185" t="s">
        <v>125</v>
      </c>
      <c r="Q185" s="25" t="s">
        <v>2112</v>
      </c>
    </row>
    <row r="186" spans="1:19" ht="14.4" hidden="1" x14ac:dyDescent="0.3">
      <c r="A186" s="5">
        <v>179</v>
      </c>
      <c r="B186" s="17" t="s">
        <v>868</v>
      </c>
      <c r="C186" s="17">
        <v>80239647</v>
      </c>
      <c r="D186" s="6">
        <f>COUNTIFS($C$8:C186,C186)</f>
        <v>1</v>
      </c>
      <c r="E186" s="17">
        <v>3102659301</v>
      </c>
      <c r="F186" s="17" t="s">
        <v>20</v>
      </c>
      <c r="G186" s="18" t="s">
        <v>20</v>
      </c>
      <c r="H186" s="18" t="s">
        <v>20</v>
      </c>
      <c r="I186" s="8" t="s">
        <v>869</v>
      </c>
      <c r="J186" s="6" t="s">
        <v>1716</v>
      </c>
      <c r="K186" s="6" t="s">
        <v>143</v>
      </c>
      <c r="L186" s="17" t="s">
        <v>294</v>
      </c>
      <c r="M186" s="17" t="s">
        <v>870</v>
      </c>
      <c r="N186" s="6" t="s">
        <v>253</v>
      </c>
      <c r="O186" s="17" t="s">
        <v>60</v>
      </c>
      <c r="P186" s="19" t="s">
        <v>119</v>
      </c>
      <c r="Q186" s="22" t="s">
        <v>2098</v>
      </c>
      <c r="R186" s="20"/>
      <c r="S186" s="20"/>
    </row>
    <row r="187" spans="1:19" ht="14.4" hidden="1" x14ac:dyDescent="0.3">
      <c r="A187" s="16">
        <v>180</v>
      </c>
      <c r="B187" s="17" t="s">
        <v>871</v>
      </c>
      <c r="C187" s="17">
        <v>1030543652</v>
      </c>
      <c r="D187" s="6">
        <f>COUNTIFS($C$8:C187,C187)</f>
        <v>1</v>
      </c>
      <c r="E187" s="17">
        <v>3014400686</v>
      </c>
      <c r="F187" s="23" t="s">
        <v>872</v>
      </c>
      <c r="G187" s="18">
        <v>46028</v>
      </c>
      <c r="H187" s="18">
        <v>46230</v>
      </c>
      <c r="I187" s="8" t="s">
        <v>873</v>
      </c>
      <c r="J187" s="6" t="s">
        <v>285</v>
      </c>
      <c r="K187" s="6" t="s">
        <v>106</v>
      </c>
      <c r="L187" s="17" t="s">
        <v>56</v>
      </c>
      <c r="M187" s="17" t="s">
        <v>874</v>
      </c>
      <c r="N187" s="17" t="s">
        <v>17</v>
      </c>
      <c r="O187" s="17" t="s">
        <v>146</v>
      </c>
      <c r="P187" s="19" t="s">
        <v>125</v>
      </c>
      <c r="Q187" s="22" t="s">
        <v>2098</v>
      </c>
      <c r="R187" s="20"/>
      <c r="S187" s="20"/>
    </row>
    <row r="188" spans="1:19" ht="14.4" hidden="1" x14ac:dyDescent="0.3">
      <c r="A188" s="5">
        <v>181</v>
      </c>
      <c r="B188" s="17" t="s">
        <v>875</v>
      </c>
      <c r="C188" s="6">
        <v>1010247161</v>
      </c>
      <c r="D188" s="6">
        <f>COUNTIFS($C$8:C188,C188)</f>
        <v>1</v>
      </c>
      <c r="E188" s="6">
        <v>3014130619</v>
      </c>
      <c r="F188" s="12" t="s">
        <v>876</v>
      </c>
      <c r="G188" s="7">
        <v>46043</v>
      </c>
      <c r="H188" s="7">
        <v>46219</v>
      </c>
      <c r="I188" s="8" t="s">
        <v>877</v>
      </c>
      <c r="J188" s="17" t="s">
        <v>1395</v>
      </c>
      <c r="K188" s="6" t="s">
        <v>106</v>
      </c>
      <c r="L188" s="6" t="s">
        <v>878</v>
      </c>
      <c r="M188" s="6" t="s">
        <v>879</v>
      </c>
      <c r="N188" s="6" t="s">
        <v>17</v>
      </c>
      <c r="O188" s="6" t="s">
        <v>880</v>
      </c>
      <c r="P188" t="s">
        <v>125</v>
      </c>
      <c r="Q188" s="25" t="s">
        <v>2112</v>
      </c>
    </row>
    <row r="189" spans="1:19" ht="14.4" hidden="1" x14ac:dyDescent="0.3">
      <c r="A189" s="5">
        <v>182</v>
      </c>
      <c r="B189" s="17" t="s">
        <v>881</v>
      </c>
      <c r="C189" s="6">
        <v>6070137</v>
      </c>
      <c r="D189" s="6">
        <f>COUNTIFS($C$8:C189,C189)</f>
        <v>1</v>
      </c>
      <c r="E189" s="6">
        <v>3148350647</v>
      </c>
      <c r="F189" s="12" t="s">
        <v>882</v>
      </c>
      <c r="G189" s="7">
        <v>46031</v>
      </c>
      <c r="H189" s="7">
        <v>46387</v>
      </c>
      <c r="I189" s="8" t="s">
        <v>883</v>
      </c>
      <c r="J189" s="6" t="s">
        <v>1716</v>
      </c>
      <c r="K189" s="6" t="s">
        <v>115</v>
      </c>
      <c r="L189" s="6" t="s">
        <v>304</v>
      </c>
      <c r="M189" s="6" t="s">
        <v>884</v>
      </c>
      <c r="N189" s="6" t="s">
        <v>17</v>
      </c>
      <c r="O189" s="6" t="s">
        <v>44</v>
      </c>
      <c r="P189" t="s">
        <v>125</v>
      </c>
      <c r="Q189" s="25" t="s">
        <v>2112</v>
      </c>
    </row>
    <row r="190" spans="1:19" ht="14.4" hidden="1" x14ac:dyDescent="0.3">
      <c r="A190" s="5">
        <v>183</v>
      </c>
      <c r="B190" s="17" t="s">
        <v>885</v>
      </c>
      <c r="C190" s="6">
        <v>10305307</v>
      </c>
      <c r="D190" s="6">
        <f>COUNTIFS($C$8:C190,C190)</f>
        <v>1</v>
      </c>
      <c r="E190" s="6">
        <v>3167222810</v>
      </c>
      <c r="F190" s="12" t="s">
        <v>886</v>
      </c>
      <c r="G190" s="7">
        <v>46032</v>
      </c>
      <c r="H190" s="7">
        <v>46387</v>
      </c>
      <c r="I190" s="8" t="s">
        <v>887</v>
      </c>
      <c r="J190" s="6" t="s">
        <v>201</v>
      </c>
      <c r="K190" s="6" t="s">
        <v>115</v>
      </c>
      <c r="L190" s="6" t="s">
        <v>304</v>
      </c>
      <c r="M190" s="6" t="s">
        <v>888</v>
      </c>
      <c r="N190" s="6" t="s">
        <v>17</v>
      </c>
      <c r="O190" s="6" t="s">
        <v>66</v>
      </c>
      <c r="P190" t="s">
        <v>125</v>
      </c>
      <c r="Q190" s="25" t="s">
        <v>2112</v>
      </c>
    </row>
    <row r="191" spans="1:19" ht="14.4" hidden="1" x14ac:dyDescent="0.3">
      <c r="A191" s="16">
        <v>184</v>
      </c>
      <c r="B191" s="17" t="s">
        <v>889</v>
      </c>
      <c r="C191" s="6">
        <v>1110494882</v>
      </c>
      <c r="D191" s="6">
        <f>COUNTIFS($C$8:C191,C191)</f>
        <v>1</v>
      </c>
      <c r="E191" s="6">
        <v>3004812996</v>
      </c>
      <c r="F191" s="12" t="s">
        <v>890</v>
      </c>
      <c r="G191" s="7">
        <v>46037</v>
      </c>
      <c r="H191" s="7">
        <v>46249</v>
      </c>
      <c r="I191" s="8" t="s">
        <v>891</v>
      </c>
      <c r="J191" s="6" t="s">
        <v>270</v>
      </c>
      <c r="K191" s="6" t="s">
        <v>143</v>
      </c>
      <c r="L191" s="6" t="s">
        <v>892</v>
      </c>
      <c r="M191" s="6" t="s">
        <v>893</v>
      </c>
      <c r="N191" s="6" t="s">
        <v>17</v>
      </c>
      <c r="O191" s="6" t="s">
        <v>248</v>
      </c>
      <c r="P191" t="s">
        <v>125</v>
      </c>
      <c r="Q191" s="25" t="s">
        <v>2112</v>
      </c>
    </row>
    <row r="192" spans="1:19" ht="14.4" hidden="1" x14ac:dyDescent="0.3">
      <c r="A192" s="5">
        <v>185</v>
      </c>
      <c r="B192" s="17" t="s">
        <v>894</v>
      </c>
      <c r="C192" s="17">
        <v>39707570</v>
      </c>
      <c r="D192" s="6">
        <f>COUNTIFS($C$8:C192,C192)</f>
        <v>1</v>
      </c>
      <c r="E192" s="17">
        <v>3125627087</v>
      </c>
      <c r="F192" s="23" t="s">
        <v>895</v>
      </c>
      <c r="G192" s="18">
        <v>46049</v>
      </c>
      <c r="H192" s="18">
        <v>46215</v>
      </c>
      <c r="I192" s="8" t="s">
        <v>896</v>
      </c>
      <c r="J192" s="17" t="s">
        <v>1395</v>
      </c>
      <c r="K192" s="6" t="s">
        <v>143</v>
      </c>
      <c r="L192" s="17" t="s">
        <v>58</v>
      </c>
      <c r="M192" s="17" t="s">
        <v>897</v>
      </c>
      <c r="N192" s="17" t="s">
        <v>17</v>
      </c>
      <c r="O192" s="17" t="s">
        <v>60</v>
      </c>
      <c r="P192" s="19" t="s">
        <v>125</v>
      </c>
      <c r="Q192" s="22" t="s">
        <v>2098</v>
      </c>
      <c r="R192" s="20"/>
      <c r="S192" s="20"/>
    </row>
    <row r="193" spans="1:17" ht="14.4" hidden="1" x14ac:dyDescent="0.3">
      <c r="A193" s="5">
        <v>186</v>
      </c>
      <c r="B193" s="17" t="s">
        <v>898</v>
      </c>
      <c r="C193" s="6">
        <v>51563303</v>
      </c>
      <c r="D193" s="6">
        <f>COUNTIFS($C$8:C193,C193)</f>
        <v>1</v>
      </c>
      <c r="E193" s="6">
        <v>3003942680</v>
      </c>
      <c r="F193" s="12" t="s">
        <v>899</v>
      </c>
      <c r="G193" s="7">
        <v>46042</v>
      </c>
      <c r="H193" s="7">
        <v>46387</v>
      </c>
      <c r="I193" s="8" t="s">
        <v>900</v>
      </c>
      <c r="J193" s="6" t="s">
        <v>500</v>
      </c>
      <c r="K193" s="6" t="s">
        <v>143</v>
      </c>
      <c r="L193" s="6" t="s">
        <v>58</v>
      </c>
      <c r="M193" s="6" t="s">
        <v>901</v>
      </c>
      <c r="N193" s="6" t="s">
        <v>17</v>
      </c>
      <c r="O193" s="6" t="s">
        <v>653</v>
      </c>
      <c r="P193" t="s">
        <v>125</v>
      </c>
      <c r="Q193" s="25" t="s">
        <v>2112</v>
      </c>
    </row>
    <row r="194" spans="1:17" ht="14.4" hidden="1" x14ac:dyDescent="0.3">
      <c r="A194" s="5">
        <v>187</v>
      </c>
      <c r="B194" s="17" t="s">
        <v>902</v>
      </c>
      <c r="C194" s="6">
        <v>4978456</v>
      </c>
      <c r="D194" s="6">
        <f>COUNTIFS($C$8:C194,C194)</f>
        <v>1</v>
      </c>
      <c r="E194" s="6">
        <v>3108688874</v>
      </c>
      <c r="F194" s="12" t="s">
        <v>903</v>
      </c>
      <c r="G194" s="7">
        <v>46044</v>
      </c>
      <c r="H194" s="7">
        <v>46286</v>
      </c>
      <c r="I194" s="8" t="s">
        <v>904</v>
      </c>
      <c r="J194" s="6" t="s">
        <v>500</v>
      </c>
      <c r="K194" s="6" t="s">
        <v>115</v>
      </c>
      <c r="L194" s="6" t="s">
        <v>905</v>
      </c>
      <c r="M194" s="6" t="s">
        <v>906</v>
      </c>
      <c r="N194" s="6" t="s">
        <v>17</v>
      </c>
      <c r="O194" s="6" t="s">
        <v>66</v>
      </c>
      <c r="P194" t="s">
        <v>125</v>
      </c>
      <c r="Q194" s="25" t="s">
        <v>2112</v>
      </c>
    </row>
    <row r="195" spans="1:17" ht="14.4" hidden="1" x14ac:dyDescent="0.3">
      <c r="A195" s="16">
        <v>188</v>
      </c>
      <c r="B195" s="17" t="s">
        <v>907</v>
      </c>
      <c r="C195" s="6">
        <v>1000008186</v>
      </c>
      <c r="D195" s="6">
        <f>COUNTIFS($C$8:C195,C195)</f>
        <v>1</v>
      </c>
      <c r="E195" s="6">
        <v>3006087040</v>
      </c>
      <c r="F195" s="6" t="s">
        <v>908</v>
      </c>
      <c r="G195" s="7">
        <v>46049</v>
      </c>
      <c r="H195" s="7">
        <v>46387</v>
      </c>
      <c r="I195" s="8" t="s">
        <v>909</v>
      </c>
      <c r="J195" s="6" t="s">
        <v>2110</v>
      </c>
      <c r="K195" s="6" t="s">
        <v>106</v>
      </c>
      <c r="L195" s="6" t="s">
        <v>616</v>
      </c>
      <c r="M195" s="6" t="s">
        <v>910</v>
      </c>
      <c r="N195" s="6" t="s">
        <v>17</v>
      </c>
      <c r="O195" s="6" t="s">
        <v>911</v>
      </c>
      <c r="P195" t="s">
        <v>125</v>
      </c>
      <c r="Q195" s="25" t="s">
        <v>2112</v>
      </c>
    </row>
    <row r="196" spans="1:17" ht="14.4" hidden="1" x14ac:dyDescent="0.3">
      <c r="A196" s="5">
        <v>189</v>
      </c>
      <c r="B196" s="17" t="s">
        <v>912</v>
      </c>
      <c r="C196" s="6">
        <v>80129534</v>
      </c>
      <c r="D196" s="6">
        <f>COUNTIFS($C$8:C196,C196)</f>
        <v>1</v>
      </c>
      <c r="E196" s="6">
        <v>3212687523</v>
      </c>
      <c r="F196" s="12" t="s">
        <v>913</v>
      </c>
      <c r="G196" s="7">
        <v>46038</v>
      </c>
      <c r="H196" s="7">
        <v>46387</v>
      </c>
      <c r="I196" s="8" t="s">
        <v>914</v>
      </c>
      <c r="J196" s="6" t="s">
        <v>500</v>
      </c>
      <c r="K196" s="6" t="s">
        <v>115</v>
      </c>
      <c r="L196" s="6" t="s">
        <v>75</v>
      </c>
      <c r="M196" s="6" t="s">
        <v>915</v>
      </c>
      <c r="N196" s="6" t="s">
        <v>17</v>
      </c>
      <c r="O196" s="6" t="s">
        <v>725</v>
      </c>
      <c r="P196" t="s">
        <v>125</v>
      </c>
      <c r="Q196" s="25" t="s">
        <v>2112</v>
      </c>
    </row>
    <row r="197" spans="1:17" ht="14.4" hidden="1" x14ac:dyDescent="0.3">
      <c r="A197" s="5">
        <v>190</v>
      </c>
      <c r="B197" s="17" t="s">
        <v>916</v>
      </c>
      <c r="C197" s="6">
        <v>53021213</v>
      </c>
      <c r="D197" s="6">
        <f>COUNTIFS($C$8:C197,C197)</f>
        <v>1</v>
      </c>
      <c r="E197" s="6">
        <v>3137297394</v>
      </c>
      <c r="F197" s="12" t="s">
        <v>917</v>
      </c>
      <c r="G197" s="7">
        <v>46029</v>
      </c>
      <c r="H197" s="7">
        <v>46053</v>
      </c>
      <c r="I197" s="8" t="s">
        <v>918</v>
      </c>
      <c r="J197" s="6" t="s">
        <v>500</v>
      </c>
      <c r="K197" s="6" t="s">
        <v>115</v>
      </c>
      <c r="L197" s="6" t="s">
        <v>919</v>
      </c>
      <c r="M197" s="6" t="s">
        <v>920</v>
      </c>
      <c r="N197" s="6" t="s">
        <v>17</v>
      </c>
      <c r="O197" s="6" t="s">
        <v>921</v>
      </c>
      <c r="P197" t="s">
        <v>125</v>
      </c>
      <c r="Q197" s="25" t="s">
        <v>2112</v>
      </c>
    </row>
    <row r="198" spans="1:17" ht="14.4" hidden="1" x14ac:dyDescent="0.3">
      <c r="A198" s="5">
        <v>191</v>
      </c>
      <c r="B198" s="17" t="s">
        <v>922</v>
      </c>
      <c r="C198" s="6">
        <v>80401214</v>
      </c>
      <c r="D198" s="6">
        <f>COUNTIFS($C$8:C198,C198)</f>
        <v>1</v>
      </c>
      <c r="E198" s="6">
        <v>3144430585</v>
      </c>
      <c r="F198" s="12" t="s">
        <v>923</v>
      </c>
      <c r="G198" s="7">
        <v>46043</v>
      </c>
      <c r="H198" s="7">
        <v>46252</v>
      </c>
      <c r="I198" s="8" t="s">
        <v>924</v>
      </c>
      <c r="J198" s="6" t="s">
        <v>270</v>
      </c>
      <c r="K198" s="6" t="s">
        <v>115</v>
      </c>
      <c r="L198" s="6" t="s">
        <v>354</v>
      </c>
      <c r="M198" s="6" t="s">
        <v>925</v>
      </c>
      <c r="N198" s="6" t="s">
        <v>17</v>
      </c>
      <c r="O198" s="6" t="s">
        <v>34</v>
      </c>
      <c r="P198" t="s">
        <v>125</v>
      </c>
      <c r="Q198" s="25" t="s">
        <v>2112</v>
      </c>
    </row>
    <row r="199" spans="1:17" ht="14.4" hidden="1" x14ac:dyDescent="0.3">
      <c r="A199" s="16">
        <v>192</v>
      </c>
      <c r="B199" s="17" t="s">
        <v>926</v>
      </c>
      <c r="C199" s="6">
        <v>79881307</v>
      </c>
      <c r="D199" s="6">
        <f>COUNTIFS($C$8:C199,C199)</f>
        <v>1</v>
      </c>
      <c r="E199" s="6">
        <v>3125860568</v>
      </c>
      <c r="F199" s="12" t="s">
        <v>927</v>
      </c>
      <c r="G199" s="7">
        <v>46045</v>
      </c>
      <c r="H199" s="7">
        <v>46234</v>
      </c>
      <c r="I199" s="8" t="s">
        <v>928</v>
      </c>
      <c r="J199" s="6" t="s">
        <v>270</v>
      </c>
      <c r="K199" s="6" t="s">
        <v>143</v>
      </c>
      <c r="L199" s="6" t="s">
        <v>929</v>
      </c>
      <c r="M199" s="6" t="s">
        <v>930</v>
      </c>
      <c r="N199" s="6" t="s">
        <v>17</v>
      </c>
      <c r="O199" s="6" t="s">
        <v>931</v>
      </c>
      <c r="P199" t="s">
        <v>125</v>
      </c>
      <c r="Q199" s="25" t="s">
        <v>2112</v>
      </c>
    </row>
    <row r="200" spans="1:17" ht="14.4" hidden="1" x14ac:dyDescent="0.3">
      <c r="A200" s="5">
        <v>193</v>
      </c>
      <c r="B200" s="17" t="s">
        <v>932</v>
      </c>
      <c r="C200" s="6">
        <v>80213841</v>
      </c>
      <c r="D200" s="6">
        <f>COUNTIFS($C$8:C200,C200)</f>
        <v>1</v>
      </c>
      <c r="E200" s="6">
        <v>314263028</v>
      </c>
      <c r="F200" s="12" t="s">
        <v>933</v>
      </c>
      <c r="G200" s="7">
        <v>46031</v>
      </c>
      <c r="H200" s="7">
        <v>46387</v>
      </c>
      <c r="I200" s="8" t="s">
        <v>934</v>
      </c>
      <c r="J200" s="6" t="s">
        <v>500</v>
      </c>
      <c r="K200" s="6" t="s">
        <v>115</v>
      </c>
      <c r="L200" s="6" t="s">
        <v>22</v>
      </c>
      <c r="M200" s="6" t="s">
        <v>935</v>
      </c>
      <c r="N200" s="6" t="s">
        <v>129</v>
      </c>
      <c r="O200" s="6" t="s">
        <v>38</v>
      </c>
      <c r="P200" t="s">
        <v>125</v>
      </c>
      <c r="Q200" s="25" t="s">
        <v>2112</v>
      </c>
    </row>
    <row r="201" spans="1:17" ht="14.4" hidden="1" x14ac:dyDescent="0.3">
      <c r="A201" s="5">
        <v>194</v>
      </c>
      <c r="B201" s="17" t="s">
        <v>936</v>
      </c>
      <c r="C201" s="6">
        <v>79265641</v>
      </c>
      <c r="D201" s="6">
        <f>COUNTIFS($C$8:C201,C201)</f>
        <v>1</v>
      </c>
      <c r="E201" s="6">
        <v>3108078188</v>
      </c>
      <c r="F201" s="6" t="s">
        <v>20</v>
      </c>
      <c r="G201" s="7" t="s">
        <v>20</v>
      </c>
      <c r="H201" s="7" t="s">
        <v>20</v>
      </c>
      <c r="I201" s="8" t="s">
        <v>937</v>
      </c>
      <c r="J201" s="6" t="s">
        <v>270</v>
      </c>
      <c r="K201" s="6" t="s">
        <v>143</v>
      </c>
      <c r="L201" s="6" t="s">
        <v>75</v>
      </c>
      <c r="M201" s="6" t="s">
        <v>938</v>
      </c>
      <c r="N201" s="6" t="s">
        <v>253</v>
      </c>
      <c r="O201" s="6" t="s">
        <v>66</v>
      </c>
      <c r="P201" t="s">
        <v>119</v>
      </c>
      <c r="Q201" s="25" t="s">
        <v>2112</v>
      </c>
    </row>
    <row r="202" spans="1:17" ht="14.4" hidden="1" x14ac:dyDescent="0.3">
      <c r="A202" s="5">
        <v>195</v>
      </c>
      <c r="B202" s="17" t="s">
        <v>939</v>
      </c>
      <c r="C202" s="6">
        <v>1140847934</v>
      </c>
      <c r="D202" s="6">
        <f>COUNTIFS($C$8:C202,C202)</f>
        <v>1</v>
      </c>
      <c r="E202" s="6">
        <v>3002719624</v>
      </c>
      <c r="F202" s="6" t="s">
        <v>940</v>
      </c>
      <c r="G202" s="7">
        <v>46036</v>
      </c>
      <c r="H202" s="7">
        <v>46251</v>
      </c>
      <c r="I202" s="8" t="s">
        <v>941</v>
      </c>
      <c r="J202" s="6" t="s">
        <v>1338</v>
      </c>
      <c r="K202" s="6" t="s">
        <v>115</v>
      </c>
      <c r="L202" s="6" t="s">
        <v>398</v>
      </c>
      <c r="M202" s="6" t="s">
        <v>942</v>
      </c>
      <c r="N202" s="6" t="s">
        <v>17</v>
      </c>
      <c r="O202" s="6" t="s">
        <v>943</v>
      </c>
      <c r="P202" t="s">
        <v>125</v>
      </c>
      <c r="Q202" s="25" t="s">
        <v>2112</v>
      </c>
    </row>
    <row r="203" spans="1:17" ht="14.4" hidden="1" x14ac:dyDescent="0.3">
      <c r="A203" s="16">
        <v>196</v>
      </c>
      <c r="B203" s="17" t="s">
        <v>944</v>
      </c>
      <c r="C203" s="6">
        <v>1000596077</v>
      </c>
      <c r="D203" s="6">
        <f>COUNTIFS($C$8:C203,C203)</f>
        <v>1</v>
      </c>
      <c r="E203" s="6">
        <v>3197033980</v>
      </c>
      <c r="F203" s="12" t="s">
        <v>945</v>
      </c>
      <c r="G203" s="7">
        <v>46035</v>
      </c>
      <c r="H203" s="7">
        <v>46387</v>
      </c>
      <c r="I203" s="8" t="s">
        <v>946</v>
      </c>
      <c r="J203" s="6" t="s">
        <v>201</v>
      </c>
      <c r="K203" s="6" t="s">
        <v>106</v>
      </c>
      <c r="L203" s="6" t="s">
        <v>56</v>
      </c>
      <c r="M203" s="6" t="s">
        <v>947</v>
      </c>
      <c r="N203" s="6" t="s">
        <v>17</v>
      </c>
      <c r="O203" s="6" t="s">
        <v>725</v>
      </c>
      <c r="P203" t="s">
        <v>125</v>
      </c>
      <c r="Q203" s="25" t="s">
        <v>2112</v>
      </c>
    </row>
    <row r="204" spans="1:17" ht="14.4" hidden="1" x14ac:dyDescent="0.3">
      <c r="A204" s="5">
        <v>197</v>
      </c>
      <c r="B204" s="17" t="s">
        <v>948</v>
      </c>
      <c r="C204" s="6">
        <v>53140489</v>
      </c>
      <c r="D204" s="6">
        <f>COUNTIFS($C$8:C204,C204)</f>
        <v>1</v>
      </c>
      <c r="E204" s="6">
        <v>3174451841</v>
      </c>
      <c r="F204" s="12" t="s">
        <v>949</v>
      </c>
      <c r="G204" s="7">
        <v>46031</v>
      </c>
      <c r="H204" s="7">
        <v>46364</v>
      </c>
      <c r="I204" s="8" t="s">
        <v>950</v>
      </c>
      <c r="J204" s="6" t="s">
        <v>2111</v>
      </c>
      <c r="K204" s="6" t="s">
        <v>115</v>
      </c>
      <c r="L204" s="6" t="s">
        <v>447</v>
      </c>
      <c r="M204" s="6" t="s">
        <v>951</v>
      </c>
      <c r="N204" s="6" t="s">
        <v>17</v>
      </c>
      <c r="O204" s="6" t="s">
        <v>134</v>
      </c>
      <c r="P204" t="s">
        <v>125</v>
      </c>
      <c r="Q204" s="25" t="s">
        <v>2112</v>
      </c>
    </row>
    <row r="205" spans="1:17" ht="14.4" hidden="1" x14ac:dyDescent="0.3">
      <c r="A205" s="5">
        <v>198</v>
      </c>
      <c r="B205" s="17" t="s">
        <v>952</v>
      </c>
      <c r="C205" s="6">
        <v>13745497</v>
      </c>
      <c r="D205" s="6">
        <f>COUNTIFS($C$8:C205,C205)</f>
        <v>1</v>
      </c>
      <c r="E205" s="6">
        <v>3168346153</v>
      </c>
      <c r="F205" s="12" t="s">
        <v>953</v>
      </c>
      <c r="G205" s="7">
        <v>46035</v>
      </c>
      <c r="H205" s="7">
        <v>46387</v>
      </c>
      <c r="I205" s="8" t="s">
        <v>954</v>
      </c>
      <c r="J205" s="6" t="s">
        <v>500</v>
      </c>
      <c r="K205" s="6" t="s">
        <v>115</v>
      </c>
      <c r="L205" s="6" t="s">
        <v>320</v>
      </c>
      <c r="M205" s="6" t="s">
        <v>955</v>
      </c>
      <c r="N205" s="6" t="s">
        <v>17</v>
      </c>
      <c r="O205" s="6" t="s">
        <v>956</v>
      </c>
      <c r="P205" t="s">
        <v>125</v>
      </c>
      <c r="Q205" s="25" t="s">
        <v>2112</v>
      </c>
    </row>
    <row r="206" spans="1:17" ht="14.4" hidden="1" x14ac:dyDescent="0.3">
      <c r="A206" s="5">
        <v>199</v>
      </c>
      <c r="B206" s="17" t="s">
        <v>957</v>
      </c>
      <c r="C206" s="6">
        <v>52855892</v>
      </c>
      <c r="D206" s="6">
        <f>COUNTIFS($C$8:C206,C206)</f>
        <v>1</v>
      </c>
      <c r="E206" s="6">
        <v>3002980068</v>
      </c>
      <c r="F206" s="12" t="s">
        <v>958</v>
      </c>
      <c r="G206" s="7">
        <v>46035</v>
      </c>
      <c r="H206" s="7">
        <v>46387</v>
      </c>
      <c r="I206" s="8" t="s">
        <v>959</v>
      </c>
      <c r="J206" s="6" t="s">
        <v>201</v>
      </c>
      <c r="K206" s="6" t="s">
        <v>115</v>
      </c>
      <c r="L206" s="6" t="s">
        <v>116</v>
      </c>
      <c r="M206" s="6" t="s">
        <v>960</v>
      </c>
      <c r="N206" s="6" t="s">
        <v>17</v>
      </c>
      <c r="O206" s="6" t="s">
        <v>44</v>
      </c>
      <c r="P206" t="s">
        <v>125</v>
      </c>
      <c r="Q206" s="25" t="s">
        <v>2112</v>
      </c>
    </row>
    <row r="207" spans="1:17" ht="14.4" hidden="1" x14ac:dyDescent="0.3">
      <c r="A207" s="16">
        <v>200</v>
      </c>
      <c r="B207" s="17" t="s">
        <v>961</v>
      </c>
      <c r="C207" s="6">
        <v>1001114395</v>
      </c>
      <c r="D207" s="6">
        <f>COUNTIFS($C$8:C207,C207)</f>
        <v>1</v>
      </c>
      <c r="E207" s="6">
        <v>3142011762</v>
      </c>
      <c r="F207" s="12" t="s">
        <v>962</v>
      </c>
      <c r="G207" s="7">
        <v>46037</v>
      </c>
      <c r="H207" s="7">
        <v>46248</v>
      </c>
      <c r="I207" s="8" t="s">
        <v>963</v>
      </c>
      <c r="J207" s="6" t="s">
        <v>270</v>
      </c>
      <c r="K207" s="6" t="s">
        <v>106</v>
      </c>
      <c r="L207" s="6" t="s">
        <v>701</v>
      </c>
      <c r="M207" s="6" t="s">
        <v>964</v>
      </c>
      <c r="N207" s="6" t="s">
        <v>17</v>
      </c>
      <c r="O207" s="6" t="s">
        <v>24</v>
      </c>
      <c r="P207" t="s">
        <v>125</v>
      </c>
      <c r="Q207" s="25" t="s">
        <v>2112</v>
      </c>
    </row>
    <row r="208" spans="1:17" ht="14.4" hidden="1" x14ac:dyDescent="0.3">
      <c r="A208" s="5">
        <v>201</v>
      </c>
      <c r="B208" s="17" t="s">
        <v>965</v>
      </c>
      <c r="C208" s="6">
        <v>1049640375</v>
      </c>
      <c r="D208" s="6">
        <f>COUNTIFS($C$8:C208,C208)</f>
        <v>1</v>
      </c>
      <c r="E208" s="6">
        <v>3142417321</v>
      </c>
      <c r="F208" s="12" t="s">
        <v>966</v>
      </c>
      <c r="G208" s="7">
        <v>46036</v>
      </c>
      <c r="H208" s="7">
        <v>46308</v>
      </c>
      <c r="I208" s="8" t="s">
        <v>967</v>
      </c>
      <c r="J208" s="6" t="s">
        <v>270</v>
      </c>
      <c r="K208" s="6" t="s">
        <v>143</v>
      </c>
      <c r="L208" s="6" t="s">
        <v>64</v>
      </c>
      <c r="M208" s="6" t="s">
        <v>968</v>
      </c>
      <c r="N208" s="6" t="s">
        <v>17</v>
      </c>
      <c r="O208" s="6" t="s">
        <v>66</v>
      </c>
      <c r="P208" t="s">
        <v>125</v>
      </c>
      <c r="Q208" s="25" t="s">
        <v>2112</v>
      </c>
    </row>
    <row r="209" spans="1:19" ht="14.4" hidden="1" x14ac:dyDescent="0.3">
      <c r="A209" s="5">
        <v>202</v>
      </c>
      <c r="B209" s="17" t="s">
        <v>969</v>
      </c>
      <c r="C209" s="17">
        <v>31422496</v>
      </c>
      <c r="D209" s="6">
        <f>COUNTIFS($C$8:C209,C209)</f>
        <v>1</v>
      </c>
      <c r="E209" s="17">
        <v>3166231174</v>
      </c>
      <c r="F209" s="23" t="s">
        <v>970</v>
      </c>
      <c r="G209" s="18">
        <v>46036</v>
      </c>
      <c r="H209" s="18">
        <v>46231</v>
      </c>
      <c r="I209" s="8" t="s">
        <v>971</v>
      </c>
      <c r="J209" s="6" t="s">
        <v>285</v>
      </c>
      <c r="K209" s="6" t="s">
        <v>115</v>
      </c>
      <c r="L209" s="17" t="s">
        <v>304</v>
      </c>
      <c r="M209" s="17" t="s">
        <v>972</v>
      </c>
      <c r="N209" s="17" t="s">
        <v>17</v>
      </c>
      <c r="O209" s="17" t="s">
        <v>973</v>
      </c>
      <c r="P209" s="19" t="s">
        <v>125</v>
      </c>
      <c r="Q209" s="22" t="s">
        <v>2098</v>
      </c>
      <c r="R209" s="20"/>
      <c r="S209" s="20"/>
    </row>
    <row r="210" spans="1:19" ht="14.4" hidden="1" x14ac:dyDescent="0.3">
      <c r="A210" s="5">
        <v>203</v>
      </c>
      <c r="B210" s="17" t="s">
        <v>974</v>
      </c>
      <c r="C210" s="6">
        <v>1019131919</v>
      </c>
      <c r="D210" s="6">
        <f>COUNTIFS($C$8:C210,C210)</f>
        <v>1</v>
      </c>
      <c r="E210" s="6">
        <v>3214139115</v>
      </c>
      <c r="F210" s="12" t="s">
        <v>975</v>
      </c>
      <c r="G210" s="7">
        <v>46048</v>
      </c>
      <c r="H210" s="7">
        <v>46259</v>
      </c>
      <c r="I210" s="8" t="s">
        <v>976</v>
      </c>
      <c r="J210" s="6" t="s">
        <v>1338</v>
      </c>
      <c r="K210" s="6" t="s">
        <v>115</v>
      </c>
      <c r="L210" s="6" t="s">
        <v>337</v>
      </c>
      <c r="M210" s="6" t="s">
        <v>977</v>
      </c>
      <c r="N210" s="6" t="s">
        <v>17</v>
      </c>
      <c r="O210" s="6" t="s">
        <v>24</v>
      </c>
      <c r="P210" t="s">
        <v>125</v>
      </c>
      <c r="Q210" s="25" t="s">
        <v>2112</v>
      </c>
    </row>
    <row r="211" spans="1:19" ht="14.4" hidden="1" x14ac:dyDescent="0.3">
      <c r="A211" s="16">
        <v>204</v>
      </c>
      <c r="B211" s="17" t="s">
        <v>978</v>
      </c>
      <c r="C211" s="17">
        <v>1020806493</v>
      </c>
      <c r="D211" s="6">
        <f>COUNTIFS($C$8:C211,C211)</f>
        <v>1</v>
      </c>
      <c r="E211" s="17">
        <v>3115008521</v>
      </c>
      <c r="F211" s="23" t="s">
        <v>979</v>
      </c>
      <c r="G211" s="18">
        <v>46041</v>
      </c>
      <c r="H211" s="18">
        <v>46387</v>
      </c>
      <c r="I211" s="8" t="s">
        <v>980</v>
      </c>
      <c r="J211" s="6" t="s">
        <v>201</v>
      </c>
      <c r="K211" s="6" t="s">
        <v>115</v>
      </c>
      <c r="L211" s="17" t="s">
        <v>202</v>
      </c>
      <c r="M211" s="17" t="s">
        <v>981</v>
      </c>
      <c r="N211" s="17" t="s">
        <v>17</v>
      </c>
      <c r="O211" s="17" t="s">
        <v>44</v>
      </c>
      <c r="P211" s="19" t="s">
        <v>125</v>
      </c>
      <c r="Q211" s="22" t="s">
        <v>2098</v>
      </c>
      <c r="R211" s="20"/>
      <c r="S211" s="20"/>
    </row>
    <row r="212" spans="1:19" ht="14.4" hidden="1" x14ac:dyDescent="0.3">
      <c r="A212" s="5">
        <v>205</v>
      </c>
      <c r="B212" s="17" t="s">
        <v>982</v>
      </c>
      <c r="C212" s="6">
        <v>79802867</v>
      </c>
      <c r="D212" s="6">
        <f>COUNTIFS($C$8:C212,C212)</f>
        <v>1</v>
      </c>
      <c r="E212" s="6">
        <v>3102412963</v>
      </c>
      <c r="F212" s="6" t="s">
        <v>20</v>
      </c>
      <c r="G212" s="7" t="s">
        <v>20</v>
      </c>
      <c r="H212" s="7" t="s">
        <v>20</v>
      </c>
      <c r="I212" s="8" t="s">
        <v>983</v>
      </c>
      <c r="J212" s="6" t="s">
        <v>285</v>
      </c>
      <c r="K212" s="6" t="s">
        <v>115</v>
      </c>
      <c r="L212" s="6" t="s">
        <v>75</v>
      </c>
      <c r="M212" s="6" t="s">
        <v>984</v>
      </c>
      <c r="N212" s="6" t="s">
        <v>17</v>
      </c>
      <c r="O212" s="6" t="s">
        <v>985</v>
      </c>
      <c r="P212" t="s">
        <v>119</v>
      </c>
      <c r="Q212" s="25" t="s">
        <v>2112</v>
      </c>
    </row>
    <row r="213" spans="1:19" ht="14.4" hidden="1" x14ac:dyDescent="0.3">
      <c r="A213" s="5">
        <v>206</v>
      </c>
      <c r="B213" s="17" t="s">
        <v>986</v>
      </c>
      <c r="C213" s="6">
        <v>1023893878</v>
      </c>
      <c r="D213" s="6">
        <f>COUNTIFS($C$8:C213,C213)</f>
        <v>1</v>
      </c>
      <c r="E213" s="6">
        <v>3144632678</v>
      </c>
      <c r="F213" s="6" t="s">
        <v>20</v>
      </c>
      <c r="G213" s="7" t="s">
        <v>20</v>
      </c>
      <c r="H213" s="7" t="s">
        <v>20</v>
      </c>
      <c r="I213" s="8" t="s">
        <v>987</v>
      </c>
      <c r="J213" s="6" t="s">
        <v>270</v>
      </c>
      <c r="K213" s="6" t="s">
        <v>115</v>
      </c>
      <c r="L213" s="6" t="s">
        <v>988</v>
      </c>
      <c r="M213" s="6" t="s">
        <v>989</v>
      </c>
      <c r="N213" s="6" t="s">
        <v>17</v>
      </c>
      <c r="O213" s="6" t="s">
        <v>990</v>
      </c>
      <c r="P213" t="s">
        <v>119</v>
      </c>
      <c r="Q213" s="25" t="s">
        <v>2112</v>
      </c>
    </row>
    <row r="214" spans="1:19" ht="14.4" hidden="1" x14ac:dyDescent="0.3">
      <c r="A214" s="5">
        <v>207</v>
      </c>
      <c r="B214" s="17" t="s">
        <v>991</v>
      </c>
      <c r="C214" s="6">
        <v>1010033134</v>
      </c>
      <c r="D214" s="6">
        <f>COUNTIFS($C$8:C214,C214)</f>
        <v>1</v>
      </c>
      <c r="E214" s="6">
        <v>3184658662</v>
      </c>
      <c r="F214" s="12" t="s">
        <v>992</v>
      </c>
      <c r="G214" s="7">
        <v>46049</v>
      </c>
      <c r="H214" s="7">
        <v>46387</v>
      </c>
      <c r="I214" s="8" t="s">
        <v>993</v>
      </c>
      <c r="J214" s="6" t="s">
        <v>325</v>
      </c>
      <c r="K214" s="6" t="s">
        <v>106</v>
      </c>
      <c r="L214" s="6" t="s">
        <v>994</v>
      </c>
      <c r="M214" s="6" t="s">
        <v>20</v>
      </c>
      <c r="N214" s="6" t="s">
        <v>129</v>
      </c>
      <c r="O214" s="6" t="s">
        <v>60</v>
      </c>
      <c r="P214" t="s">
        <v>125</v>
      </c>
      <c r="Q214" s="25" t="s">
        <v>2112</v>
      </c>
    </row>
    <row r="215" spans="1:19" ht="14.4" hidden="1" x14ac:dyDescent="0.3">
      <c r="A215" s="16">
        <v>208</v>
      </c>
      <c r="B215" s="17" t="s">
        <v>995</v>
      </c>
      <c r="C215" s="6">
        <v>1078347237</v>
      </c>
      <c r="D215" s="6">
        <f>COUNTIFS($C$8:C215,C215)</f>
        <v>1</v>
      </c>
      <c r="E215" s="6">
        <v>3015595583</v>
      </c>
      <c r="F215" s="12" t="s">
        <v>996</v>
      </c>
      <c r="G215" s="7">
        <v>46043</v>
      </c>
      <c r="H215" s="7">
        <v>46387</v>
      </c>
      <c r="I215" s="8" t="s">
        <v>997</v>
      </c>
      <c r="J215" s="6" t="s">
        <v>500</v>
      </c>
      <c r="K215" s="6" t="s">
        <v>115</v>
      </c>
      <c r="L215" s="6" t="s">
        <v>398</v>
      </c>
      <c r="M215" s="6" t="s">
        <v>998</v>
      </c>
      <c r="N215" s="6" t="s">
        <v>17</v>
      </c>
      <c r="O215" s="6" t="s">
        <v>66</v>
      </c>
      <c r="P215" t="s">
        <v>125</v>
      </c>
      <c r="Q215" s="25" t="s">
        <v>2112</v>
      </c>
    </row>
    <row r="216" spans="1:19" ht="14.4" hidden="1" x14ac:dyDescent="0.3">
      <c r="A216" s="5">
        <v>209</v>
      </c>
      <c r="B216" s="17" t="s">
        <v>999</v>
      </c>
      <c r="C216" s="6">
        <v>80085952</v>
      </c>
      <c r="D216" s="6">
        <f>COUNTIFS($C$8:C216,C216)</f>
        <v>1</v>
      </c>
      <c r="E216" s="6">
        <v>3012185822</v>
      </c>
      <c r="F216" s="6" t="s">
        <v>1000</v>
      </c>
      <c r="G216" s="7">
        <v>46029</v>
      </c>
      <c r="H216" s="7">
        <v>46387</v>
      </c>
      <c r="I216" s="8" t="s">
        <v>1001</v>
      </c>
      <c r="J216" s="6" t="s">
        <v>201</v>
      </c>
      <c r="K216" s="6" t="s">
        <v>115</v>
      </c>
      <c r="L216" s="6" t="s">
        <v>132</v>
      </c>
      <c r="M216" s="6" t="s">
        <v>1002</v>
      </c>
      <c r="N216" s="6" t="s">
        <v>17</v>
      </c>
      <c r="O216" s="6" t="s">
        <v>259</v>
      </c>
      <c r="P216" t="s">
        <v>125</v>
      </c>
      <c r="Q216" s="25" t="s">
        <v>2112</v>
      </c>
    </row>
    <row r="217" spans="1:19" ht="14.4" hidden="1" x14ac:dyDescent="0.3">
      <c r="A217" s="5">
        <v>210</v>
      </c>
      <c r="B217" s="17" t="s">
        <v>1003</v>
      </c>
      <c r="C217" s="6">
        <v>1015479089</v>
      </c>
      <c r="D217" s="6">
        <f>COUNTIFS($C$8:C217,C217)</f>
        <v>1</v>
      </c>
      <c r="E217" s="6">
        <v>3012660204</v>
      </c>
      <c r="F217" s="12" t="s">
        <v>1004</v>
      </c>
      <c r="G217" s="7">
        <v>46050</v>
      </c>
      <c r="H217" s="7">
        <v>46387</v>
      </c>
      <c r="I217" s="8" t="s">
        <v>1005</v>
      </c>
      <c r="J217" s="6" t="s">
        <v>1006</v>
      </c>
      <c r="K217" s="6" t="s">
        <v>106</v>
      </c>
      <c r="L217" s="6" t="s">
        <v>175</v>
      </c>
      <c r="M217" s="6" t="s">
        <v>1007</v>
      </c>
      <c r="N217" s="6" t="s">
        <v>17</v>
      </c>
      <c r="O217" s="6" t="s">
        <v>24</v>
      </c>
      <c r="P217" t="s">
        <v>125</v>
      </c>
      <c r="Q217" s="25" t="s">
        <v>2112</v>
      </c>
    </row>
    <row r="218" spans="1:19" ht="14.4" hidden="1" x14ac:dyDescent="0.3">
      <c r="A218" s="5">
        <v>211</v>
      </c>
      <c r="B218" s="17" t="s">
        <v>1008</v>
      </c>
      <c r="C218" s="6">
        <v>1072072690</v>
      </c>
      <c r="D218" s="6">
        <f>COUNTIFS($C$8:C218,C218)</f>
        <v>1</v>
      </c>
      <c r="E218" s="6">
        <v>3112795171</v>
      </c>
      <c r="F218" s="12" t="s">
        <v>1009</v>
      </c>
      <c r="G218" s="7">
        <v>46048</v>
      </c>
      <c r="H218" s="7">
        <v>46351</v>
      </c>
      <c r="I218" s="8" t="s">
        <v>1010</v>
      </c>
      <c r="J218" s="6" t="s">
        <v>256</v>
      </c>
      <c r="K218" s="6" t="s">
        <v>115</v>
      </c>
      <c r="L218" s="6" t="s">
        <v>616</v>
      </c>
      <c r="M218" s="6" t="s">
        <v>1011</v>
      </c>
      <c r="N218" s="6" t="s">
        <v>253</v>
      </c>
      <c r="O218" s="6" t="s">
        <v>60</v>
      </c>
      <c r="P218" t="s">
        <v>125</v>
      </c>
      <c r="Q218" s="25" t="s">
        <v>2112</v>
      </c>
    </row>
    <row r="219" spans="1:19" ht="14.4" hidden="1" x14ac:dyDescent="0.3">
      <c r="A219" s="16">
        <v>212</v>
      </c>
      <c r="B219" s="17" t="s">
        <v>1012</v>
      </c>
      <c r="C219" s="6">
        <v>1018482735</v>
      </c>
      <c r="D219" s="6">
        <f>COUNTIFS($C$8:C219,C219)</f>
        <v>1</v>
      </c>
      <c r="E219" s="6">
        <v>3125685518</v>
      </c>
      <c r="F219" s="12" t="s">
        <v>1013</v>
      </c>
      <c r="G219" s="7">
        <v>46042</v>
      </c>
      <c r="H219" s="7">
        <v>46375</v>
      </c>
      <c r="I219" s="8" t="s">
        <v>1014</v>
      </c>
      <c r="J219" s="6" t="s">
        <v>2111</v>
      </c>
      <c r="K219" s="6" t="s">
        <v>106</v>
      </c>
      <c r="L219" s="6" t="s">
        <v>701</v>
      </c>
      <c r="M219" s="6" t="s">
        <v>1015</v>
      </c>
      <c r="N219" s="6" t="s">
        <v>17</v>
      </c>
      <c r="O219" s="6" t="s">
        <v>880</v>
      </c>
      <c r="P219" t="s">
        <v>125</v>
      </c>
      <c r="Q219" s="25" t="s">
        <v>2112</v>
      </c>
    </row>
    <row r="220" spans="1:19" ht="14.4" hidden="1" x14ac:dyDescent="0.3">
      <c r="A220" s="5">
        <v>213</v>
      </c>
      <c r="B220" s="17" t="s">
        <v>1016</v>
      </c>
      <c r="C220" s="6">
        <v>1016070278</v>
      </c>
      <c r="D220" s="6">
        <f>COUNTIFS($C$8:C220,C220)</f>
        <v>1</v>
      </c>
      <c r="E220" s="6">
        <v>3208723277</v>
      </c>
      <c r="F220" s="12" t="s">
        <v>1017</v>
      </c>
      <c r="G220" s="7">
        <v>46031</v>
      </c>
      <c r="H220" s="7">
        <v>46334</v>
      </c>
      <c r="I220" s="8" t="s">
        <v>1018</v>
      </c>
      <c r="J220" s="6" t="s">
        <v>270</v>
      </c>
      <c r="K220" s="6" t="s">
        <v>115</v>
      </c>
      <c r="L220" s="6" t="s">
        <v>1019</v>
      </c>
      <c r="M220" s="6" t="s">
        <v>1020</v>
      </c>
      <c r="N220" s="6" t="s">
        <v>253</v>
      </c>
      <c r="O220" s="6" t="s">
        <v>1021</v>
      </c>
      <c r="P220" t="s">
        <v>125</v>
      </c>
      <c r="Q220" s="25" t="s">
        <v>2112</v>
      </c>
    </row>
    <row r="221" spans="1:19" ht="14.4" hidden="1" x14ac:dyDescent="0.3">
      <c r="A221" s="5">
        <v>214</v>
      </c>
      <c r="B221" s="17" t="s">
        <v>1022</v>
      </c>
      <c r="C221" s="6">
        <v>1019005047</v>
      </c>
      <c r="D221" s="6">
        <f>COUNTIFS($C$8:C221,C221)</f>
        <v>1</v>
      </c>
      <c r="E221" s="6">
        <v>3183890213</v>
      </c>
      <c r="F221" s="6" t="s">
        <v>1023</v>
      </c>
      <c r="G221" s="7">
        <v>46049</v>
      </c>
      <c r="H221" s="7">
        <v>46291</v>
      </c>
      <c r="I221" s="8" t="s">
        <v>1024</v>
      </c>
      <c r="J221" s="6" t="s">
        <v>325</v>
      </c>
      <c r="K221" s="6" t="s">
        <v>115</v>
      </c>
      <c r="L221" s="6" t="s">
        <v>304</v>
      </c>
      <c r="M221" s="6" t="s">
        <v>1025</v>
      </c>
      <c r="N221" s="6" t="s">
        <v>17</v>
      </c>
      <c r="O221" s="6" t="s">
        <v>66</v>
      </c>
      <c r="P221" t="s">
        <v>125</v>
      </c>
      <c r="Q221" s="25" t="s">
        <v>2112</v>
      </c>
    </row>
    <row r="222" spans="1:19" ht="14.4" hidden="1" x14ac:dyDescent="0.3">
      <c r="A222" s="5">
        <v>215</v>
      </c>
      <c r="B222" s="17" t="s">
        <v>1026</v>
      </c>
      <c r="C222" s="6">
        <v>1030636071</v>
      </c>
      <c r="D222" s="6">
        <f>COUNTIFS($C$8:C222,C222)</f>
        <v>1</v>
      </c>
      <c r="E222" s="6">
        <v>3123964150</v>
      </c>
      <c r="F222" s="6" t="s">
        <v>1027</v>
      </c>
      <c r="G222" s="7">
        <v>46035</v>
      </c>
      <c r="H222" s="7">
        <v>46246</v>
      </c>
      <c r="I222" s="8" t="s">
        <v>1028</v>
      </c>
      <c r="J222" s="6" t="s">
        <v>1338</v>
      </c>
      <c r="K222" s="6" t="s">
        <v>106</v>
      </c>
      <c r="L222" s="6" t="s">
        <v>56</v>
      </c>
      <c r="M222" s="6" t="s">
        <v>1029</v>
      </c>
      <c r="N222" s="6" t="s">
        <v>17</v>
      </c>
      <c r="O222" s="6" t="s">
        <v>24</v>
      </c>
      <c r="P222" t="s">
        <v>125</v>
      </c>
      <c r="Q222" s="25" t="s">
        <v>2112</v>
      </c>
    </row>
    <row r="223" spans="1:19" ht="14.4" hidden="1" x14ac:dyDescent="0.3">
      <c r="A223" s="16">
        <v>216</v>
      </c>
      <c r="B223" s="17" t="s">
        <v>1030</v>
      </c>
      <c r="C223" s="6">
        <v>1019111965</v>
      </c>
      <c r="D223" s="6">
        <f>COUNTIFS($C$8:C223,C223)</f>
        <v>1</v>
      </c>
      <c r="E223" s="6">
        <v>3183795565</v>
      </c>
      <c r="F223" s="6" t="s">
        <v>20</v>
      </c>
      <c r="G223" s="7" t="s">
        <v>20</v>
      </c>
      <c r="H223" s="7" t="s">
        <v>20</v>
      </c>
      <c r="I223" s="8" t="s">
        <v>1031</v>
      </c>
      <c r="J223" s="17" t="s">
        <v>299</v>
      </c>
      <c r="K223" s="6" t="s">
        <v>115</v>
      </c>
      <c r="L223" s="6" t="s">
        <v>64</v>
      </c>
      <c r="M223" s="6" t="s">
        <v>1032</v>
      </c>
      <c r="N223" s="6" t="s">
        <v>253</v>
      </c>
      <c r="O223" s="6" t="s">
        <v>526</v>
      </c>
      <c r="P223" t="s">
        <v>119</v>
      </c>
      <c r="Q223" s="25" t="s">
        <v>2112</v>
      </c>
    </row>
    <row r="224" spans="1:19" ht="14.4" hidden="1" x14ac:dyDescent="0.3">
      <c r="A224" s="5">
        <v>217</v>
      </c>
      <c r="B224" s="17" t="s">
        <v>1033</v>
      </c>
      <c r="C224" s="6">
        <v>79793117</v>
      </c>
      <c r="D224" s="6">
        <f>COUNTIFS($C$8:C224,C224)</f>
        <v>1</v>
      </c>
      <c r="E224" s="6">
        <v>3504147600</v>
      </c>
      <c r="F224" s="12" t="s">
        <v>1034</v>
      </c>
      <c r="G224" s="7">
        <v>46037</v>
      </c>
      <c r="H224" s="7">
        <v>46369</v>
      </c>
      <c r="I224" s="8" t="s">
        <v>1035</v>
      </c>
      <c r="J224" s="6" t="s">
        <v>2109</v>
      </c>
      <c r="K224" s="6" t="s">
        <v>143</v>
      </c>
      <c r="L224" s="6" t="s">
        <v>1036</v>
      </c>
      <c r="M224" s="6" t="s">
        <v>1037</v>
      </c>
      <c r="N224" s="6" t="s">
        <v>253</v>
      </c>
      <c r="O224" s="6" t="s">
        <v>60</v>
      </c>
      <c r="P224" t="s">
        <v>125</v>
      </c>
      <c r="Q224" s="25" t="s">
        <v>2112</v>
      </c>
    </row>
    <row r="225" spans="1:19" ht="15.9" hidden="1" customHeight="1" x14ac:dyDescent="0.3">
      <c r="A225" s="5">
        <v>218</v>
      </c>
      <c r="B225" s="17" t="s">
        <v>1038</v>
      </c>
      <c r="C225" s="17">
        <v>1000604330</v>
      </c>
      <c r="D225" s="6">
        <f>COUNTIFS($C$8:C225,C225)</f>
        <v>1</v>
      </c>
      <c r="E225" s="17">
        <v>3042217727</v>
      </c>
      <c r="F225" s="23" t="s">
        <v>1039</v>
      </c>
      <c r="G225" s="18">
        <v>46045</v>
      </c>
      <c r="H225" s="18">
        <v>46225</v>
      </c>
      <c r="I225" s="8" t="s">
        <v>1040</v>
      </c>
      <c r="J225" s="17" t="s">
        <v>1041</v>
      </c>
      <c r="K225" s="6" t="s">
        <v>115</v>
      </c>
      <c r="L225" s="17" t="s">
        <v>304</v>
      </c>
      <c r="M225" s="17" t="s">
        <v>1042</v>
      </c>
      <c r="N225" s="17" t="s">
        <v>17</v>
      </c>
      <c r="O225" s="17" t="s">
        <v>1043</v>
      </c>
      <c r="P225" s="19" t="s">
        <v>125</v>
      </c>
      <c r="Q225" s="21" t="s">
        <v>2098</v>
      </c>
      <c r="R225" s="20"/>
      <c r="S225" s="20"/>
    </row>
    <row r="226" spans="1:19" ht="14.4" hidden="1" x14ac:dyDescent="0.3">
      <c r="A226" s="5">
        <v>219</v>
      </c>
      <c r="B226" s="17" t="s">
        <v>1044</v>
      </c>
      <c r="C226" s="17">
        <v>1075257769</v>
      </c>
      <c r="D226" s="6">
        <f>COUNTIFS($C$8:C226,C226)</f>
        <v>1</v>
      </c>
      <c r="E226" s="17">
        <v>3002962851</v>
      </c>
      <c r="F226" s="17" t="s">
        <v>1045</v>
      </c>
      <c r="G226" s="18">
        <v>46051</v>
      </c>
      <c r="H226" s="18">
        <v>46232</v>
      </c>
      <c r="I226" s="8" t="s">
        <v>1046</v>
      </c>
      <c r="J226" s="17" t="s">
        <v>1041</v>
      </c>
      <c r="K226" s="6" t="s">
        <v>106</v>
      </c>
      <c r="L226" s="17" t="s">
        <v>582</v>
      </c>
      <c r="M226" s="17" t="s">
        <v>1047</v>
      </c>
      <c r="N226" s="17" t="s">
        <v>17</v>
      </c>
      <c r="O226" s="17" t="s">
        <v>1048</v>
      </c>
      <c r="P226" s="19" t="s">
        <v>125</v>
      </c>
      <c r="Q226" s="22" t="s">
        <v>2098</v>
      </c>
      <c r="R226" s="20"/>
      <c r="S226" s="20"/>
    </row>
    <row r="227" spans="1:19" ht="14.4" hidden="1" x14ac:dyDescent="0.3">
      <c r="A227" s="16">
        <v>220</v>
      </c>
      <c r="B227" s="17" t="s">
        <v>1049</v>
      </c>
      <c r="C227" s="6">
        <v>1018477650</v>
      </c>
      <c r="D227" s="6">
        <f>COUNTIFS($C$8:C227,C227)</f>
        <v>1</v>
      </c>
      <c r="E227" s="6">
        <v>3013099446</v>
      </c>
      <c r="F227" s="6" t="s">
        <v>1050</v>
      </c>
      <c r="G227" s="7">
        <v>46031</v>
      </c>
      <c r="H227" s="7">
        <v>46387</v>
      </c>
      <c r="I227" s="8" t="s">
        <v>1051</v>
      </c>
      <c r="J227" s="6" t="s">
        <v>201</v>
      </c>
      <c r="K227" s="6" t="s">
        <v>115</v>
      </c>
      <c r="L227" s="6" t="s">
        <v>22</v>
      </c>
      <c r="M227" s="6" t="s">
        <v>1052</v>
      </c>
      <c r="N227" s="6" t="s">
        <v>129</v>
      </c>
      <c r="O227" s="6" t="s">
        <v>146</v>
      </c>
      <c r="P227" t="s">
        <v>125</v>
      </c>
      <c r="Q227" s="25" t="s">
        <v>2112</v>
      </c>
    </row>
    <row r="228" spans="1:19" ht="14.4" hidden="1" x14ac:dyDescent="0.3">
      <c r="A228" s="5">
        <v>221</v>
      </c>
      <c r="B228" s="17" t="s">
        <v>1053</v>
      </c>
      <c r="C228" s="6">
        <v>52821918</v>
      </c>
      <c r="D228" s="6">
        <f>COUNTIFS($C$8:C228,C228)</f>
        <v>1</v>
      </c>
      <c r="E228" s="6">
        <v>3187954073</v>
      </c>
      <c r="F228" s="12" t="s">
        <v>1054</v>
      </c>
      <c r="G228" s="7">
        <v>46042</v>
      </c>
      <c r="H228" s="7">
        <v>46387</v>
      </c>
      <c r="I228" s="8" t="s">
        <v>1055</v>
      </c>
      <c r="J228" s="6" t="s">
        <v>201</v>
      </c>
      <c r="K228" s="6" t="s">
        <v>115</v>
      </c>
      <c r="L228" s="6" t="s">
        <v>343</v>
      </c>
      <c r="M228" s="6" t="s">
        <v>1056</v>
      </c>
      <c r="N228" s="6" t="s">
        <v>17</v>
      </c>
      <c r="O228" s="6" t="s">
        <v>693</v>
      </c>
      <c r="P228" t="s">
        <v>125</v>
      </c>
      <c r="Q228" s="25" t="s">
        <v>2112</v>
      </c>
    </row>
    <row r="229" spans="1:19" ht="14.4" hidden="1" x14ac:dyDescent="0.3">
      <c r="A229" s="5">
        <v>222</v>
      </c>
      <c r="B229" s="17" t="s">
        <v>1057</v>
      </c>
      <c r="C229" s="6">
        <v>1026302740</v>
      </c>
      <c r="D229" s="6">
        <f>COUNTIFS($C$8:C229,C229)</f>
        <v>1</v>
      </c>
      <c r="E229" s="6">
        <v>3226346627</v>
      </c>
      <c r="F229" s="12" t="s">
        <v>1058</v>
      </c>
      <c r="G229" s="7">
        <v>46035</v>
      </c>
      <c r="H229" s="7">
        <v>46387</v>
      </c>
      <c r="I229" s="8" t="s">
        <v>1059</v>
      </c>
      <c r="J229" s="6" t="s">
        <v>1006</v>
      </c>
      <c r="K229" s="6" t="s">
        <v>115</v>
      </c>
      <c r="L229" s="6" t="s">
        <v>132</v>
      </c>
      <c r="M229" s="6" t="s">
        <v>1060</v>
      </c>
      <c r="N229" s="6" t="s">
        <v>17</v>
      </c>
      <c r="O229" s="6" t="s">
        <v>66</v>
      </c>
      <c r="P229" t="s">
        <v>125</v>
      </c>
      <c r="Q229" s="25" t="s">
        <v>2112</v>
      </c>
    </row>
    <row r="230" spans="1:19" ht="14.4" hidden="1" x14ac:dyDescent="0.3">
      <c r="A230" s="5">
        <v>223</v>
      </c>
      <c r="B230" s="17" t="s">
        <v>1061</v>
      </c>
      <c r="C230" s="6">
        <v>24731198</v>
      </c>
      <c r="D230" s="6">
        <f>COUNTIFS($C$8:C230,C230)</f>
        <v>1</v>
      </c>
      <c r="E230" s="6">
        <v>3102982496</v>
      </c>
      <c r="F230" s="6" t="s">
        <v>1062</v>
      </c>
      <c r="G230" s="7">
        <v>46036</v>
      </c>
      <c r="H230" s="7">
        <v>46387</v>
      </c>
      <c r="I230" s="8" t="s">
        <v>1063</v>
      </c>
      <c r="J230" s="6" t="s">
        <v>500</v>
      </c>
      <c r="K230" s="6" t="s">
        <v>115</v>
      </c>
      <c r="L230" s="6" t="s">
        <v>1064</v>
      </c>
      <c r="M230" s="6" t="s">
        <v>1065</v>
      </c>
      <c r="N230" s="6" t="s">
        <v>17</v>
      </c>
      <c r="O230" s="6" t="s">
        <v>44</v>
      </c>
      <c r="P230" t="s">
        <v>125</v>
      </c>
      <c r="Q230" s="25" t="s">
        <v>2112</v>
      </c>
    </row>
    <row r="231" spans="1:19" ht="14.4" hidden="1" x14ac:dyDescent="0.3">
      <c r="A231" s="16">
        <v>224</v>
      </c>
      <c r="B231" s="17" t="s">
        <v>1066</v>
      </c>
      <c r="C231" s="6">
        <v>1022360944</v>
      </c>
      <c r="D231" s="6">
        <f>COUNTIFS($C$8:C231,C231)</f>
        <v>1</v>
      </c>
      <c r="E231" s="6">
        <v>3208648492</v>
      </c>
      <c r="F231" s="12" t="s">
        <v>1067</v>
      </c>
      <c r="G231" s="7">
        <v>46042</v>
      </c>
      <c r="H231" s="7">
        <v>46387</v>
      </c>
      <c r="I231" s="8" t="s">
        <v>1068</v>
      </c>
      <c r="J231" s="6" t="s">
        <v>2109</v>
      </c>
      <c r="K231" s="6" t="s">
        <v>143</v>
      </c>
      <c r="L231" s="6" t="s">
        <v>1069</v>
      </c>
      <c r="M231" s="6" t="s">
        <v>1070</v>
      </c>
      <c r="N231" s="6" t="s">
        <v>17</v>
      </c>
      <c r="O231" s="6" t="s">
        <v>44</v>
      </c>
      <c r="P231" t="s">
        <v>125</v>
      </c>
      <c r="Q231" s="25" t="s">
        <v>2112</v>
      </c>
    </row>
    <row r="232" spans="1:19" ht="14.4" hidden="1" x14ac:dyDescent="0.3">
      <c r="A232" s="5">
        <v>225</v>
      </c>
      <c r="B232" s="17" t="s">
        <v>1071</v>
      </c>
      <c r="C232" s="6">
        <v>3181809</v>
      </c>
      <c r="D232" s="6">
        <f>COUNTIFS($C$8:C232,C232)</f>
        <v>1</v>
      </c>
      <c r="E232" s="6">
        <v>3118770630</v>
      </c>
      <c r="F232" s="6" t="s">
        <v>2103</v>
      </c>
      <c r="G232" s="7">
        <v>46048</v>
      </c>
      <c r="H232" s="7">
        <v>46387</v>
      </c>
      <c r="I232" s="8" t="s">
        <v>1072</v>
      </c>
      <c r="J232" s="6" t="s">
        <v>500</v>
      </c>
      <c r="K232" s="6" t="s">
        <v>115</v>
      </c>
      <c r="L232" s="6" t="s">
        <v>1073</v>
      </c>
      <c r="M232" s="6" t="s">
        <v>1074</v>
      </c>
      <c r="N232" s="6" t="s">
        <v>17</v>
      </c>
      <c r="O232" s="6" t="s">
        <v>60</v>
      </c>
      <c r="P232" t="s">
        <v>125</v>
      </c>
      <c r="Q232" s="25" t="s">
        <v>2112</v>
      </c>
    </row>
    <row r="233" spans="1:19" ht="14.4" hidden="1" x14ac:dyDescent="0.3">
      <c r="A233" s="5">
        <v>226</v>
      </c>
      <c r="B233" s="17" t="s">
        <v>1075</v>
      </c>
      <c r="C233" s="6">
        <v>1010184160</v>
      </c>
      <c r="D233" s="6">
        <f>COUNTIFS($C$8:C233,C233)</f>
        <v>1</v>
      </c>
      <c r="E233" s="6">
        <v>3145159290</v>
      </c>
      <c r="F233" s="6" t="s">
        <v>1076</v>
      </c>
      <c r="G233" s="7">
        <v>46041</v>
      </c>
      <c r="H233" s="7">
        <v>46387</v>
      </c>
      <c r="I233" s="8" t="s">
        <v>1077</v>
      </c>
      <c r="J233" s="6" t="s">
        <v>500</v>
      </c>
      <c r="K233" s="6" t="s">
        <v>115</v>
      </c>
      <c r="L233" s="6" t="s">
        <v>164</v>
      </c>
      <c r="M233" s="6" t="s">
        <v>1078</v>
      </c>
      <c r="N233" s="6" t="s">
        <v>17</v>
      </c>
      <c r="O233" s="6" t="s">
        <v>60</v>
      </c>
      <c r="P233" t="s">
        <v>125</v>
      </c>
      <c r="Q233" s="25" t="s">
        <v>2112</v>
      </c>
    </row>
    <row r="234" spans="1:19" ht="14.4" hidden="1" x14ac:dyDescent="0.3">
      <c r="A234" s="5">
        <v>227</v>
      </c>
      <c r="B234" s="17" t="s">
        <v>1079</v>
      </c>
      <c r="C234" s="6">
        <v>80268446</v>
      </c>
      <c r="D234" s="6">
        <f>COUNTIFS($C$8:C234,C234)</f>
        <v>1</v>
      </c>
      <c r="E234" s="6">
        <v>3157902737</v>
      </c>
      <c r="F234" s="6" t="s">
        <v>1080</v>
      </c>
      <c r="G234" s="7">
        <v>46049</v>
      </c>
      <c r="H234" s="7">
        <v>46387</v>
      </c>
      <c r="I234" s="8" t="s">
        <v>1081</v>
      </c>
      <c r="J234" s="6" t="s">
        <v>2110</v>
      </c>
      <c r="K234" s="6" t="s">
        <v>143</v>
      </c>
      <c r="L234" s="6" t="s">
        <v>214</v>
      </c>
      <c r="M234" s="6" t="s">
        <v>1082</v>
      </c>
      <c r="N234" s="6" t="s">
        <v>17</v>
      </c>
      <c r="O234" s="6" t="s">
        <v>1083</v>
      </c>
      <c r="P234" t="s">
        <v>125</v>
      </c>
      <c r="Q234" s="25" t="s">
        <v>2112</v>
      </c>
    </row>
    <row r="235" spans="1:19" ht="14.4" hidden="1" x14ac:dyDescent="0.3">
      <c r="A235" s="16">
        <v>228</v>
      </c>
      <c r="B235" s="17" t="s">
        <v>1084</v>
      </c>
      <c r="C235" s="17">
        <v>1140821506</v>
      </c>
      <c r="D235" s="6">
        <f>COUNTIFS($C$8:C235,C235)</f>
        <v>1</v>
      </c>
      <c r="E235" s="17">
        <v>3017541019</v>
      </c>
      <c r="F235" s="23" t="s">
        <v>1085</v>
      </c>
      <c r="G235" s="18">
        <v>46030</v>
      </c>
      <c r="H235" s="18">
        <v>46210</v>
      </c>
      <c r="I235" s="8" t="s">
        <v>1086</v>
      </c>
      <c r="J235" s="6" t="s">
        <v>256</v>
      </c>
      <c r="K235" s="6" t="s">
        <v>115</v>
      </c>
      <c r="L235" s="17" t="s">
        <v>1087</v>
      </c>
      <c r="M235" s="17" t="s">
        <v>1088</v>
      </c>
      <c r="N235" s="17" t="s">
        <v>17</v>
      </c>
      <c r="O235" s="17" t="s">
        <v>66</v>
      </c>
      <c r="P235" s="19" t="s">
        <v>125</v>
      </c>
      <c r="Q235" s="21" t="s">
        <v>2098</v>
      </c>
      <c r="R235" s="20"/>
      <c r="S235" s="20"/>
    </row>
    <row r="236" spans="1:19" ht="14.4" hidden="1" x14ac:dyDescent="0.3">
      <c r="A236" s="5">
        <v>229</v>
      </c>
      <c r="B236" s="17" t="s">
        <v>1089</v>
      </c>
      <c r="C236" s="6">
        <v>52146673</v>
      </c>
      <c r="D236" s="6">
        <f>COUNTIFS($C$8:C236,C236)</f>
        <v>1</v>
      </c>
      <c r="E236" s="6">
        <v>3002138043</v>
      </c>
      <c r="F236" s="12" t="s">
        <v>1090</v>
      </c>
      <c r="G236" s="7">
        <v>46037</v>
      </c>
      <c r="H236" s="7">
        <v>46280</v>
      </c>
      <c r="I236" s="8" t="s">
        <v>1091</v>
      </c>
      <c r="J236" s="17" t="s">
        <v>207</v>
      </c>
      <c r="K236" s="6" t="s">
        <v>143</v>
      </c>
      <c r="L236" s="6" t="s">
        <v>1036</v>
      </c>
      <c r="M236" s="6" t="s">
        <v>1092</v>
      </c>
      <c r="N236" s="6" t="s">
        <v>17</v>
      </c>
      <c r="O236" s="6" t="s">
        <v>1093</v>
      </c>
      <c r="P236" t="s">
        <v>125</v>
      </c>
      <c r="Q236" s="25" t="s">
        <v>2112</v>
      </c>
    </row>
    <row r="237" spans="1:19" ht="14.4" hidden="1" x14ac:dyDescent="0.3">
      <c r="A237" s="5">
        <v>230</v>
      </c>
      <c r="B237" s="17" t="s">
        <v>1094</v>
      </c>
      <c r="C237" s="6">
        <v>52353521</v>
      </c>
      <c r="D237" s="6">
        <f>COUNTIFS($C$8:C237,C237)</f>
        <v>1</v>
      </c>
      <c r="E237" s="6">
        <v>3008310602</v>
      </c>
      <c r="F237" s="12" t="s">
        <v>1095</v>
      </c>
      <c r="G237" s="7">
        <v>46049</v>
      </c>
      <c r="H237" s="7">
        <v>46387</v>
      </c>
      <c r="I237" s="8" t="s">
        <v>1096</v>
      </c>
      <c r="J237" s="6" t="s">
        <v>500</v>
      </c>
      <c r="K237" s="6" t="s">
        <v>115</v>
      </c>
      <c r="L237" s="6" t="s">
        <v>398</v>
      </c>
      <c r="M237" s="6" t="s">
        <v>1097</v>
      </c>
      <c r="N237" s="6" t="s">
        <v>17</v>
      </c>
      <c r="O237" s="6" t="s">
        <v>248</v>
      </c>
      <c r="P237" t="s">
        <v>125</v>
      </c>
      <c r="Q237" s="25" t="s">
        <v>2112</v>
      </c>
    </row>
    <row r="238" spans="1:19" ht="14.4" hidden="1" x14ac:dyDescent="0.3">
      <c r="A238" s="5">
        <v>231</v>
      </c>
      <c r="B238" s="17" t="s">
        <v>1098</v>
      </c>
      <c r="C238" s="17">
        <v>53178070</v>
      </c>
      <c r="D238" s="6">
        <f>COUNTIFS($C$8:C238,C238)</f>
        <v>1</v>
      </c>
      <c r="E238" s="17">
        <v>3015419453</v>
      </c>
      <c r="F238" s="17" t="s">
        <v>1099</v>
      </c>
      <c r="G238" s="18">
        <v>46035</v>
      </c>
      <c r="H238" s="18">
        <v>46203</v>
      </c>
      <c r="I238" s="8" t="s">
        <v>1100</v>
      </c>
      <c r="J238" s="17" t="s">
        <v>299</v>
      </c>
      <c r="K238" s="6" t="s">
        <v>115</v>
      </c>
      <c r="L238" s="17" t="s">
        <v>1101</v>
      </c>
      <c r="M238" s="17" t="s">
        <v>1102</v>
      </c>
      <c r="N238" s="6" t="s">
        <v>253</v>
      </c>
      <c r="O238" s="17" t="s">
        <v>248</v>
      </c>
      <c r="P238" s="19" t="s">
        <v>125</v>
      </c>
      <c r="Q238" s="21" t="s">
        <v>2098</v>
      </c>
      <c r="R238" s="20"/>
      <c r="S238" s="20"/>
    </row>
    <row r="239" spans="1:19" ht="14.4" hidden="1" x14ac:dyDescent="0.3">
      <c r="A239" s="16">
        <v>232</v>
      </c>
      <c r="B239" s="17" t="s">
        <v>1103</v>
      </c>
      <c r="C239" s="6">
        <v>79867029</v>
      </c>
      <c r="D239" s="6">
        <f>COUNTIFS($C$8:C239,C239)</f>
        <v>1</v>
      </c>
      <c r="E239" s="6">
        <v>3157310092</v>
      </c>
      <c r="F239" s="12" t="s">
        <v>1104</v>
      </c>
      <c r="G239" s="7">
        <v>46035</v>
      </c>
      <c r="H239" s="7">
        <v>46384</v>
      </c>
      <c r="I239" s="8" t="s">
        <v>1105</v>
      </c>
      <c r="J239" s="6" t="s">
        <v>1006</v>
      </c>
      <c r="K239" s="6" t="s">
        <v>143</v>
      </c>
      <c r="L239" s="6" t="s">
        <v>501</v>
      </c>
      <c r="M239" s="6" t="s">
        <v>1106</v>
      </c>
      <c r="N239" s="6" t="s">
        <v>17</v>
      </c>
      <c r="O239" s="6" t="s">
        <v>52</v>
      </c>
      <c r="P239" t="s">
        <v>125</v>
      </c>
      <c r="Q239" s="25" t="s">
        <v>2112</v>
      </c>
    </row>
    <row r="240" spans="1:19" ht="14.4" hidden="1" x14ac:dyDescent="0.3">
      <c r="A240" s="5">
        <v>233</v>
      </c>
      <c r="B240" s="17" t="s">
        <v>1107</v>
      </c>
      <c r="C240" s="6">
        <v>79944990</v>
      </c>
      <c r="D240" s="6">
        <f>COUNTIFS($C$8:C240,C240)</f>
        <v>1</v>
      </c>
      <c r="E240" s="6">
        <v>3108127012</v>
      </c>
      <c r="F240" s="12" t="s">
        <v>1108</v>
      </c>
      <c r="G240" s="7">
        <v>46031</v>
      </c>
      <c r="H240" s="7">
        <v>46364</v>
      </c>
      <c r="I240" s="8" t="s">
        <v>1109</v>
      </c>
      <c r="J240" s="17" t="s">
        <v>207</v>
      </c>
      <c r="K240" s="6" t="s">
        <v>115</v>
      </c>
      <c r="L240" s="6" t="s">
        <v>294</v>
      </c>
      <c r="M240" s="6" t="s">
        <v>1110</v>
      </c>
      <c r="N240" s="6" t="s">
        <v>17</v>
      </c>
      <c r="O240" s="6" t="s">
        <v>24</v>
      </c>
      <c r="P240" t="s">
        <v>125</v>
      </c>
      <c r="Q240" s="25" t="s">
        <v>2112</v>
      </c>
    </row>
    <row r="241" spans="1:19" ht="14.4" hidden="1" x14ac:dyDescent="0.3">
      <c r="A241" s="5">
        <v>234</v>
      </c>
      <c r="B241" s="17" t="s">
        <v>1111</v>
      </c>
      <c r="C241" s="17">
        <v>79328078</v>
      </c>
      <c r="D241" s="6">
        <f>COUNTIFS($C$8:C241,C241)</f>
        <v>1</v>
      </c>
      <c r="E241" s="17">
        <v>3155428490</v>
      </c>
      <c r="F241" s="23" t="s">
        <v>1112</v>
      </c>
      <c r="G241" s="18">
        <v>46038</v>
      </c>
      <c r="H241" s="18">
        <v>46279</v>
      </c>
      <c r="I241" s="8" t="s">
        <v>1113</v>
      </c>
      <c r="J241" s="6" t="s">
        <v>256</v>
      </c>
      <c r="K241" s="6" t="s">
        <v>143</v>
      </c>
      <c r="L241" s="17" t="s">
        <v>408</v>
      </c>
      <c r="M241" s="17" t="s">
        <v>1114</v>
      </c>
      <c r="N241" s="17" t="s">
        <v>17</v>
      </c>
      <c r="O241" s="17" t="s">
        <v>44</v>
      </c>
      <c r="P241" s="19" t="s">
        <v>125</v>
      </c>
      <c r="Q241" s="22" t="s">
        <v>2098</v>
      </c>
      <c r="R241" s="20"/>
      <c r="S241" s="20"/>
    </row>
    <row r="242" spans="1:19" ht="14.4" hidden="1" x14ac:dyDescent="0.3">
      <c r="A242" s="5">
        <v>235</v>
      </c>
      <c r="B242" s="17" t="s">
        <v>1115</v>
      </c>
      <c r="C242" s="17">
        <v>1014279715</v>
      </c>
      <c r="D242" s="6">
        <f>COUNTIFS($C$8:C242,C242)</f>
        <v>1</v>
      </c>
      <c r="E242" s="17">
        <v>3105855871</v>
      </c>
      <c r="F242" s="23" t="s">
        <v>1116</v>
      </c>
      <c r="G242" s="18">
        <v>46030</v>
      </c>
      <c r="H242" s="18">
        <v>46208</v>
      </c>
      <c r="I242" s="8" t="s">
        <v>1117</v>
      </c>
      <c r="J242" s="17" t="s">
        <v>207</v>
      </c>
      <c r="K242" s="6" t="s">
        <v>106</v>
      </c>
      <c r="L242" s="17" t="s">
        <v>276</v>
      </c>
      <c r="M242" s="17" t="s">
        <v>1118</v>
      </c>
      <c r="N242" s="17" t="s">
        <v>17</v>
      </c>
      <c r="O242" s="17" t="s">
        <v>24</v>
      </c>
      <c r="P242" s="19" t="s">
        <v>125</v>
      </c>
      <c r="Q242" s="21" t="s">
        <v>2098</v>
      </c>
      <c r="R242" s="20"/>
      <c r="S242" s="20"/>
    </row>
    <row r="243" spans="1:19" ht="14.4" hidden="1" x14ac:dyDescent="0.3">
      <c r="A243" s="16">
        <v>236</v>
      </c>
      <c r="B243" s="17" t="s">
        <v>1119</v>
      </c>
      <c r="C243" s="6">
        <v>1026302501</v>
      </c>
      <c r="D243" s="6">
        <f>COUNTIFS($C$8:C243,C243)</f>
        <v>1</v>
      </c>
      <c r="E243" s="6">
        <v>3164900097</v>
      </c>
      <c r="F243" s="6" t="s">
        <v>1120</v>
      </c>
      <c r="G243" s="7">
        <v>46042</v>
      </c>
      <c r="H243" s="7">
        <v>46223</v>
      </c>
      <c r="I243" s="8" t="s">
        <v>1121</v>
      </c>
      <c r="J243" s="6" t="s">
        <v>270</v>
      </c>
      <c r="K243" s="6" t="s">
        <v>115</v>
      </c>
      <c r="L243" s="6" t="s">
        <v>1122</v>
      </c>
      <c r="M243" s="6" t="s">
        <v>1123</v>
      </c>
      <c r="N243" s="6" t="s">
        <v>17</v>
      </c>
      <c r="O243" s="6" t="s">
        <v>60</v>
      </c>
      <c r="P243" t="s">
        <v>125</v>
      </c>
      <c r="Q243" s="25" t="s">
        <v>2112</v>
      </c>
    </row>
    <row r="244" spans="1:19" ht="14.4" hidden="1" x14ac:dyDescent="0.3">
      <c r="A244" s="5">
        <v>237</v>
      </c>
      <c r="B244" s="17" t="s">
        <v>1124</v>
      </c>
      <c r="C244" s="6">
        <v>1110473907</v>
      </c>
      <c r="D244" s="6">
        <f>COUNTIFS($C$8:C244,C244)</f>
        <v>1</v>
      </c>
      <c r="E244" s="6">
        <v>3014300439</v>
      </c>
      <c r="F244" s="12" t="s">
        <v>1125</v>
      </c>
      <c r="G244" s="7">
        <v>46043</v>
      </c>
      <c r="H244" s="7">
        <v>46387</v>
      </c>
      <c r="I244" s="8" t="s">
        <v>1126</v>
      </c>
      <c r="J244" s="6" t="s">
        <v>500</v>
      </c>
      <c r="K244" s="6" t="s">
        <v>143</v>
      </c>
      <c r="L244" s="6" t="s">
        <v>1127</v>
      </c>
      <c r="M244" s="6" t="s">
        <v>1128</v>
      </c>
      <c r="N244" s="6" t="s">
        <v>17</v>
      </c>
      <c r="O244" s="6" t="s">
        <v>18</v>
      </c>
      <c r="P244" t="s">
        <v>125</v>
      </c>
      <c r="Q244" s="25" t="s">
        <v>2112</v>
      </c>
    </row>
    <row r="245" spans="1:19" ht="14.4" hidden="1" x14ac:dyDescent="0.3">
      <c r="A245" s="5">
        <v>238</v>
      </c>
      <c r="B245" s="17" t="s">
        <v>1129</v>
      </c>
      <c r="C245" s="6">
        <v>79867042</v>
      </c>
      <c r="D245" s="6">
        <f>COUNTIFS($C$8:C245,C245)</f>
        <v>1</v>
      </c>
      <c r="E245" s="6">
        <v>3163575233</v>
      </c>
      <c r="F245" s="6" t="s">
        <v>20</v>
      </c>
      <c r="G245" s="7" t="s">
        <v>20</v>
      </c>
      <c r="H245" s="7" t="s">
        <v>20</v>
      </c>
      <c r="I245" s="8" t="s">
        <v>1130</v>
      </c>
      <c r="J245" s="6" t="s">
        <v>434</v>
      </c>
      <c r="K245" s="6" t="s">
        <v>115</v>
      </c>
      <c r="L245" s="6" t="s">
        <v>1131</v>
      </c>
      <c r="M245" s="6" t="s">
        <v>1132</v>
      </c>
      <c r="N245" s="6" t="s">
        <v>17</v>
      </c>
      <c r="O245" s="6" t="s">
        <v>1133</v>
      </c>
      <c r="P245" t="s">
        <v>119</v>
      </c>
      <c r="Q245" s="25" t="s">
        <v>2112</v>
      </c>
    </row>
    <row r="246" spans="1:19" ht="14.4" hidden="1" x14ac:dyDescent="0.3">
      <c r="A246" s="5">
        <v>239</v>
      </c>
      <c r="B246" s="17" t="s">
        <v>1134</v>
      </c>
      <c r="C246" s="6">
        <v>1049632235</v>
      </c>
      <c r="D246" s="6">
        <f>COUNTIFS($C$8:C246,C246)</f>
        <v>1</v>
      </c>
      <c r="E246" s="6">
        <v>3023671569</v>
      </c>
      <c r="F246" s="12" t="s">
        <v>1135</v>
      </c>
      <c r="G246" s="7">
        <v>46044</v>
      </c>
      <c r="H246" s="7">
        <v>46387</v>
      </c>
      <c r="I246" s="8" t="s">
        <v>1136</v>
      </c>
      <c r="J246" s="6" t="s">
        <v>500</v>
      </c>
      <c r="K246" s="6" t="s">
        <v>106</v>
      </c>
      <c r="L246" s="6" t="s">
        <v>56</v>
      </c>
      <c r="M246" s="6" t="s">
        <v>1137</v>
      </c>
      <c r="N246" s="6" t="s">
        <v>17</v>
      </c>
      <c r="O246" s="6" t="s">
        <v>24</v>
      </c>
      <c r="P246" t="s">
        <v>125</v>
      </c>
      <c r="Q246" s="25" t="s">
        <v>2112</v>
      </c>
    </row>
    <row r="247" spans="1:19" ht="14.4" hidden="1" x14ac:dyDescent="0.3">
      <c r="A247" s="16">
        <v>240</v>
      </c>
      <c r="B247" s="17" t="s">
        <v>1138</v>
      </c>
      <c r="C247" s="6">
        <v>1018492612</v>
      </c>
      <c r="D247" s="6">
        <f>COUNTIFS($C$8:C247,C247)</f>
        <v>1</v>
      </c>
      <c r="E247" s="6">
        <v>3213001212</v>
      </c>
      <c r="F247" s="12" t="s">
        <v>1139</v>
      </c>
      <c r="G247" s="7">
        <v>46044</v>
      </c>
      <c r="H247" s="7">
        <v>46224</v>
      </c>
      <c r="I247" s="8" t="s">
        <v>1140</v>
      </c>
      <c r="J247" s="6" t="s">
        <v>1843</v>
      </c>
      <c r="K247" s="6" t="s">
        <v>106</v>
      </c>
      <c r="L247" s="6" t="s">
        <v>1141</v>
      </c>
      <c r="M247" s="6" t="s">
        <v>1142</v>
      </c>
      <c r="N247" s="6" t="s">
        <v>17</v>
      </c>
      <c r="O247" s="6" t="s">
        <v>24</v>
      </c>
      <c r="P247" t="s">
        <v>125</v>
      </c>
      <c r="Q247" s="25" t="s">
        <v>2112</v>
      </c>
    </row>
    <row r="248" spans="1:19" ht="14.4" hidden="1" x14ac:dyDescent="0.3">
      <c r="A248" s="5">
        <v>241</v>
      </c>
      <c r="B248" s="17" t="s">
        <v>1143</v>
      </c>
      <c r="C248" s="6">
        <v>52226898</v>
      </c>
      <c r="D248" s="6">
        <f>COUNTIFS($C$8:C248,C248)</f>
        <v>1</v>
      </c>
      <c r="E248" s="6">
        <v>3112818293</v>
      </c>
      <c r="F248" s="12" t="s">
        <v>1144</v>
      </c>
      <c r="G248" s="7">
        <v>46035</v>
      </c>
      <c r="H248" s="7">
        <v>46387</v>
      </c>
      <c r="I248" s="8" t="s">
        <v>1145</v>
      </c>
      <c r="J248" s="6" t="s">
        <v>587</v>
      </c>
      <c r="K248" s="6" t="s">
        <v>115</v>
      </c>
      <c r="L248" s="6" t="s">
        <v>1146</v>
      </c>
      <c r="M248" s="6" t="s">
        <v>1147</v>
      </c>
      <c r="N248" s="6" t="s">
        <v>17</v>
      </c>
      <c r="O248" s="6" t="s">
        <v>221</v>
      </c>
      <c r="P248" t="s">
        <v>125</v>
      </c>
      <c r="Q248" s="25" t="s">
        <v>2112</v>
      </c>
    </row>
    <row r="249" spans="1:19" ht="14.4" hidden="1" x14ac:dyDescent="0.3">
      <c r="A249" s="5">
        <v>242</v>
      </c>
      <c r="B249" s="17" t="s">
        <v>1148</v>
      </c>
      <c r="C249" s="6">
        <v>79609619</v>
      </c>
      <c r="D249" s="6">
        <f>COUNTIFS($C$8:C249,C249)</f>
        <v>1</v>
      </c>
      <c r="E249" s="6">
        <v>3222674965</v>
      </c>
      <c r="F249" s="12" t="s">
        <v>1149</v>
      </c>
      <c r="G249" s="7">
        <v>46048</v>
      </c>
      <c r="H249" s="7">
        <v>46387</v>
      </c>
      <c r="I249" s="8" t="s">
        <v>1150</v>
      </c>
      <c r="J249" s="6" t="s">
        <v>500</v>
      </c>
      <c r="K249" s="6" t="s">
        <v>80</v>
      </c>
      <c r="L249" s="6" t="s">
        <v>1151</v>
      </c>
      <c r="M249" s="6" t="s">
        <v>20</v>
      </c>
      <c r="N249" s="6" t="s">
        <v>129</v>
      </c>
      <c r="O249" s="6" t="s">
        <v>1152</v>
      </c>
      <c r="P249" t="s">
        <v>125</v>
      </c>
      <c r="Q249" s="25" t="s">
        <v>2112</v>
      </c>
    </row>
    <row r="250" spans="1:19" ht="14.4" hidden="1" x14ac:dyDescent="0.3">
      <c r="A250" s="5">
        <v>243</v>
      </c>
      <c r="B250" s="17" t="s">
        <v>1153</v>
      </c>
      <c r="C250" s="6">
        <v>1002524810</v>
      </c>
      <c r="D250" s="6">
        <f>COUNTIFS($C$8:C250,C250)</f>
        <v>1</v>
      </c>
      <c r="E250" s="6">
        <v>1002524810</v>
      </c>
      <c r="F250" s="12" t="s">
        <v>1154</v>
      </c>
      <c r="G250" s="7">
        <v>46038</v>
      </c>
      <c r="H250" s="7">
        <v>46249</v>
      </c>
      <c r="I250" s="8" t="s">
        <v>1155</v>
      </c>
      <c r="J250" s="6" t="s">
        <v>1338</v>
      </c>
      <c r="K250" s="6" t="s">
        <v>115</v>
      </c>
      <c r="L250" s="6" t="s">
        <v>1156</v>
      </c>
      <c r="M250" s="6" t="s">
        <v>1157</v>
      </c>
      <c r="N250" s="6" t="s">
        <v>17</v>
      </c>
      <c r="O250" s="6" t="s">
        <v>66</v>
      </c>
      <c r="P250" t="s">
        <v>125</v>
      </c>
      <c r="Q250" s="25" t="s">
        <v>2112</v>
      </c>
    </row>
    <row r="251" spans="1:19" ht="14.4" hidden="1" x14ac:dyDescent="0.3">
      <c r="A251" s="16">
        <v>244</v>
      </c>
      <c r="B251" s="17" t="s">
        <v>1158</v>
      </c>
      <c r="C251" s="6">
        <v>1020828035</v>
      </c>
      <c r="D251" s="6">
        <f>COUNTIFS($C$8:C251,C251)</f>
        <v>1</v>
      </c>
      <c r="E251" s="6">
        <v>3223455521</v>
      </c>
      <c r="F251" s="12" t="s">
        <v>1159</v>
      </c>
      <c r="G251" s="7">
        <v>46041</v>
      </c>
      <c r="H251" s="7">
        <v>46387</v>
      </c>
      <c r="I251" s="8" t="s">
        <v>1160</v>
      </c>
      <c r="J251" s="6" t="s">
        <v>500</v>
      </c>
      <c r="K251" s="6" t="s">
        <v>106</v>
      </c>
      <c r="L251" s="6" t="s">
        <v>1161</v>
      </c>
      <c r="M251" s="6" t="s">
        <v>1162</v>
      </c>
      <c r="N251" s="6" t="s">
        <v>17</v>
      </c>
      <c r="O251" s="6" t="s">
        <v>24</v>
      </c>
      <c r="P251" t="s">
        <v>125</v>
      </c>
      <c r="Q251" s="25" t="s">
        <v>2112</v>
      </c>
    </row>
    <row r="252" spans="1:19" ht="14.4" hidden="1" x14ac:dyDescent="0.3">
      <c r="A252" s="5">
        <v>245</v>
      </c>
      <c r="B252" s="17" t="s">
        <v>1163</v>
      </c>
      <c r="C252" s="17">
        <v>1136888167</v>
      </c>
      <c r="D252" s="6">
        <f>COUNTIFS($C$8:C252,C252)</f>
        <v>1</v>
      </c>
      <c r="E252" s="17">
        <v>3143582790</v>
      </c>
      <c r="F252" s="23" t="s">
        <v>1164</v>
      </c>
      <c r="G252" s="18">
        <v>46031</v>
      </c>
      <c r="H252" s="18">
        <v>46211</v>
      </c>
      <c r="I252" s="8" t="s">
        <v>1165</v>
      </c>
      <c r="J252" s="6" t="s">
        <v>1353</v>
      </c>
      <c r="K252" s="6" t="s">
        <v>143</v>
      </c>
      <c r="L252" s="17" t="s">
        <v>1166</v>
      </c>
      <c r="M252" s="17" t="s">
        <v>1167</v>
      </c>
      <c r="N252" s="6" t="s">
        <v>253</v>
      </c>
      <c r="O252" s="17" t="s">
        <v>773</v>
      </c>
      <c r="P252" s="19" t="s">
        <v>125</v>
      </c>
      <c r="Q252" s="22" t="s">
        <v>2098</v>
      </c>
      <c r="R252" s="20"/>
      <c r="S252" s="20"/>
    </row>
    <row r="253" spans="1:19" ht="14.4" hidden="1" x14ac:dyDescent="0.3">
      <c r="A253" s="5">
        <v>246</v>
      </c>
      <c r="B253" s="17" t="s">
        <v>1168</v>
      </c>
      <c r="C253" s="6">
        <v>52084821</v>
      </c>
      <c r="D253" s="6">
        <f>COUNTIFS($C$8:C253,C253)</f>
        <v>1</v>
      </c>
      <c r="E253" s="6">
        <v>3108023562</v>
      </c>
      <c r="F253" s="6" t="s">
        <v>20</v>
      </c>
      <c r="G253" s="7" t="s">
        <v>20</v>
      </c>
      <c r="H253" s="7" t="s">
        <v>20</v>
      </c>
      <c r="I253" s="8" t="s">
        <v>1169</v>
      </c>
      <c r="J253" s="6" t="s">
        <v>434</v>
      </c>
      <c r="K253" s="6" t="s">
        <v>115</v>
      </c>
      <c r="L253" s="6" t="s">
        <v>1087</v>
      </c>
      <c r="M253" s="6" t="s">
        <v>1170</v>
      </c>
      <c r="N253" s="6" t="s">
        <v>17</v>
      </c>
      <c r="O253" s="6" t="s">
        <v>1171</v>
      </c>
      <c r="P253" t="s">
        <v>119</v>
      </c>
      <c r="Q253" s="25" t="s">
        <v>2112</v>
      </c>
    </row>
    <row r="254" spans="1:19" ht="14.4" hidden="1" x14ac:dyDescent="0.3">
      <c r="A254" s="5">
        <v>247</v>
      </c>
      <c r="B254" s="17" t="s">
        <v>1172</v>
      </c>
      <c r="C254" s="6">
        <v>37863889</v>
      </c>
      <c r="D254" s="6">
        <f>COUNTIFS($C$8:C254,C254)</f>
        <v>1</v>
      </c>
      <c r="E254" s="6">
        <v>3123512363</v>
      </c>
      <c r="F254" s="12" t="s">
        <v>1173</v>
      </c>
      <c r="G254" s="7">
        <v>46036</v>
      </c>
      <c r="H254" s="7">
        <v>46387</v>
      </c>
      <c r="I254" s="8" t="s">
        <v>1174</v>
      </c>
      <c r="J254" s="17" t="s">
        <v>2011</v>
      </c>
      <c r="K254" s="6" t="s">
        <v>155</v>
      </c>
      <c r="L254" s="6" t="s">
        <v>1175</v>
      </c>
      <c r="M254" s="6" t="s">
        <v>20</v>
      </c>
      <c r="N254" s="6" t="s">
        <v>129</v>
      </c>
      <c r="O254" s="6" t="s">
        <v>24</v>
      </c>
      <c r="P254" t="s">
        <v>125</v>
      </c>
      <c r="Q254" s="25" t="s">
        <v>2112</v>
      </c>
    </row>
    <row r="255" spans="1:19" ht="14.4" hidden="1" x14ac:dyDescent="0.3">
      <c r="A255" s="16">
        <v>248</v>
      </c>
      <c r="B255" s="17" t="s">
        <v>1176</v>
      </c>
      <c r="C255" s="17">
        <v>80897139</v>
      </c>
      <c r="D255" s="6">
        <f>COUNTIFS($C$8:C255,C255)</f>
        <v>1</v>
      </c>
      <c r="E255" s="17">
        <v>3213046961</v>
      </c>
      <c r="F255" s="17" t="s">
        <v>1177</v>
      </c>
      <c r="G255" s="18">
        <v>46036</v>
      </c>
      <c r="H255" s="18">
        <v>46282</v>
      </c>
      <c r="I255" s="8" t="s">
        <v>1178</v>
      </c>
      <c r="J255" s="6" t="s">
        <v>1338</v>
      </c>
      <c r="K255" s="6" t="s">
        <v>106</v>
      </c>
      <c r="L255" s="17" t="s">
        <v>701</v>
      </c>
      <c r="M255" s="17" t="s">
        <v>1179</v>
      </c>
      <c r="N255" s="17" t="s">
        <v>17</v>
      </c>
      <c r="O255" s="17" t="s">
        <v>66</v>
      </c>
      <c r="P255" s="19" t="s">
        <v>125</v>
      </c>
      <c r="Q255" s="21" t="s">
        <v>2098</v>
      </c>
      <c r="R255" s="20"/>
      <c r="S255" s="20"/>
    </row>
    <row r="256" spans="1:19" ht="14.4" hidden="1" x14ac:dyDescent="0.3">
      <c r="A256" s="5">
        <v>249</v>
      </c>
      <c r="B256" s="17" t="s">
        <v>1180</v>
      </c>
      <c r="C256" s="6">
        <v>51736627</v>
      </c>
      <c r="D256" s="6">
        <f>COUNTIFS($C$8:C256,C256)</f>
        <v>1</v>
      </c>
      <c r="E256" s="6">
        <v>3132613176</v>
      </c>
      <c r="F256" s="6" t="s">
        <v>20</v>
      </c>
      <c r="G256" s="7" t="s">
        <v>20</v>
      </c>
      <c r="H256" s="7" t="s">
        <v>20</v>
      </c>
      <c r="I256" s="8" t="s">
        <v>1181</v>
      </c>
      <c r="J256" s="6" t="s">
        <v>270</v>
      </c>
      <c r="K256" s="6" t="s">
        <v>143</v>
      </c>
      <c r="L256" s="6" t="s">
        <v>202</v>
      </c>
      <c r="M256" s="6" t="s">
        <v>1182</v>
      </c>
      <c r="N256" s="6" t="s">
        <v>17</v>
      </c>
      <c r="O256" s="6" t="s">
        <v>96</v>
      </c>
      <c r="P256" t="s">
        <v>119</v>
      </c>
      <c r="Q256" s="25" t="s">
        <v>2112</v>
      </c>
    </row>
    <row r="257" spans="1:19" ht="14.4" hidden="1" x14ac:dyDescent="0.3">
      <c r="A257" s="5">
        <v>250</v>
      </c>
      <c r="B257" s="17" t="s">
        <v>1183</v>
      </c>
      <c r="C257" s="6">
        <v>51655384</v>
      </c>
      <c r="D257" s="6">
        <f>COUNTIFS($C$8:C257,C257)</f>
        <v>1</v>
      </c>
      <c r="E257" s="6">
        <v>3132946422</v>
      </c>
      <c r="F257" s="12" t="s">
        <v>1184</v>
      </c>
      <c r="G257" s="7">
        <v>46049</v>
      </c>
      <c r="H257" s="7">
        <v>46352</v>
      </c>
      <c r="I257" s="8" t="s">
        <v>1185</v>
      </c>
      <c r="J257" s="6" t="s">
        <v>270</v>
      </c>
      <c r="K257" s="6" t="s">
        <v>115</v>
      </c>
      <c r="L257" s="6" t="s">
        <v>781</v>
      </c>
      <c r="M257" s="6" t="s">
        <v>1186</v>
      </c>
      <c r="N257" s="6" t="s">
        <v>17</v>
      </c>
      <c r="O257" s="6" t="s">
        <v>166</v>
      </c>
      <c r="P257" t="s">
        <v>125</v>
      </c>
      <c r="Q257" s="25" t="s">
        <v>2112</v>
      </c>
    </row>
    <row r="258" spans="1:19" ht="14.4" hidden="1" x14ac:dyDescent="0.3">
      <c r="A258" s="5">
        <v>251</v>
      </c>
      <c r="B258" s="17" t="s">
        <v>1187</v>
      </c>
      <c r="C258" s="6">
        <v>19366198</v>
      </c>
      <c r="D258" s="6">
        <f>COUNTIFS($C$8:C258,C258)</f>
        <v>1</v>
      </c>
      <c r="E258" s="6">
        <v>3112277645</v>
      </c>
      <c r="F258" s="12" t="s">
        <v>1188</v>
      </c>
      <c r="G258" s="7">
        <v>46044</v>
      </c>
      <c r="H258" s="7">
        <v>46347</v>
      </c>
      <c r="I258" s="8" t="s">
        <v>1189</v>
      </c>
      <c r="J258" s="6" t="s">
        <v>587</v>
      </c>
      <c r="K258" s="6" t="s">
        <v>115</v>
      </c>
      <c r="L258" s="6" t="s">
        <v>1190</v>
      </c>
      <c r="M258" s="6" t="s">
        <v>1191</v>
      </c>
      <c r="N258" s="6" t="s">
        <v>17</v>
      </c>
      <c r="O258" s="6" t="s">
        <v>1192</v>
      </c>
      <c r="P258" t="s">
        <v>125</v>
      </c>
      <c r="Q258" s="25" t="s">
        <v>2112</v>
      </c>
    </row>
    <row r="259" spans="1:19" ht="14.4" hidden="1" x14ac:dyDescent="0.3">
      <c r="A259" s="16">
        <v>252</v>
      </c>
      <c r="B259" s="17" t="s">
        <v>1193</v>
      </c>
      <c r="C259" s="17">
        <v>1010185027</v>
      </c>
      <c r="D259" s="6">
        <f>COUNTIFS($C$8:C259,C259)</f>
        <v>1</v>
      </c>
      <c r="E259" s="17">
        <v>3125774718</v>
      </c>
      <c r="F259" s="23" t="s">
        <v>1194</v>
      </c>
      <c r="G259" s="18">
        <v>46044</v>
      </c>
      <c r="H259" s="18">
        <v>46219</v>
      </c>
      <c r="I259" s="8" t="s">
        <v>1195</v>
      </c>
      <c r="J259" s="6" t="s">
        <v>1353</v>
      </c>
      <c r="K259" s="6" t="s">
        <v>143</v>
      </c>
      <c r="L259" s="17" t="s">
        <v>75</v>
      </c>
      <c r="M259" s="17" t="s">
        <v>1196</v>
      </c>
      <c r="N259" s="17" t="s">
        <v>17</v>
      </c>
      <c r="O259" s="17" t="s">
        <v>66</v>
      </c>
      <c r="P259" s="19" t="s">
        <v>125</v>
      </c>
      <c r="Q259" s="21" t="s">
        <v>2098</v>
      </c>
      <c r="R259" s="20"/>
      <c r="S259" s="20"/>
    </row>
    <row r="260" spans="1:19" ht="14.4" hidden="1" x14ac:dyDescent="0.3">
      <c r="A260" s="5">
        <v>253</v>
      </c>
      <c r="B260" s="17" t="s">
        <v>1197</v>
      </c>
      <c r="C260" s="17">
        <v>1019025949</v>
      </c>
      <c r="D260" s="6">
        <f>COUNTIFS($C$8:C260,C260)</f>
        <v>1</v>
      </c>
      <c r="E260" s="17">
        <v>3134801116</v>
      </c>
      <c r="F260" s="23" t="s">
        <v>1198</v>
      </c>
      <c r="G260" s="18">
        <v>46044</v>
      </c>
      <c r="H260" s="18">
        <v>46225</v>
      </c>
      <c r="I260" s="8" t="s">
        <v>1199</v>
      </c>
      <c r="J260" s="17" t="s">
        <v>299</v>
      </c>
      <c r="K260" s="6" t="s">
        <v>143</v>
      </c>
      <c r="L260" s="17" t="s">
        <v>1200</v>
      </c>
      <c r="M260" s="17" t="s">
        <v>1201</v>
      </c>
      <c r="N260" s="17" t="s">
        <v>17</v>
      </c>
      <c r="O260" s="17" t="s">
        <v>66</v>
      </c>
      <c r="P260" s="19" t="s">
        <v>125</v>
      </c>
      <c r="Q260" s="21" t="s">
        <v>2098</v>
      </c>
      <c r="R260" s="20"/>
      <c r="S260" s="20"/>
    </row>
    <row r="261" spans="1:19" ht="14.4" hidden="1" x14ac:dyDescent="0.3">
      <c r="A261" s="5">
        <v>254</v>
      </c>
      <c r="B261" s="17" t="s">
        <v>1202</v>
      </c>
      <c r="C261" s="17">
        <v>79967484</v>
      </c>
      <c r="D261" s="6">
        <f>COUNTIFS($C$8:C261,C261)</f>
        <v>1</v>
      </c>
      <c r="E261" s="17">
        <v>3114465810</v>
      </c>
      <c r="F261" s="23" t="s">
        <v>1203</v>
      </c>
      <c r="G261" s="18">
        <v>46046</v>
      </c>
      <c r="H261" s="18">
        <v>46226</v>
      </c>
      <c r="I261" s="8" t="s">
        <v>1204</v>
      </c>
      <c r="J261" s="6" t="s">
        <v>256</v>
      </c>
      <c r="K261" s="6" t="s">
        <v>115</v>
      </c>
      <c r="L261" s="17" t="s">
        <v>196</v>
      </c>
      <c r="M261" s="17" t="s">
        <v>1205</v>
      </c>
      <c r="N261" s="17" t="s">
        <v>17</v>
      </c>
      <c r="O261" s="17" t="s">
        <v>1206</v>
      </c>
      <c r="P261" s="19" t="s">
        <v>125</v>
      </c>
      <c r="Q261" s="21" t="s">
        <v>2098</v>
      </c>
      <c r="R261" s="20"/>
      <c r="S261" s="20"/>
    </row>
    <row r="262" spans="1:19" ht="14.4" hidden="1" x14ac:dyDescent="0.3">
      <c r="A262" s="5">
        <v>255</v>
      </c>
      <c r="B262" s="17" t="s">
        <v>1207</v>
      </c>
      <c r="C262" s="17">
        <v>74370778</v>
      </c>
      <c r="D262" s="6">
        <f>COUNTIFS($C$8:C262,C262)</f>
        <v>1</v>
      </c>
      <c r="E262" s="17">
        <v>3208290927</v>
      </c>
      <c r="F262" s="17" t="s">
        <v>1208</v>
      </c>
      <c r="G262" s="18">
        <v>46050</v>
      </c>
      <c r="H262" s="18">
        <v>46224</v>
      </c>
      <c r="I262" s="8" t="s">
        <v>1209</v>
      </c>
      <c r="J262" s="6" t="s">
        <v>256</v>
      </c>
      <c r="K262" s="6" t="s">
        <v>115</v>
      </c>
      <c r="L262" s="17" t="s">
        <v>304</v>
      </c>
      <c r="M262" s="17" t="s">
        <v>1210</v>
      </c>
      <c r="N262" s="17" t="s">
        <v>17</v>
      </c>
      <c r="O262" s="17" t="s">
        <v>24</v>
      </c>
      <c r="P262" s="19" t="s">
        <v>125</v>
      </c>
      <c r="Q262" s="22" t="s">
        <v>2098</v>
      </c>
      <c r="R262" s="20"/>
      <c r="S262" s="20"/>
    </row>
    <row r="263" spans="1:19" ht="14.4" hidden="1" x14ac:dyDescent="0.3">
      <c r="A263" s="16">
        <v>256</v>
      </c>
      <c r="B263" s="17" t="s">
        <v>1211</v>
      </c>
      <c r="C263" s="6">
        <v>1015399199</v>
      </c>
      <c r="D263" s="6">
        <f>COUNTIFS($C$8:C263,C263)</f>
        <v>1</v>
      </c>
      <c r="E263" s="6">
        <v>3112896785</v>
      </c>
      <c r="F263" s="12" t="s">
        <v>1212</v>
      </c>
      <c r="G263" s="7">
        <v>46028</v>
      </c>
      <c r="H263" s="7">
        <v>46239</v>
      </c>
      <c r="I263" s="8" t="s">
        <v>1213</v>
      </c>
      <c r="J263" s="6" t="s">
        <v>1843</v>
      </c>
      <c r="K263" s="6" t="s">
        <v>115</v>
      </c>
      <c r="L263" s="6" t="s">
        <v>1214</v>
      </c>
      <c r="M263" s="6" t="s">
        <v>1215</v>
      </c>
      <c r="N263" s="6" t="s">
        <v>253</v>
      </c>
      <c r="O263" s="6" t="s">
        <v>1216</v>
      </c>
      <c r="P263" t="s">
        <v>125</v>
      </c>
      <c r="Q263" s="25" t="s">
        <v>2112</v>
      </c>
    </row>
    <row r="264" spans="1:19" ht="14.4" hidden="1" x14ac:dyDescent="0.3">
      <c r="A264" s="5">
        <v>257</v>
      </c>
      <c r="B264" s="17" t="s">
        <v>1217</v>
      </c>
      <c r="C264" s="6">
        <v>79331288</v>
      </c>
      <c r="D264" s="6">
        <f>COUNTIFS($C$8:C264,C264)</f>
        <v>1</v>
      </c>
      <c r="E264" s="6">
        <v>3006097970</v>
      </c>
      <c r="F264" s="12" t="s">
        <v>1218</v>
      </c>
      <c r="G264" s="7">
        <v>46051</v>
      </c>
      <c r="H264" s="7">
        <v>46231</v>
      </c>
      <c r="I264" s="8" t="s">
        <v>1219</v>
      </c>
      <c r="J264" s="6" t="s">
        <v>201</v>
      </c>
      <c r="K264" s="6" t="s">
        <v>115</v>
      </c>
      <c r="L264" s="6" t="s">
        <v>1220</v>
      </c>
      <c r="M264" s="6" t="s">
        <v>1221</v>
      </c>
      <c r="N264" s="6" t="s">
        <v>253</v>
      </c>
      <c r="O264" s="6" t="s">
        <v>60</v>
      </c>
      <c r="P264" t="s">
        <v>125</v>
      </c>
      <c r="Q264" s="25" t="s">
        <v>2112</v>
      </c>
    </row>
    <row r="265" spans="1:19" ht="14.4" hidden="1" x14ac:dyDescent="0.3">
      <c r="A265" s="5">
        <v>258</v>
      </c>
      <c r="B265" s="17" t="s">
        <v>1222</v>
      </c>
      <c r="C265" s="17">
        <v>1012383494</v>
      </c>
      <c r="D265" s="6">
        <f>COUNTIFS($C$8:C265,C265)</f>
        <v>1</v>
      </c>
      <c r="E265" s="17">
        <v>3124369221</v>
      </c>
      <c r="F265" s="23" t="s">
        <v>1223</v>
      </c>
      <c r="G265" s="18">
        <v>46029</v>
      </c>
      <c r="H265" s="18">
        <v>46387</v>
      </c>
      <c r="I265" s="8" t="s">
        <v>1224</v>
      </c>
      <c r="J265" s="6" t="s">
        <v>201</v>
      </c>
      <c r="K265" s="6" t="s">
        <v>115</v>
      </c>
      <c r="L265" s="17" t="s">
        <v>58</v>
      </c>
      <c r="M265" s="17" t="s">
        <v>1225</v>
      </c>
      <c r="N265" s="17" t="s">
        <v>17</v>
      </c>
      <c r="O265" s="17" t="s">
        <v>18</v>
      </c>
      <c r="P265" s="19" t="s">
        <v>125</v>
      </c>
      <c r="Q265" s="21" t="s">
        <v>2098</v>
      </c>
      <c r="R265" s="20"/>
      <c r="S265" s="20"/>
    </row>
    <row r="266" spans="1:19" ht="14.4" hidden="1" x14ac:dyDescent="0.3">
      <c r="A266" s="5">
        <v>259</v>
      </c>
      <c r="B266" s="17" t="s">
        <v>1226</v>
      </c>
      <c r="C266" s="17">
        <v>1026578164</v>
      </c>
      <c r="D266" s="6">
        <f>COUNTIFS($C$8:C266,C266)</f>
        <v>1</v>
      </c>
      <c r="E266" s="17">
        <v>3192601606</v>
      </c>
      <c r="F266" s="23" t="s">
        <v>1227</v>
      </c>
      <c r="G266" s="18">
        <v>46042</v>
      </c>
      <c r="H266" s="18">
        <v>46314</v>
      </c>
      <c r="I266" s="8" t="s">
        <v>1228</v>
      </c>
      <c r="J266" s="6" t="s">
        <v>1229</v>
      </c>
      <c r="K266" s="6" t="s">
        <v>106</v>
      </c>
      <c r="L266" s="17" t="s">
        <v>1230</v>
      </c>
      <c r="M266" s="17" t="s">
        <v>1231</v>
      </c>
      <c r="N266" s="17" t="s">
        <v>17</v>
      </c>
      <c r="O266" s="17" t="s">
        <v>1232</v>
      </c>
      <c r="P266" s="19" t="s">
        <v>125</v>
      </c>
      <c r="Q266" s="21" t="s">
        <v>2098</v>
      </c>
      <c r="R266" s="20"/>
      <c r="S266" s="20"/>
    </row>
    <row r="267" spans="1:19" ht="14.4" hidden="1" x14ac:dyDescent="0.3">
      <c r="A267" s="16">
        <v>260</v>
      </c>
      <c r="B267" s="17" t="s">
        <v>1233</v>
      </c>
      <c r="C267" s="6">
        <v>79794570</v>
      </c>
      <c r="D267" s="6">
        <f>COUNTIFS($C$8:C267,C267)</f>
        <v>1</v>
      </c>
      <c r="E267" s="6">
        <v>3002715302</v>
      </c>
      <c r="F267" s="12" t="s">
        <v>1234</v>
      </c>
      <c r="G267" s="7">
        <v>46048</v>
      </c>
      <c r="H267" s="7">
        <v>46381</v>
      </c>
      <c r="I267" s="8" t="s">
        <v>333</v>
      </c>
      <c r="J267" s="17" t="s">
        <v>207</v>
      </c>
      <c r="K267" s="6" t="s">
        <v>115</v>
      </c>
      <c r="L267" s="6" t="s">
        <v>276</v>
      </c>
      <c r="M267" s="6" t="s">
        <v>1235</v>
      </c>
      <c r="N267" s="6" t="s">
        <v>253</v>
      </c>
      <c r="O267" s="6" t="s">
        <v>18</v>
      </c>
      <c r="P267" t="s">
        <v>125</v>
      </c>
      <c r="Q267" s="25" t="s">
        <v>2112</v>
      </c>
    </row>
    <row r="268" spans="1:19" ht="14.4" hidden="1" x14ac:dyDescent="0.3">
      <c r="A268" s="5">
        <v>261</v>
      </c>
      <c r="B268" s="17" t="s">
        <v>1236</v>
      </c>
      <c r="C268" s="6">
        <v>80755333</v>
      </c>
      <c r="D268" s="6">
        <f>COUNTIFS($C$8:C268,C268)</f>
        <v>1</v>
      </c>
      <c r="E268" s="6">
        <v>3115901496</v>
      </c>
      <c r="F268" s="12" t="s">
        <v>1237</v>
      </c>
      <c r="G268" s="7">
        <v>46049</v>
      </c>
      <c r="H268" s="7">
        <v>46230</v>
      </c>
      <c r="I268" s="8" t="s">
        <v>1238</v>
      </c>
      <c r="J268" s="6" t="s">
        <v>256</v>
      </c>
      <c r="K268" s="6" t="s">
        <v>115</v>
      </c>
      <c r="L268" s="6" t="s">
        <v>452</v>
      </c>
      <c r="M268" s="6" t="s">
        <v>1239</v>
      </c>
      <c r="N268" s="6" t="s">
        <v>17</v>
      </c>
      <c r="O268" s="6" t="s">
        <v>1240</v>
      </c>
      <c r="P268" t="s">
        <v>125</v>
      </c>
      <c r="Q268" s="25" t="s">
        <v>2112</v>
      </c>
    </row>
    <row r="269" spans="1:19" ht="14.4" hidden="1" x14ac:dyDescent="0.3">
      <c r="A269" s="5">
        <v>262</v>
      </c>
      <c r="B269" s="17" t="s">
        <v>1241</v>
      </c>
      <c r="C269" s="6">
        <v>79547192</v>
      </c>
      <c r="D269" s="6">
        <f>COUNTIFS($C$8:C269,C269)</f>
        <v>1</v>
      </c>
      <c r="E269" s="6">
        <v>3024403891</v>
      </c>
      <c r="F269" s="6" t="s">
        <v>20</v>
      </c>
      <c r="G269" s="7" t="s">
        <v>20</v>
      </c>
      <c r="H269" s="7" t="s">
        <v>20</v>
      </c>
      <c r="I269" s="8" t="s">
        <v>1242</v>
      </c>
      <c r="J269" s="6" t="s">
        <v>434</v>
      </c>
      <c r="K269" s="6" t="s">
        <v>143</v>
      </c>
      <c r="L269" s="6" t="s">
        <v>1243</v>
      </c>
      <c r="M269" s="6" t="s">
        <v>1244</v>
      </c>
      <c r="N269" s="6" t="s">
        <v>17</v>
      </c>
      <c r="O269" s="6" t="s">
        <v>1245</v>
      </c>
      <c r="P269" t="s">
        <v>119</v>
      </c>
      <c r="Q269" s="25" t="s">
        <v>2112</v>
      </c>
    </row>
    <row r="270" spans="1:19" ht="14.4" hidden="1" x14ac:dyDescent="0.3">
      <c r="A270" s="5">
        <v>263</v>
      </c>
      <c r="B270" s="17" t="s">
        <v>1246</v>
      </c>
      <c r="C270" s="6">
        <v>63548541</v>
      </c>
      <c r="D270" s="6">
        <f>COUNTIFS($C$8:C270,C270)</f>
        <v>1</v>
      </c>
      <c r="E270" s="6">
        <v>3014315127</v>
      </c>
      <c r="F270" s="12" t="s">
        <v>1247</v>
      </c>
      <c r="G270" s="7">
        <v>46029</v>
      </c>
      <c r="H270" s="7">
        <v>46308</v>
      </c>
      <c r="I270" s="8" t="s">
        <v>1248</v>
      </c>
      <c r="J270" s="6" t="s">
        <v>1229</v>
      </c>
      <c r="K270" s="6" t="s">
        <v>143</v>
      </c>
      <c r="L270" s="6" t="s">
        <v>64</v>
      </c>
      <c r="M270" s="6" t="s">
        <v>1249</v>
      </c>
      <c r="N270" s="6" t="s">
        <v>253</v>
      </c>
      <c r="O270" s="6" t="s">
        <v>134</v>
      </c>
      <c r="P270" t="s">
        <v>125</v>
      </c>
      <c r="Q270" s="25" t="s">
        <v>2112</v>
      </c>
    </row>
    <row r="271" spans="1:19" ht="14.4" hidden="1" x14ac:dyDescent="0.3">
      <c r="A271" s="16">
        <v>264</v>
      </c>
      <c r="B271" s="17" t="s">
        <v>1250</v>
      </c>
      <c r="C271" s="6">
        <v>52265674</v>
      </c>
      <c r="D271" s="6">
        <f>COUNTIFS($C$8:C271,C271)</f>
        <v>1</v>
      </c>
      <c r="E271" s="6">
        <v>3168291168</v>
      </c>
      <c r="F271" s="6" t="s">
        <v>20</v>
      </c>
      <c r="G271" s="7" t="s">
        <v>20</v>
      </c>
      <c r="H271" s="7" t="s">
        <v>20</v>
      </c>
      <c r="I271" s="8" t="s">
        <v>1251</v>
      </c>
      <c r="J271" s="17" t="s">
        <v>299</v>
      </c>
      <c r="K271" s="6" t="s">
        <v>115</v>
      </c>
      <c r="L271" s="6" t="s">
        <v>1252</v>
      </c>
      <c r="M271" s="6" t="s">
        <v>1253</v>
      </c>
      <c r="N271" s="6" t="s">
        <v>17</v>
      </c>
      <c r="O271" s="6" t="s">
        <v>60</v>
      </c>
      <c r="P271" t="s">
        <v>119</v>
      </c>
      <c r="Q271" s="25" t="s">
        <v>2112</v>
      </c>
    </row>
    <row r="272" spans="1:19" ht="14.4" hidden="1" x14ac:dyDescent="0.3">
      <c r="A272" s="5">
        <v>265</v>
      </c>
      <c r="B272" s="17" t="s">
        <v>1254</v>
      </c>
      <c r="C272" s="6">
        <v>43877882</v>
      </c>
      <c r="D272" s="6">
        <f>COUNTIFS($C$8:C272,C272)</f>
        <v>1</v>
      </c>
      <c r="E272" s="6">
        <v>3146620821</v>
      </c>
      <c r="F272" s="12" t="s">
        <v>1255</v>
      </c>
      <c r="G272" s="7">
        <v>46029</v>
      </c>
      <c r="H272" s="7">
        <v>46387</v>
      </c>
      <c r="I272" s="8" t="s">
        <v>1256</v>
      </c>
      <c r="J272" s="6" t="s">
        <v>201</v>
      </c>
      <c r="K272" s="6" t="s">
        <v>143</v>
      </c>
      <c r="L272" s="6" t="s">
        <v>354</v>
      </c>
      <c r="M272" s="6" t="s">
        <v>1257</v>
      </c>
      <c r="N272" s="6" t="s">
        <v>17</v>
      </c>
      <c r="O272" s="6" t="s">
        <v>1258</v>
      </c>
      <c r="P272" t="s">
        <v>125</v>
      </c>
      <c r="Q272" s="25" t="s">
        <v>2112</v>
      </c>
    </row>
    <row r="273" spans="1:19" ht="14.4" hidden="1" x14ac:dyDescent="0.3">
      <c r="A273" s="5">
        <v>266</v>
      </c>
      <c r="B273" s="17" t="s">
        <v>1259</v>
      </c>
      <c r="C273" s="6">
        <v>1010243381</v>
      </c>
      <c r="D273" s="6">
        <f>COUNTIFS($C$8:C273,C273)</f>
        <v>1</v>
      </c>
      <c r="E273" s="6">
        <v>3334004194</v>
      </c>
      <c r="F273" s="12" t="s">
        <v>1260</v>
      </c>
      <c r="G273" s="7">
        <v>46055</v>
      </c>
      <c r="H273" s="7">
        <v>46291</v>
      </c>
      <c r="I273" s="8" t="s">
        <v>1261</v>
      </c>
      <c r="J273" s="6" t="s">
        <v>325</v>
      </c>
      <c r="K273" s="6" t="s">
        <v>106</v>
      </c>
      <c r="L273" s="6" t="s">
        <v>363</v>
      </c>
      <c r="M273" s="6" t="s">
        <v>1262</v>
      </c>
      <c r="N273" s="6" t="s">
        <v>17</v>
      </c>
      <c r="O273" s="6" t="s">
        <v>1263</v>
      </c>
      <c r="P273" t="s">
        <v>125</v>
      </c>
      <c r="Q273" s="25" t="s">
        <v>2112</v>
      </c>
    </row>
    <row r="274" spans="1:19" ht="14.4" hidden="1" x14ac:dyDescent="0.3">
      <c r="A274" s="5">
        <v>267</v>
      </c>
      <c r="B274" s="17" t="s">
        <v>1264</v>
      </c>
      <c r="C274" s="6">
        <v>1018493253</v>
      </c>
      <c r="D274" s="6">
        <f>COUNTIFS($C$8:C274,C274)</f>
        <v>1</v>
      </c>
      <c r="E274" s="6">
        <v>3245841183</v>
      </c>
      <c r="F274" s="12" t="s">
        <v>263</v>
      </c>
      <c r="G274" s="7">
        <v>46041</v>
      </c>
      <c r="H274" s="7">
        <v>46387</v>
      </c>
      <c r="I274" s="8" t="s">
        <v>1265</v>
      </c>
      <c r="J274" s="6" t="s">
        <v>500</v>
      </c>
      <c r="K274" s="6" t="s">
        <v>115</v>
      </c>
      <c r="L274" s="6" t="s">
        <v>123</v>
      </c>
      <c r="M274" s="6" t="s">
        <v>1266</v>
      </c>
      <c r="N274" s="6" t="s">
        <v>17</v>
      </c>
      <c r="O274" s="6" t="s">
        <v>60</v>
      </c>
      <c r="P274" t="s">
        <v>125</v>
      </c>
      <c r="Q274" s="25" t="s">
        <v>2112</v>
      </c>
    </row>
    <row r="275" spans="1:19" ht="14.4" hidden="1" x14ac:dyDescent="0.3">
      <c r="A275" s="16">
        <v>268</v>
      </c>
      <c r="B275" s="17" t="s">
        <v>1267</v>
      </c>
      <c r="C275" s="6">
        <v>1018428215</v>
      </c>
      <c r="D275" s="6">
        <f>COUNTIFS($C$8:C275,C275)</f>
        <v>1</v>
      </c>
      <c r="E275" s="6">
        <v>3024705162</v>
      </c>
      <c r="F275" s="6" t="s">
        <v>20</v>
      </c>
      <c r="G275" s="7" t="s">
        <v>20</v>
      </c>
      <c r="H275" s="7" t="s">
        <v>20</v>
      </c>
      <c r="I275" s="8" t="s">
        <v>1268</v>
      </c>
      <c r="J275" s="6" t="s">
        <v>742</v>
      </c>
      <c r="K275" s="6" t="s">
        <v>106</v>
      </c>
      <c r="L275" s="6" t="s">
        <v>1269</v>
      </c>
      <c r="M275" s="6" t="s">
        <v>1270</v>
      </c>
      <c r="N275" s="6" t="s">
        <v>17</v>
      </c>
      <c r="O275" s="6" t="s">
        <v>18</v>
      </c>
      <c r="P275" s="19" t="s">
        <v>1280</v>
      </c>
      <c r="Q275" s="25" t="s">
        <v>2112</v>
      </c>
    </row>
    <row r="276" spans="1:19" ht="14.4" hidden="1" x14ac:dyDescent="0.3">
      <c r="A276" s="5">
        <v>269</v>
      </c>
      <c r="B276" s="17" t="s">
        <v>1271</v>
      </c>
      <c r="C276" s="6">
        <v>1012397431</v>
      </c>
      <c r="D276" s="6">
        <f>COUNTIFS($C$8:C276,C276)</f>
        <v>1</v>
      </c>
      <c r="E276" s="6">
        <v>3024240848</v>
      </c>
      <c r="F276" s="6" t="s">
        <v>20</v>
      </c>
      <c r="G276" s="7" t="s">
        <v>20</v>
      </c>
      <c r="H276" s="7" t="s">
        <v>20</v>
      </c>
      <c r="I276" s="8" t="s">
        <v>1268</v>
      </c>
      <c r="J276" s="6" t="s">
        <v>742</v>
      </c>
      <c r="K276" s="6" t="s">
        <v>106</v>
      </c>
      <c r="L276" s="6" t="s">
        <v>1272</v>
      </c>
      <c r="M276" s="6" t="s">
        <v>1273</v>
      </c>
      <c r="N276" s="6" t="s">
        <v>17</v>
      </c>
      <c r="O276" s="6" t="s">
        <v>1274</v>
      </c>
      <c r="P276" s="19" t="s">
        <v>1280</v>
      </c>
      <c r="Q276" s="25" t="s">
        <v>2112</v>
      </c>
    </row>
    <row r="277" spans="1:19" ht="14.4" hidden="1" x14ac:dyDescent="0.3">
      <c r="A277" s="5">
        <v>270</v>
      </c>
      <c r="B277" s="17" t="s">
        <v>1275</v>
      </c>
      <c r="C277" s="6">
        <v>1012337063</v>
      </c>
      <c r="D277" s="6">
        <f>COUNTIFS($C$8:C277,C277)</f>
        <v>1</v>
      </c>
      <c r="E277" s="6">
        <v>3116240199</v>
      </c>
      <c r="F277" s="6" t="s">
        <v>20</v>
      </c>
      <c r="G277" s="7" t="s">
        <v>20</v>
      </c>
      <c r="H277" s="7" t="s">
        <v>20</v>
      </c>
      <c r="I277" s="8" t="s">
        <v>1268</v>
      </c>
      <c r="J277" s="6" t="s">
        <v>742</v>
      </c>
      <c r="K277" s="6" t="s">
        <v>106</v>
      </c>
      <c r="L277" s="6" t="s">
        <v>1276</v>
      </c>
      <c r="M277" s="6" t="s">
        <v>1277</v>
      </c>
      <c r="N277" s="6" t="s">
        <v>17</v>
      </c>
      <c r="O277" s="6" t="s">
        <v>24</v>
      </c>
      <c r="P277" s="19" t="s">
        <v>1280</v>
      </c>
      <c r="Q277" s="25" t="s">
        <v>2112</v>
      </c>
    </row>
    <row r="278" spans="1:19" ht="14.4" hidden="1" x14ac:dyDescent="0.3">
      <c r="A278" s="5">
        <v>271</v>
      </c>
      <c r="B278" s="17" t="s">
        <v>1278</v>
      </c>
      <c r="C278" s="17">
        <v>1019007970</v>
      </c>
      <c r="D278" s="6">
        <f>COUNTIFS($C$8:C278,C278)</f>
        <v>1</v>
      </c>
      <c r="E278" s="17">
        <v>3017193730</v>
      </c>
      <c r="F278" s="6" t="s">
        <v>20</v>
      </c>
      <c r="G278" s="7" t="s">
        <v>20</v>
      </c>
      <c r="H278" s="7" t="s">
        <v>20</v>
      </c>
      <c r="I278" s="8" t="s">
        <v>1268</v>
      </c>
      <c r="J278" s="6" t="s">
        <v>742</v>
      </c>
      <c r="K278" s="6" t="s">
        <v>80</v>
      </c>
      <c r="L278" s="17" t="s">
        <v>1279</v>
      </c>
      <c r="M278" s="17" t="s">
        <v>20</v>
      </c>
      <c r="N278" s="17" t="s">
        <v>80</v>
      </c>
      <c r="O278" s="17" t="s">
        <v>1274</v>
      </c>
      <c r="P278" s="19" t="s">
        <v>1280</v>
      </c>
      <c r="Q278" s="21" t="s">
        <v>2098</v>
      </c>
      <c r="R278" s="20"/>
      <c r="S278" s="20"/>
    </row>
    <row r="279" spans="1:19" ht="14.4" hidden="1" x14ac:dyDescent="0.3">
      <c r="A279" s="16">
        <v>272</v>
      </c>
      <c r="B279" s="17" t="s">
        <v>1281</v>
      </c>
      <c r="C279" s="6">
        <v>275407</v>
      </c>
      <c r="D279" s="6">
        <f>COUNTIFS($C$8:C279,C279)</f>
        <v>1</v>
      </c>
      <c r="E279" s="6">
        <v>3123879339</v>
      </c>
      <c r="F279" s="12" t="s">
        <v>1282</v>
      </c>
      <c r="G279" s="7">
        <v>46041</v>
      </c>
      <c r="H279" s="7">
        <v>46375</v>
      </c>
      <c r="I279" s="8" t="s">
        <v>1283</v>
      </c>
      <c r="J279" s="6" t="s">
        <v>587</v>
      </c>
      <c r="K279" s="6" t="s">
        <v>143</v>
      </c>
      <c r="L279" s="6" t="s">
        <v>1036</v>
      </c>
      <c r="M279" s="6" t="s">
        <v>1284</v>
      </c>
      <c r="N279" s="6" t="s">
        <v>253</v>
      </c>
      <c r="O279" s="6" t="s">
        <v>66</v>
      </c>
      <c r="P279" t="s">
        <v>125</v>
      </c>
      <c r="Q279" s="25" t="s">
        <v>2112</v>
      </c>
    </row>
    <row r="280" spans="1:19" ht="14.4" hidden="1" x14ac:dyDescent="0.3">
      <c r="A280" s="5">
        <v>273</v>
      </c>
      <c r="B280" s="17" t="s">
        <v>1285</v>
      </c>
      <c r="C280" s="6">
        <v>1000180027</v>
      </c>
      <c r="D280" s="6">
        <f>COUNTIFS($C$8:C280,C280)</f>
        <v>1</v>
      </c>
      <c r="E280" s="6">
        <v>3118228379</v>
      </c>
      <c r="F280" s="6" t="s">
        <v>20</v>
      </c>
      <c r="G280" s="7" t="s">
        <v>20</v>
      </c>
      <c r="H280" s="7" t="s">
        <v>20</v>
      </c>
      <c r="I280" s="8" t="s">
        <v>1268</v>
      </c>
      <c r="J280" s="6" t="s">
        <v>742</v>
      </c>
      <c r="K280" s="6" t="s">
        <v>106</v>
      </c>
      <c r="L280" s="6" t="s">
        <v>1286</v>
      </c>
      <c r="M280" s="6" t="s">
        <v>1287</v>
      </c>
      <c r="N280" s="6" t="s">
        <v>17</v>
      </c>
      <c r="O280" s="6" t="s">
        <v>66</v>
      </c>
      <c r="P280" s="19" t="s">
        <v>1280</v>
      </c>
      <c r="Q280" s="25" t="s">
        <v>2112</v>
      </c>
    </row>
    <row r="281" spans="1:19" ht="14.4" hidden="1" x14ac:dyDescent="0.3">
      <c r="A281" s="5">
        <v>274</v>
      </c>
      <c r="B281" s="17" t="s">
        <v>1288</v>
      </c>
      <c r="C281" s="6">
        <v>52712916</v>
      </c>
      <c r="D281" s="6">
        <f>COUNTIFS($C$8:C281,C281)</f>
        <v>1</v>
      </c>
      <c r="E281" s="6">
        <v>3214379017</v>
      </c>
      <c r="F281" s="6" t="s">
        <v>2099</v>
      </c>
      <c r="G281" s="7">
        <v>46031</v>
      </c>
      <c r="H281" s="7">
        <v>46387</v>
      </c>
      <c r="I281" s="8" t="s">
        <v>1289</v>
      </c>
      <c r="J281" s="6" t="s">
        <v>201</v>
      </c>
      <c r="K281" s="6" t="s">
        <v>143</v>
      </c>
      <c r="L281" s="6" t="s">
        <v>1290</v>
      </c>
      <c r="M281" s="6" t="s">
        <v>1291</v>
      </c>
      <c r="N281" s="6" t="s">
        <v>17</v>
      </c>
      <c r="O281" s="6" t="s">
        <v>18</v>
      </c>
      <c r="P281" t="s">
        <v>125</v>
      </c>
      <c r="Q281" s="25" t="s">
        <v>2112</v>
      </c>
    </row>
    <row r="282" spans="1:19" ht="14.4" hidden="1" x14ac:dyDescent="0.3">
      <c r="A282" s="5">
        <v>275</v>
      </c>
      <c r="B282" s="17" t="s">
        <v>1292</v>
      </c>
      <c r="C282" s="6">
        <v>79605849</v>
      </c>
      <c r="D282" s="6">
        <f>COUNTIFS($C$8:C282,C282)</f>
        <v>1</v>
      </c>
      <c r="E282" s="6">
        <v>3114527947</v>
      </c>
      <c r="F282" s="6" t="s">
        <v>20</v>
      </c>
      <c r="G282" s="7" t="s">
        <v>20</v>
      </c>
      <c r="H282" s="7" t="s">
        <v>20</v>
      </c>
      <c r="I282" s="8" t="s">
        <v>1293</v>
      </c>
      <c r="J282" s="17" t="s">
        <v>207</v>
      </c>
      <c r="K282" s="6" t="s">
        <v>115</v>
      </c>
      <c r="L282" s="6" t="s">
        <v>164</v>
      </c>
      <c r="M282" s="6" t="s">
        <v>1294</v>
      </c>
      <c r="N282" s="6" t="s">
        <v>17</v>
      </c>
      <c r="O282" s="6" t="s">
        <v>60</v>
      </c>
      <c r="P282" t="s">
        <v>119</v>
      </c>
      <c r="Q282" s="25" t="s">
        <v>2112</v>
      </c>
    </row>
    <row r="283" spans="1:19" ht="14.4" hidden="1" x14ac:dyDescent="0.3">
      <c r="A283" s="16">
        <v>276</v>
      </c>
      <c r="B283" s="17" t="s">
        <v>1295</v>
      </c>
      <c r="C283" s="6">
        <v>79920331</v>
      </c>
      <c r="D283" s="6">
        <f>COUNTIFS($C$8:C283,C283)</f>
        <v>1</v>
      </c>
      <c r="E283" s="6">
        <v>3134028913</v>
      </c>
      <c r="F283" s="12" t="s">
        <v>1296</v>
      </c>
      <c r="G283" s="7">
        <v>46048</v>
      </c>
      <c r="H283" s="7">
        <v>46291</v>
      </c>
      <c r="I283" s="8" t="s">
        <v>1297</v>
      </c>
      <c r="J283" s="6" t="s">
        <v>256</v>
      </c>
      <c r="K283" s="6" t="s">
        <v>155</v>
      </c>
      <c r="L283" s="6" t="s">
        <v>1298</v>
      </c>
      <c r="M283" s="6" t="s">
        <v>20</v>
      </c>
      <c r="N283" s="6" t="s">
        <v>129</v>
      </c>
      <c r="O283" s="6" t="s">
        <v>1299</v>
      </c>
      <c r="P283" t="s">
        <v>125</v>
      </c>
      <c r="Q283" s="25" t="s">
        <v>2112</v>
      </c>
    </row>
    <row r="284" spans="1:19" ht="14.4" hidden="1" x14ac:dyDescent="0.3">
      <c r="A284" s="5">
        <v>277</v>
      </c>
      <c r="B284" s="17" t="s">
        <v>1300</v>
      </c>
      <c r="C284" s="6">
        <v>79688967</v>
      </c>
      <c r="D284" s="6">
        <f>COUNTIFS($C$8:C284,C284)</f>
        <v>1</v>
      </c>
      <c r="E284" s="6">
        <v>3013370145</v>
      </c>
      <c r="F284" s="12" t="s">
        <v>1301</v>
      </c>
      <c r="G284" s="7">
        <v>46041</v>
      </c>
      <c r="H284" s="7">
        <v>46387</v>
      </c>
      <c r="I284" s="8" t="s">
        <v>1302</v>
      </c>
      <c r="J284" s="6" t="s">
        <v>2110</v>
      </c>
      <c r="K284" s="6" t="s">
        <v>143</v>
      </c>
      <c r="L284" s="6" t="s">
        <v>1036</v>
      </c>
      <c r="M284" s="6" t="s">
        <v>1303</v>
      </c>
      <c r="N284" s="6" t="s">
        <v>17</v>
      </c>
      <c r="O284" s="6" t="s">
        <v>18</v>
      </c>
      <c r="P284" t="s">
        <v>125</v>
      </c>
      <c r="Q284" s="25" t="s">
        <v>2112</v>
      </c>
    </row>
    <row r="285" spans="1:19" ht="14.4" hidden="1" x14ac:dyDescent="0.3">
      <c r="A285" s="5">
        <v>278</v>
      </c>
      <c r="B285" s="17" t="s">
        <v>1304</v>
      </c>
      <c r="C285" s="6">
        <v>1001299742</v>
      </c>
      <c r="D285" s="6">
        <f>COUNTIFS($C$8:C285,C285)</f>
        <v>1</v>
      </c>
      <c r="E285" s="6">
        <v>3167568586</v>
      </c>
      <c r="F285" s="12" t="s">
        <v>1305</v>
      </c>
      <c r="G285" s="7">
        <v>46038</v>
      </c>
      <c r="H285" s="7">
        <v>46387</v>
      </c>
      <c r="I285" s="8" t="s">
        <v>1306</v>
      </c>
      <c r="J285" s="6" t="s">
        <v>500</v>
      </c>
      <c r="K285" s="6" t="s">
        <v>115</v>
      </c>
      <c r="L285" s="6" t="s">
        <v>202</v>
      </c>
      <c r="M285" s="6" t="s">
        <v>1307</v>
      </c>
      <c r="N285" s="6" t="s">
        <v>17</v>
      </c>
      <c r="O285" s="6" t="s">
        <v>18</v>
      </c>
      <c r="P285" t="s">
        <v>125</v>
      </c>
      <c r="Q285" s="25" t="s">
        <v>2112</v>
      </c>
    </row>
    <row r="286" spans="1:19" ht="14.4" hidden="1" x14ac:dyDescent="0.3">
      <c r="A286" s="5">
        <v>279</v>
      </c>
      <c r="B286" s="17" t="s">
        <v>1308</v>
      </c>
      <c r="C286" s="6">
        <v>52086502</v>
      </c>
      <c r="D286" s="6">
        <f>COUNTIFS($C$8:C286,C286)</f>
        <v>1</v>
      </c>
      <c r="E286" s="6">
        <v>3006008179</v>
      </c>
      <c r="F286" s="12" t="s">
        <v>1309</v>
      </c>
      <c r="G286" s="7">
        <v>46049</v>
      </c>
      <c r="H286" s="7">
        <v>46382</v>
      </c>
      <c r="I286" s="8" t="s">
        <v>1310</v>
      </c>
      <c r="J286" s="6" t="s">
        <v>1843</v>
      </c>
      <c r="K286" s="6" t="s">
        <v>115</v>
      </c>
      <c r="L286" s="6" t="s">
        <v>1311</v>
      </c>
      <c r="M286" s="6" t="s">
        <v>1312</v>
      </c>
      <c r="N286" s="6" t="s">
        <v>17</v>
      </c>
      <c r="O286" s="6" t="s">
        <v>24</v>
      </c>
      <c r="P286" t="s">
        <v>125</v>
      </c>
      <c r="Q286" s="25" t="s">
        <v>2112</v>
      </c>
    </row>
    <row r="287" spans="1:19" ht="14.4" hidden="1" x14ac:dyDescent="0.3">
      <c r="A287" s="16">
        <v>280</v>
      </c>
      <c r="B287" s="17" t="s">
        <v>1313</v>
      </c>
      <c r="C287" s="6">
        <v>1022399279</v>
      </c>
      <c r="D287" s="6">
        <f>COUNTIFS($C$8:C287,C287)</f>
        <v>1</v>
      </c>
      <c r="E287" s="6">
        <v>3012115899</v>
      </c>
      <c r="F287" s="12" t="s">
        <v>1314</v>
      </c>
      <c r="G287" s="7">
        <v>46048</v>
      </c>
      <c r="H287" s="7">
        <v>46290</v>
      </c>
      <c r="I287" s="8" t="s">
        <v>1315</v>
      </c>
      <c r="J287" s="6" t="s">
        <v>325</v>
      </c>
      <c r="K287" s="6" t="s">
        <v>143</v>
      </c>
      <c r="L287" s="6" t="s">
        <v>1316</v>
      </c>
      <c r="M287" s="6" t="s">
        <v>1317</v>
      </c>
      <c r="N287" s="6" t="s">
        <v>253</v>
      </c>
      <c r="O287" s="6" t="s">
        <v>60</v>
      </c>
      <c r="P287" t="s">
        <v>125</v>
      </c>
      <c r="Q287" s="25" t="s">
        <v>2112</v>
      </c>
    </row>
    <row r="288" spans="1:19" ht="14.4" hidden="1" x14ac:dyDescent="0.3">
      <c r="A288" s="5">
        <v>281</v>
      </c>
      <c r="B288" s="17" t="s">
        <v>1318</v>
      </c>
      <c r="C288" s="6">
        <v>1085297902</v>
      </c>
      <c r="D288" s="6">
        <f>COUNTIFS($C$8:C288,C288)</f>
        <v>1</v>
      </c>
      <c r="E288" s="6">
        <v>3163729000</v>
      </c>
      <c r="F288" s="12" t="s">
        <v>1319</v>
      </c>
      <c r="G288" s="7">
        <v>46048</v>
      </c>
      <c r="H288" s="7">
        <v>46387</v>
      </c>
      <c r="I288" s="8" t="s">
        <v>1320</v>
      </c>
      <c r="J288" s="6" t="s">
        <v>500</v>
      </c>
      <c r="K288" s="6" t="s">
        <v>80</v>
      </c>
      <c r="L288" s="6" t="s">
        <v>1321</v>
      </c>
      <c r="M288" s="6" t="s">
        <v>20</v>
      </c>
      <c r="N288" s="6" t="s">
        <v>129</v>
      </c>
      <c r="O288" s="6" t="s">
        <v>18</v>
      </c>
      <c r="P288" t="s">
        <v>125</v>
      </c>
      <c r="Q288" s="25" t="s">
        <v>2112</v>
      </c>
    </row>
    <row r="289" spans="1:19" ht="14.4" hidden="1" x14ac:dyDescent="0.3">
      <c r="A289" s="5">
        <v>282</v>
      </c>
      <c r="B289" s="17" t="s">
        <v>1322</v>
      </c>
      <c r="C289" s="6">
        <v>1083000460</v>
      </c>
      <c r="D289" s="6">
        <f>COUNTIFS($C$8:C289,C289)</f>
        <v>1</v>
      </c>
      <c r="E289" s="6">
        <v>3008030796</v>
      </c>
      <c r="F289" s="12" t="s">
        <v>1323</v>
      </c>
      <c r="G289" s="7">
        <v>46034</v>
      </c>
      <c r="H289" s="7">
        <v>46210</v>
      </c>
      <c r="I289" s="8" t="s">
        <v>1324</v>
      </c>
      <c r="J289" s="6" t="s">
        <v>1843</v>
      </c>
      <c r="K289" s="6" t="s">
        <v>115</v>
      </c>
      <c r="L289" s="6" t="s">
        <v>132</v>
      </c>
      <c r="M289" s="6" t="s">
        <v>1325</v>
      </c>
      <c r="N289" s="6" t="s">
        <v>17</v>
      </c>
      <c r="O289" s="6" t="s">
        <v>177</v>
      </c>
      <c r="P289" t="s">
        <v>125</v>
      </c>
      <c r="Q289" s="25" t="s">
        <v>2112</v>
      </c>
    </row>
    <row r="290" spans="1:19" ht="14.4" hidden="1" x14ac:dyDescent="0.3">
      <c r="A290" s="5">
        <v>283</v>
      </c>
      <c r="B290" s="17" t="s">
        <v>1326</v>
      </c>
      <c r="C290" s="6">
        <v>1010169744</v>
      </c>
      <c r="D290" s="6">
        <f>COUNTIFS($C$8:C290,C290)</f>
        <v>1</v>
      </c>
      <c r="E290" s="6">
        <v>3105543461</v>
      </c>
      <c r="F290" s="12" t="s">
        <v>1327</v>
      </c>
      <c r="G290" s="7">
        <v>46028</v>
      </c>
      <c r="H290" s="7">
        <v>46387</v>
      </c>
      <c r="I290" s="8" t="s">
        <v>1328</v>
      </c>
      <c r="J290" s="6" t="s">
        <v>1006</v>
      </c>
      <c r="K290" s="6" t="s">
        <v>143</v>
      </c>
      <c r="L290" s="6" t="s">
        <v>22</v>
      </c>
      <c r="M290" s="6" t="s">
        <v>1329</v>
      </c>
      <c r="N290" s="6" t="s">
        <v>129</v>
      </c>
      <c r="O290" s="6" t="s">
        <v>60</v>
      </c>
      <c r="P290" t="s">
        <v>125</v>
      </c>
      <c r="Q290" s="25" t="s">
        <v>2112</v>
      </c>
    </row>
    <row r="291" spans="1:19" ht="14.4" hidden="1" x14ac:dyDescent="0.3">
      <c r="A291" s="16">
        <v>284</v>
      </c>
      <c r="B291" s="17" t="s">
        <v>1330</v>
      </c>
      <c r="C291" s="6">
        <v>52243622</v>
      </c>
      <c r="D291" s="6">
        <f>COUNTIFS($C$8:C291,C291)</f>
        <v>1</v>
      </c>
      <c r="E291" s="6">
        <v>3108833639</v>
      </c>
      <c r="F291" s="12" t="s">
        <v>1331</v>
      </c>
      <c r="G291" s="7">
        <v>46038</v>
      </c>
      <c r="H291" s="7">
        <v>46387</v>
      </c>
      <c r="I291" s="8" t="s">
        <v>1332</v>
      </c>
      <c r="J291" s="6" t="s">
        <v>500</v>
      </c>
      <c r="K291" s="6" t="s">
        <v>143</v>
      </c>
      <c r="L291" s="6" t="s">
        <v>1333</v>
      </c>
      <c r="M291" s="6" t="s">
        <v>1334</v>
      </c>
      <c r="N291" s="6" t="s">
        <v>17</v>
      </c>
      <c r="O291" s="6" t="s">
        <v>60</v>
      </c>
      <c r="P291" t="s">
        <v>125</v>
      </c>
      <c r="Q291" s="25" t="s">
        <v>2112</v>
      </c>
    </row>
    <row r="292" spans="1:19" ht="14.4" hidden="1" x14ac:dyDescent="0.3">
      <c r="A292" s="5">
        <v>285</v>
      </c>
      <c r="B292" s="17" t="s">
        <v>1335</v>
      </c>
      <c r="C292" s="6">
        <v>1018491200</v>
      </c>
      <c r="D292" s="6">
        <f>COUNTIFS($C$8:C292,C292)</f>
        <v>1</v>
      </c>
      <c r="E292" s="6">
        <v>3125891253</v>
      </c>
      <c r="F292" s="12" t="s">
        <v>1336</v>
      </c>
      <c r="G292" s="7">
        <v>46035</v>
      </c>
      <c r="H292" s="7">
        <v>46246</v>
      </c>
      <c r="I292" s="8" t="s">
        <v>1337</v>
      </c>
      <c r="J292" s="6" t="s">
        <v>1338</v>
      </c>
      <c r="K292" s="6" t="s">
        <v>115</v>
      </c>
      <c r="L292" s="6" t="s">
        <v>1339</v>
      </c>
      <c r="M292" s="6" t="s">
        <v>1340</v>
      </c>
      <c r="N292" s="6" t="s">
        <v>17</v>
      </c>
      <c r="O292" s="6" t="s">
        <v>44</v>
      </c>
      <c r="P292" t="s">
        <v>125</v>
      </c>
      <c r="Q292" s="25" t="s">
        <v>2112</v>
      </c>
    </row>
    <row r="293" spans="1:19" ht="14.4" hidden="1" x14ac:dyDescent="0.3">
      <c r="A293" s="5">
        <v>286</v>
      </c>
      <c r="B293" s="17" t="s">
        <v>1341</v>
      </c>
      <c r="C293" s="6">
        <v>1024568532</v>
      </c>
      <c r="D293" s="6">
        <f>COUNTIFS($C$8:C293,C293)</f>
        <v>1</v>
      </c>
      <c r="E293" s="6">
        <v>3124438269</v>
      </c>
      <c r="F293" s="12" t="s">
        <v>1342</v>
      </c>
      <c r="G293" s="7">
        <v>46038</v>
      </c>
      <c r="H293" s="7">
        <v>46369</v>
      </c>
      <c r="I293" s="8" t="s">
        <v>1343</v>
      </c>
      <c r="J293" s="6" t="s">
        <v>2109</v>
      </c>
      <c r="K293" s="6" t="s">
        <v>115</v>
      </c>
      <c r="L293" s="6" t="s">
        <v>501</v>
      </c>
      <c r="M293" s="6" t="s">
        <v>1344</v>
      </c>
      <c r="N293" s="6" t="s">
        <v>17</v>
      </c>
      <c r="O293" s="6" t="s">
        <v>24</v>
      </c>
      <c r="P293" t="s">
        <v>125</v>
      </c>
      <c r="Q293" s="25" t="s">
        <v>2112</v>
      </c>
    </row>
    <row r="294" spans="1:19" ht="14.4" hidden="1" x14ac:dyDescent="0.3">
      <c r="A294" s="5">
        <v>287</v>
      </c>
      <c r="B294" s="17" t="s">
        <v>1345</v>
      </c>
      <c r="C294" s="6">
        <v>1013579971</v>
      </c>
      <c r="D294" s="6">
        <f>COUNTIFS($C$8:C294,C294)</f>
        <v>1</v>
      </c>
      <c r="E294" s="6">
        <v>3017566072</v>
      </c>
      <c r="F294" s="12" t="s">
        <v>1346</v>
      </c>
      <c r="G294" s="7">
        <v>46049</v>
      </c>
      <c r="H294" s="7">
        <v>46229</v>
      </c>
      <c r="I294" s="8" t="s">
        <v>1347</v>
      </c>
      <c r="J294" s="17" t="s">
        <v>1041</v>
      </c>
      <c r="K294" s="6" t="s">
        <v>143</v>
      </c>
      <c r="L294" s="6" t="s">
        <v>1348</v>
      </c>
      <c r="M294" s="6" t="s">
        <v>1349</v>
      </c>
      <c r="N294" s="6" t="s">
        <v>17</v>
      </c>
      <c r="O294" s="6" t="s">
        <v>134</v>
      </c>
      <c r="P294" t="s">
        <v>125</v>
      </c>
      <c r="Q294" s="25" t="s">
        <v>2112</v>
      </c>
    </row>
    <row r="295" spans="1:19" ht="14.4" hidden="1" x14ac:dyDescent="0.3">
      <c r="A295" s="16">
        <v>288</v>
      </c>
      <c r="B295" s="17" t="s">
        <v>1350</v>
      </c>
      <c r="C295" s="6">
        <v>1015402271</v>
      </c>
      <c r="D295" s="6">
        <f>COUNTIFS($C$8:C295,C295)</f>
        <v>1</v>
      </c>
      <c r="E295" s="6">
        <v>3138846265</v>
      </c>
      <c r="F295" s="12" t="s">
        <v>1351</v>
      </c>
      <c r="G295" s="7">
        <v>46050</v>
      </c>
      <c r="H295" s="7">
        <v>46230</v>
      </c>
      <c r="I295" s="8" t="s">
        <v>1352</v>
      </c>
      <c r="J295" s="6" t="s">
        <v>1353</v>
      </c>
      <c r="K295" s="6" t="s">
        <v>115</v>
      </c>
      <c r="L295" s="6" t="s">
        <v>304</v>
      </c>
      <c r="M295" s="6" t="s">
        <v>1354</v>
      </c>
      <c r="N295" s="6" t="s">
        <v>17</v>
      </c>
      <c r="O295" s="6" t="s">
        <v>60</v>
      </c>
      <c r="P295" t="s">
        <v>125</v>
      </c>
      <c r="Q295" s="25" t="s">
        <v>2112</v>
      </c>
    </row>
    <row r="296" spans="1:19" ht="14.4" hidden="1" x14ac:dyDescent="0.3">
      <c r="A296" s="5">
        <v>289</v>
      </c>
      <c r="B296" s="17" t="s">
        <v>1355</v>
      </c>
      <c r="C296" s="6">
        <v>1014261209</v>
      </c>
      <c r="D296" s="6">
        <f>COUNTIFS($C$8:C296,C296)</f>
        <v>1</v>
      </c>
      <c r="E296" s="6">
        <v>3023851942</v>
      </c>
      <c r="F296" s="12" t="s">
        <v>1356</v>
      </c>
      <c r="G296" s="7">
        <v>46036</v>
      </c>
      <c r="H296" s="7">
        <v>46369</v>
      </c>
      <c r="I296" s="8" t="s">
        <v>1357</v>
      </c>
      <c r="J296" s="6" t="s">
        <v>2111</v>
      </c>
      <c r="K296" s="6" t="s">
        <v>143</v>
      </c>
      <c r="L296" s="6" t="s">
        <v>524</v>
      </c>
      <c r="M296" s="6" t="s">
        <v>1358</v>
      </c>
      <c r="N296" s="6" t="s">
        <v>17</v>
      </c>
      <c r="O296" s="6" t="s">
        <v>1359</v>
      </c>
      <c r="P296" t="s">
        <v>125</v>
      </c>
      <c r="Q296" s="25" t="s">
        <v>2112</v>
      </c>
    </row>
    <row r="297" spans="1:19" ht="14.4" hidden="1" x14ac:dyDescent="0.3">
      <c r="A297" s="5">
        <v>290</v>
      </c>
      <c r="B297" s="17" t="s">
        <v>1360</v>
      </c>
      <c r="C297" s="6">
        <v>1016019711</v>
      </c>
      <c r="D297" s="6">
        <f>COUNTIFS($C$8:C297,C297)</f>
        <v>1</v>
      </c>
      <c r="E297" s="6">
        <v>3163210299</v>
      </c>
      <c r="F297" s="12" t="s">
        <v>1361</v>
      </c>
      <c r="G297" s="7">
        <v>46048</v>
      </c>
      <c r="H297" s="7">
        <v>46259</v>
      </c>
      <c r="I297" s="8" t="s">
        <v>1362</v>
      </c>
      <c r="J297" s="6" t="s">
        <v>256</v>
      </c>
      <c r="K297" s="6" t="s">
        <v>106</v>
      </c>
      <c r="L297" s="6" t="s">
        <v>56</v>
      </c>
      <c r="M297" s="6" t="s">
        <v>1363</v>
      </c>
      <c r="N297" s="6" t="s">
        <v>17</v>
      </c>
      <c r="O297" s="6" t="s">
        <v>570</v>
      </c>
      <c r="P297" t="s">
        <v>125</v>
      </c>
      <c r="Q297" s="25" t="s">
        <v>2112</v>
      </c>
    </row>
    <row r="298" spans="1:19" ht="14.4" hidden="1" x14ac:dyDescent="0.3">
      <c r="A298" s="5">
        <v>291</v>
      </c>
      <c r="B298" s="17" t="s">
        <v>1364</v>
      </c>
      <c r="C298" s="6">
        <v>1030623723</v>
      </c>
      <c r="D298" s="6">
        <f>COUNTIFS($C$8:C298,C298)</f>
        <v>1</v>
      </c>
      <c r="E298" s="6">
        <v>3118427497</v>
      </c>
      <c r="F298" s="12" t="s">
        <v>1365</v>
      </c>
      <c r="G298" s="7">
        <v>46049</v>
      </c>
      <c r="H298" s="7">
        <v>46387</v>
      </c>
      <c r="I298" s="8" t="s">
        <v>1366</v>
      </c>
      <c r="J298" s="6" t="s">
        <v>325</v>
      </c>
      <c r="K298" s="6" t="s">
        <v>106</v>
      </c>
      <c r="L298" s="6" t="s">
        <v>1367</v>
      </c>
      <c r="M298" s="6" t="s">
        <v>20</v>
      </c>
      <c r="N298" s="6" t="s">
        <v>129</v>
      </c>
      <c r="O298" s="6" t="s">
        <v>238</v>
      </c>
      <c r="P298" t="s">
        <v>125</v>
      </c>
      <c r="Q298" s="25" t="s">
        <v>2112</v>
      </c>
    </row>
    <row r="299" spans="1:19" ht="14.4" hidden="1" x14ac:dyDescent="0.3">
      <c r="A299" s="16">
        <v>292</v>
      </c>
      <c r="B299" s="17" t="s">
        <v>1368</v>
      </c>
      <c r="C299" s="6">
        <v>19494499</v>
      </c>
      <c r="D299" s="6">
        <f>COUNTIFS($C$8:C299,C299)</f>
        <v>1</v>
      </c>
      <c r="E299" s="6">
        <v>3124932667</v>
      </c>
      <c r="F299" s="6" t="s">
        <v>20</v>
      </c>
      <c r="G299" s="7" t="s">
        <v>20</v>
      </c>
      <c r="H299" s="7" t="s">
        <v>20</v>
      </c>
      <c r="I299" s="8" t="s">
        <v>1369</v>
      </c>
      <c r="J299" s="17" t="s">
        <v>1041</v>
      </c>
      <c r="K299" s="6" t="s">
        <v>115</v>
      </c>
      <c r="L299" s="6" t="s">
        <v>294</v>
      </c>
      <c r="M299" s="6" t="s">
        <v>1370</v>
      </c>
      <c r="N299" s="6" t="s">
        <v>17</v>
      </c>
      <c r="O299" s="6" t="s">
        <v>134</v>
      </c>
      <c r="P299" t="s">
        <v>119</v>
      </c>
      <c r="Q299" s="25" t="s">
        <v>2112</v>
      </c>
    </row>
    <row r="300" spans="1:19" ht="14.4" hidden="1" x14ac:dyDescent="0.3">
      <c r="A300" s="5">
        <v>293</v>
      </c>
      <c r="B300" s="17" t="s">
        <v>1371</v>
      </c>
      <c r="C300" s="6">
        <v>1030579761</v>
      </c>
      <c r="D300" s="6">
        <f>COUNTIFS($C$8:C300,C300)</f>
        <v>1</v>
      </c>
      <c r="E300" s="6">
        <v>3168764102</v>
      </c>
      <c r="F300" s="12" t="s">
        <v>1372</v>
      </c>
      <c r="G300" s="7">
        <v>46052</v>
      </c>
      <c r="H300" s="7">
        <v>46387</v>
      </c>
      <c r="I300" s="8" t="s">
        <v>1373</v>
      </c>
      <c r="J300" s="17" t="s">
        <v>1667</v>
      </c>
      <c r="K300" s="6" t="s">
        <v>115</v>
      </c>
      <c r="L300" s="6" t="s">
        <v>1374</v>
      </c>
      <c r="M300" s="6" t="s">
        <v>1375</v>
      </c>
      <c r="N300" s="6" t="s">
        <v>129</v>
      </c>
      <c r="O300" s="6" t="s">
        <v>66</v>
      </c>
      <c r="P300" t="s">
        <v>125</v>
      </c>
      <c r="Q300" s="25" t="s">
        <v>2112</v>
      </c>
    </row>
    <row r="301" spans="1:19" ht="14.4" hidden="1" x14ac:dyDescent="0.3">
      <c r="A301" s="5">
        <v>294</v>
      </c>
      <c r="B301" s="17" t="s">
        <v>1376</v>
      </c>
      <c r="C301" s="6">
        <v>53167119</v>
      </c>
      <c r="D301" s="6">
        <f>COUNTIFS($C$8:C301,C301)</f>
        <v>1</v>
      </c>
      <c r="E301" s="6">
        <v>3005054691</v>
      </c>
      <c r="F301" s="12" t="s">
        <v>1377</v>
      </c>
      <c r="G301" s="7">
        <v>46051</v>
      </c>
      <c r="H301" s="7">
        <v>46384</v>
      </c>
      <c r="I301" s="8" t="s">
        <v>1378</v>
      </c>
      <c r="J301" s="6" t="s">
        <v>1006</v>
      </c>
      <c r="K301" s="6" t="s">
        <v>115</v>
      </c>
      <c r="L301" s="6" t="s">
        <v>58</v>
      </c>
      <c r="M301" s="6" t="s">
        <v>1379</v>
      </c>
      <c r="N301" s="6" t="s">
        <v>17</v>
      </c>
      <c r="O301" s="6" t="s">
        <v>248</v>
      </c>
      <c r="P301" t="s">
        <v>125</v>
      </c>
      <c r="Q301" s="25" t="s">
        <v>2112</v>
      </c>
    </row>
    <row r="302" spans="1:19" ht="14.4" hidden="1" x14ac:dyDescent="0.3">
      <c r="A302" s="5">
        <v>295</v>
      </c>
      <c r="B302" s="17" t="s">
        <v>1380</v>
      </c>
      <c r="C302" s="17">
        <v>79290465</v>
      </c>
      <c r="D302" s="6">
        <f>COUNTIFS($C$8:C302,C302)</f>
        <v>1</v>
      </c>
      <c r="E302" s="17">
        <v>3003117175</v>
      </c>
      <c r="F302" s="17" t="s">
        <v>20</v>
      </c>
      <c r="G302" s="18" t="s">
        <v>20</v>
      </c>
      <c r="H302" s="18" t="s">
        <v>20</v>
      </c>
      <c r="I302" s="8" t="s">
        <v>1381</v>
      </c>
      <c r="J302" s="6" t="s">
        <v>256</v>
      </c>
      <c r="K302" s="6" t="s">
        <v>115</v>
      </c>
      <c r="L302" s="17" t="s">
        <v>294</v>
      </c>
      <c r="M302" s="17" t="s">
        <v>1382</v>
      </c>
      <c r="N302" s="17" t="s">
        <v>17</v>
      </c>
      <c r="O302" s="17" t="s">
        <v>24</v>
      </c>
      <c r="P302" s="19" t="s">
        <v>119</v>
      </c>
      <c r="Q302" s="21" t="s">
        <v>2098</v>
      </c>
      <c r="R302" s="20"/>
      <c r="S302" s="20"/>
    </row>
    <row r="303" spans="1:19" ht="14.4" hidden="1" x14ac:dyDescent="0.3">
      <c r="A303" s="16">
        <v>296</v>
      </c>
      <c r="B303" s="17" t="s">
        <v>1383</v>
      </c>
      <c r="C303" s="6">
        <v>1019093180</v>
      </c>
      <c r="D303" s="6">
        <f>COUNTIFS($C$8:C303,C303)</f>
        <v>1</v>
      </c>
      <c r="E303" s="6">
        <v>3022498107</v>
      </c>
      <c r="F303" s="6" t="s">
        <v>1384</v>
      </c>
      <c r="G303" s="7">
        <v>46057</v>
      </c>
      <c r="H303" s="7">
        <v>46237</v>
      </c>
      <c r="I303" s="8" t="s">
        <v>1385</v>
      </c>
      <c r="J303" s="6" t="s">
        <v>325</v>
      </c>
      <c r="K303" s="6" t="s">
        <v>80</v>
      </c>
      <c r="L303" s="6" t="s">
        <v>1386</v>
      </c>
      <c r="M303" s="6" t="s">
        <v>20</v>
      </c>
      <c r="N303" s="6" t="s">
        <v>129</v>
      </c>
      <c r="O303" s="6" t="s">
        <v>1387</v>
      </c>
      <c r="P303" t="s">
        <v>125</v>
      </c>
      <c r="Q303" s="25" t="s">
        <v>2112</v>
      </c>
    </row>
    <row r="304" spans="1:19" ht="14.4" hidden="1" x14ac:dyDescent="0.3">
      <c r="A304" s="5">
        <v>297</v>
      </c>
      <c r="B304" s="17" t="s">
        <v>1388</v>
      </c>
      <c r="C304" s="6">
        <v>80147258</v>
      </c>
      <c r="D304" s="6">
        <f>COUNTIFS($C$8:C304,C304)</f>
        <v>1</v>
      </c>
      <c r="E304" s="6">
        <v>3205611748</v>
      </c>
      <c r="F304" s="12" t="s">
        <v>1389</v>
      </c>
      <c r="G304" s="7">
        <v>46038</v>
      </c>
      <c r="H304" s="7">
        <v>46219</v>
      </c>
      <c r="I304" s="8" t="s">
        <v>1390</v>
      </c>
      <c r="J304" s="6" t="s">
        <v>1338</v>
      </c>
      <c r="K304" s="6" t="s">
        <v>106</v>
      </c>
      <c r="L304" s="6" t="s">
        <v>516</v>
      </c>
      <c r="M304" s="6" t="s">
        <v>1391</v>
      </c>
      <c r="N304" s="6" t="s">
        <v>17</v>
      </c>
      <c r="O304" s="6" t="s">
        <v>66</v>
      </c>
      <c r="P304" t="s">
        <v>125</v>
      </c>
      <c r="Q304" s="25" t="s">
        <v>2112</v>
      </c>
    </row>
    <row r="305" spans="1:19" ht="14.4" hidden="1" x14ac:dyDescent="0.3">
      <c r="A305" s="5">
        <v>298</v>
      </c>
      <c r="B305" s="17" t="s">
        <v>1392</v>
      </c>
      <c r="C305" s="6">
        <v>1022421202</v>
      </c>
      <c r="D305" s="6">
        <f>COUNTIFS($C$8:C305,C305)</f>
        <v>1</v>
      </c>
      <c r="E305" s="6">
        <v>3124309082</v>
      </c>
      <c r="F305" s="12" t="s">
        <v>1393</v>
      </c>
      <c r="G305" s="7">
        <v>46048</v>
      </c>
      <c r="H305" s="7">
        <v>46228</v>
      </c>
      <c r="I305" s="8" t="s">
        <v>1394</v>
      </c>
      <c r="J305" s="17" t="s">
        <v>1395</v>
      </c>
      <c r="K305" s="6" t="s">
        <v>115</v>
      </c>
      <c r="L305" s="6" t="s">
        <v>1339</v>
      </c>
      <c r="M305" s="6" t="s">
        <v>1396</v>
      </c>
      <c r="N305" s="6" t="s">
        <v>17</v>
      </c>
      <c r="O305" s="6" t="s">
        <v>725</v>
      </c>
      <c r="P305" t="s">
        <v>125</v>
      </c>
      <c r="Q305" s="25" t="s">
        <v>2112</v>
      </c>
    </row>
    <row r="306" spans="1:19" ht="14.4" hidden="1" x14ac:dyDescent="0.3">
      <c r="A306" s="5">
        <v>299</v>
      </c>
      <c r="B306" s="17" t="s">
        <v>1397</v>
      </c>
      <c r="C306" s="6">
        <v>79945548</v>
      </c>
      <c r="D306" s="6">
        <f>COUNTIFS($C$8:C306,C306)</f>
        <v>1</v>
      </c>
      <c r="E306" s="6">
        <v>3005504707</v>
      </c>
      <c r="F306" s="12" t="s">
        <v>1398</v>
      </c>
      <c r="G306" s="7">
        <v>46051</v>
      </c>
      <c r="H306" s="7">
        <v>46387</v>
      </c>
      <c r="I306" s="8" t="s">
        <v>1399</v>
      </c>
      <c r="J306" s="17" t="s">
        <v>1395</v>
      </c>
      <c r="K306" s="6" t="s">
        <v>143</v>
      </c>
      <c r="L306" s="6" t="s">
        <v>1036</v>
      </c>
      <c r="M306" s="6" t="s">
        <v>1400</v>
      </c>
      <c r="N306" s="6" t="s">
        <v>253</v>
      </c>
      <c r="O306" s="6" t="s">
        <v>60</v>
      </c>
      <c r="P306" t="s">
        <v>125</v>
      </c>
      <c r="Q306" s="25" t="s">
        <v>2112</v>
      </c>
    </row>
    <row r="307" spans="1:19" ht="14.4" hidden="1" x14ac:dyDescent="0.3">
      <c r="A307" s="16">
        <v>300</v>
      </c>
      <c r="B307" s="17" t="s">
        <v>1401</v>
      </c>
      <c r="C307" s="6">
        <v>1069078793</v>
      </c>
      <c r="D307" s="6">
        <f>COUNTIFS($C$8:C307,C307)</f>
        <v>1</v>
      </c>
      <c r="E307" s="6">
        <v>3145019361</v>
      </c>
      <c r="F307" s="12" t="s">
        <v>1402</v>
      </c>
      <c r="G307" s="7">
        <v>46049</v>
      </c>
      <c r="H307" s="7">
        <v>46291</v>
      </c>
      <c r="I307" s="8" t="s">
        <v>1403</v>
      </c>
      <c r="J307" s="6" t="s">
        <v>325</v>
      </c>
      <c r="K307" s="6" t="s">
        <v>143</v>
      </c>
      <c r="L307" s="6" t="s">
        <v>501</v>
      </c>
      <c r="M307" s="6" t="s">
        <v>1404</v>
      </c>
      <c r="N307" s="6" t="s">
        <v>17</v>
      </c>
      <c r="O307" s="6" t="s">
        <v>134</v>
      </c>
      <c r="P307" t="s">
        <v>125</v>
      </c>
      <c r="Q307" s="25" t="s">
        <v>2112</v>
      </c>
    </row>
    <row r="308" spans="1:19" ht="14.4" hidden="1" x14ac:dyDescent="0.3">
      <c r="A308" s="5">
        <v>301</v>
      </c>
      <c r="B308" s="17" t="s">
        <v>1405</v>
      </c>
      <c r="C308" s="6">
        <v>1053838523</v>
      </c>
      <c r="D308" s="6">
        <f>COUNTIFS($C$8:C308,C308)</f>
        <v>1</v>
      </c>
      <c r="E308" s="6">
        <v>3165329202</v>
      </c>
      <c r="F308" s="12" t="s">
        <v>1406</v>
      </c>
      <c r="G308" s="7">
        <v>46048</v>
      </c>
      <c r="H308" s="7">
        <v>46228</v>
      </c>
      <c r="I308" s="8" t="s">
        <v>1407</v>
      </c>
      <c r="J308" s="6" t="s">
        <v>256</v>
      </c>
      <c r="K308" s="6" t="s">
        <v>115</v>
      </c>
      <c r="L308" s="6" t="s">
        <v>1408</v>
      </c>
      <c r="M308" s="6" t="s">
        <v>1409</v>
      </c>
      <c r="N308" s="6" t="s">
        <v>17</v>
      </c>
      <c r="O308" s="6" t="s">
        <v>1410</v>
      </c>
      <c r="P308" t="s">
        <v>125</v>
      </c>
      <c r="Q308" s="25" t="s">
        <v>2112</v>
      </c>
    </row>
    <row r="309" spans="1:19" ht="14.4" hidden="1" x14ac:dyDescent="0.3">
      <c r="A309" s="5">
        <v>302</v>
      </c>
      <c r="B309" s="17" t="s">
        <v>1411</v>
      </c>
      <c r="C309" s="6">
        <v>1032475428</v>
      </c>
      <c r="D309" s="6">
        <f>COUNTIFS($C$8:C309,C309)</f>
        <v>1</v>
      </c>
      <c r="E309" s="6">
        <v>3003593799</v>
      </c>
      <c r="F309" s="12" t="s">
        <v>1412</v>
      </c>
      <c r="G309" s="7">
        <v>46050</v>
      </c>
      <c r="H309" s="7">
        <v>46261</v>
      </c>
      <c r="I309" s="8" t="s">
        <v>1413</v>
      </c>
      <c r="J309" s="6" t="s">
        <v>1338</v>
      </c>
      <c r="K309" s="6" t="s">
        <v>115</v>
      </c>
      <c r="L309" s="6" t="s">
        <v>398</v>
      </c>
      <c r="M309" s="6" t="s">
        <v>1414</v>
      </c>
      <c r="N309" s="6" t="s">
        <v>17</v>
      </c>
      <c r="O309" s="6" t="s">
        <v>725</v>
      </c>
      <c r="P309" t="s">
        <v>125</v>
      </c>
      <c r="Q309" s="25" t="s">
        <v>2112</v>
      </c>
    </row>
    <row r="310" spans="1:19" ht="14.4" hidden="1" x14ac:dyDescent="0.3">
      <c r="A310" s="5">
        <v>303</v>
      </c>
      <c r="B310" s="17" t="s">
        <v>1415</v>
      </c>
      <c r="C310" s="6">
        <v>80197126</v>
      </c>
      <c r="D310" s="6">
        <f>COUNTIFS($C$8:C310,C310)</f>
        <v>1</v>
      </c>
      <c r="E310" s="6">
        <v>3202098175</v>
      </c>
      <c r="F310" s="12" t="s">
        <v>1416</v>
      </c>
      <c r="G310" s="7">
        <v>46048</v>
      </c>
      <c r="H310" s="7">
        <v>46259</v>
      </c>
      <c r="I310" s="8" t="s">
        <v>1417</v>
      </c>
      <c r="J310" s="6" t="s">
        <v>1338</v>
      </c>
      <c r="K310" s="6" t="s">
        <v>143</v>
      </c>
      <c r="L310" s="6" t="s">
        <v>294</v>
      </c>
      <c r="M310" s="6" t="s">
        <v>1418</v>
      </c>
      <c r="N310" s="6" t="s">
        <v>17</v>
      </c>
      <c r="O310" s="6" t="s">
        <v>44</v>
      </c>
      <c r="P310" t="s">
        <v>125</v>
      </c>
      <c r="Q310" s="25" t="s">
        <v>2112</v>
      </c>
    </row>
    <row r="311" spans="1:19" ht="14.4" hidden="1" x14ac:dyDescent="0.3">
      <c r="A311" s="16">
        <v>304</v>
      </c>
      <c r="B311" s="17" t="s">
        <v>1419</v>
      </c>
      <c r="C311" s="6">
        <v>1019111258</v>
      </c>
      <c r="D311" s="6">
        <f>COUNTIFS($C$8:C311,C311)</f>
        <v>1</v>
      </c>
      <c r="E311" s="6">
        <v>3167697896</v>
      </c>
      <c r="F311" s="12" t="s">
        <v>1420</v>
      </c>
      <c r="G311" s="7">
        <v>46050</v>
      </c>
      <c r="H311" s="7">
        <v>46261</v>
      </c>
      <c r="I311" s="8" t="s">
        <v>1421</v>
      </c>
      <c r="J311" s="6" t="s">
        <v>1338</v>
      </c>
      <c r="K311" s="6" t="s">
        <v>106</v>
      </c>
      <c r="L311" s="6" t="s">
        <v>1422</v>
      </c>
      <c r="M311" s="6" t="s">
        <v>1423</v>
      </c>
      <c r="N311" s="6" t="s">
        <v>17</v>
      </c>
      <c r="O311" s="6" t="s">
        <v>1424</v>
      </c>
      <c r="P311" t="s">
        <v>125</v>
      </c>
      <c r="Q311" s="25" t="s">
        <v>2112</v>
      </c>
    </row>
    <row r="312" spans="1:19" ht="14.4" hidden="1" x14ac:dyDescent="0.3">
      <c r="A312" s="5">
        <v>305</v>
      </c>
      <c r="B312" s="17" t="s">
        <v>1425</v>
      </c>
      <c r="C312" s="6">
        <v>1026275767</v>
      </c>
      <c r="D312" s="6">
        <f>COUNTIFS($C$8:C312,C312)</f>
        <v>1</v>
      </c>
      <c r="E312" s="6">
        <v>3168683061</v>
      </c>
      <c r="F312" s="12" t="s">
        <v>1426</v>
      </c>
      <c r="G312" s="7">
        <v>46035</v>
      </c>
      <c r="H312" s="7">
        <v>46387</v>
      </c>
      <c r="I312" s="8" t="s">
        <v>1427</v>
      </c>
      <c r="J312" s="17" t="s">
        <v>299</v>
      </c>
      <c r="K312" s="6" t="s">
        <v>115</v>
      </c>
      <c r="L312" s="6" t="s">
        <v>202</v>
      </c>
      <c r="M312" s="6" t="s">
        <v>1428</v>
      </c>
      <c r="N312" s="6" t="s">
        <v>17</v>
      </c>
      <c r="O312" s="6" t="s">
        <v>60</v>
      </c>
      <c r="P312" t="s">
        <v>125</v>
      </c>
      <c r="Q312" s="25" t="s">
        <v>2112</v>
      </c>
    </row>
    <row r="313" spans="1:19" ht="14.4" hidden="1" x14ac:dyDescent="0.3">
      <c r="A313" s="5">
        <v>306</v>
      </c>
      <c r="B313" s="17" t="s">
        <v>1429</v>
      </c>
      <c r="C313" s="17">
        <v>37863986</v>
      </c>
      <c r="D313" s="6">
        <f>COUNTIFS($C$8:C313,C313)</f>
        <v>1</v>
      </c>
      <c r="E313" s="17">
        <v>3142962242</v>
      </c>
      <c r="F313" s="23" t="s">
        <v>1430</v>
      </c>
      <c r="G313" s="18">
        <v>46049</v>
      </c>
      <c r="H313" s="18">
        <v>46387</v>
      </c>
      <c r="I313" s="8" t="s">
        <v>1431</v>
      </c>
      <c r="J313" s="6" t="s">
        <v>285</v>
      </c>
      <c r="K313" s="6" t="s">
        <v>143</v>
      </c>
      <c r="L313" s="17" t="s">
        <v>501</v>
      </c>
      <c r="M313" s="17" t="s">
        <v>1432</v>
      </c>
      <c r="N313" s="17" t="s">
        <v>17</v>
      </c>
      <c r="O313" s="17" t="s">
        <v>259</v>
      </c>
      <c r="P313" s="19" t="s">
        <v>125</v>
      </c>
      <c r="Q313" s="21" t="s">
        <v>2098</v>
      </c>
      <c r="R313" s="20"/>
      <c r="S313" s="20"/>
    </row>
    <row r="314" spans="1:19" ht="14.4" hidden="1" x14ac:dyDescent="0.3">
      <c r="A314" s="5">
        <v>307</v>
      </c>
      <c r="B314" s="17" t="s">
        <v>1433</v>
      </c>
      <c r="C314" s="6">
        <v>79595346</v>
      </c>
      <c r="D314" s="6">
        <f>COUNTIFS($C$8:C314,C314)</f>
        <v>1</v>
      </c>
      <c r="E314" s="6">
        <v>3174775788</v>
      </c>
      <c r="F314" s="6" t="s">
        <v>1434</v>
      </c>
      <c r="G314" s="7">
        <v>46055</v>
      </c>
      <c r="H314" s="7">
        <v>46387</v>
      </c>
      <c r="I314" s="8" t="s">
        <v>1435</v>
      </c>
      <c r="J314" s="6" t="s">
        <v>500</v>
      </c>
      <c r="K314" s="6" t="s">
        <v>115</v>
      </c>
      <c r="L314" s="6" t="s">
        <v>1436</v>
      </c>
      <c r="M314" s="6" t="s">
        <v>1437</v>
      </c>
      <c r="N314" s="6" t="s">
        <v>17</v>
      </c>
      <c r="O314" s="6" t="s">
        <v>60</v>
      </c>
      <c r="P314" t="s">
        <v>125</v>
      </c>
      <c r="Q314" s="25" t="s">
        <v>2112</v>
      </c>
    </row>
    <row r="315" spans="1:19" ht="14.4" hidden="1" x14ac:dyDescent="0.3">
      <c r="A315" s="16">
        <v>308</v>
      </c>
      <c r="B315" s="17" t="s">
        <v>1438</v>
      </c>
      <c r="C315" s="6">
        <v>46672265</v>
      </c>
      <c r="D315" s="6">
        <f>COUNTIFS($C$8:C315,C315)</f>
        <v>1</v>
      </c>
      <c r="E315" s="6">
        <v>3138894458</v>
      </c>
      <c r="F315" s="12" t="s">
        <v>1439</v>
      </c>
      <c r="G315" s="7">
        <v>46055</v>
      </c>
      <c r="H315" s="7">
        <v>46387</v>
      </c>
      <c r="I315" s="8" t="s">
        <v>1440</v>
      </c>
      <c r="J315" s="6" t="s">
        <v>500</v>
      </c>
      <c r="K315" s="6" t="s">
        <v>115</v>
      </c>
      <c r="L315" s="6" t="s">
        <v>1441</v>
      </c>
      <c r="M315" s="6" t="s">
        <v>1442</v>
      </c>
      <c r="N315" s="6" t="s">
        <v>17</v>
      </c>
      <c r="O315" s="6" t="s">
        <v>259</v>
      </c>
      <c r="P315" t="s">
        <v>125</v>
      </c>
      <c r="Q315" s="25" t="s">
        <v>2112</v>
      </c>
    </row>
    <row r="316" spans="1:19" ht="14.4" hidden="1" x14ac:dyDescent="0.3">
      <c r="A316" s="5">
        <v>309</v>
      </c>
      <c r="B316" s="17" t="s">
        <v>1443</v>
      </c>
      <c r="C316" s="6">
        <v>2996355</v>
      </c>
      <c r="D316" s="6">
        <f>COUNTIFS($C$8:C316,C316)</f>
        <v>1</v>
      </c>
      <c r="E316" s="6">
        <v>2996355</v>
      </c>
      <c r="F316" s="6" t="s">
        <v>20</v>
      </c>
      <c r="G316" s="7" t="s">
        <v>20</v>
      </c>
      <c r="H316" s="7" t="s">
        <v>20</v>
      </c>
      <c r="I316" s="8" t="s">
        <v>1444</v>
      </c>
      <c r="J316" s="6" t="s">
        <v>434</v>
      </c>
      <c r="K316" s="6" t="s">
        <v>115</v>
      </c>
      <c r="L316" s="6" t="s">
        <v>1445</v>
      </c>
      <c r="M316" s="6" t="s">
        <v>1446</v>
      </c>
      <c r="N316" s="6" t="s">
        <v>17</v>
      </c>
      <c r="O316" s="6" t="s">
        <v>1447</v>
      </c>
      <c r="P316" t="s">
        <v>119</v>
      </c>
      <c r="Q316" s="25" t="s">
        <v>2112</v>
      </c>
    </row>
    <row r="317" spans="1:19" ht="14.4" hidden="1" x14ac:dyDescent="0.3">
      <c r="A317" s="5">
        <v>310</v>
      </c>
      <c r="B317" s="17" t="s">
        <v>1448</v>
      </c>
      <c r="C317" s="6">
        <v>79385393</v>
      </c>
      <c r="D317" s="6">
        <f>COUNTIFS($C$8:C317,C317)</f>
        <v>1</v>
      </c>
      <c r="E317" s="6">
        <v>3013564276</v>
      </c>
      <c r="F317" s="6" t="s">
        <v>20</v>
      </c>
      <c r="G317" s="7" t="s">
        <v>20</v>
      </c>
      <c r="H317" s="7" t="s">
        <v>20</v>
      </c>
      <c r="I317" s="8" t="s">
        <v>1449</v>
      </c>
      <c r="J317" s="6" t="s">
        <v>434</v>
      </c>
      <c r="K317" s="6" t="s">
        <v>115</v>
      </c>
      <c r="L317" s="6" t="s">
        <v>164</v>
      </c>
      <c r="M317" s="6" t="s">
        <v>1450</v>
      </c>
      <c r="N317" s="6" t="s">
        <v>17</v>
      </c>
      <c r="O317" s="6" t="s">
        <v>60</v>
      </c>
      <c r="P317" t="s">
        <v>119</v>
      </c>
      <c r="Q317" s="25" t="s">
        <v>2112</v>
      </c>
    </row>
    <row r="318" spans="1:19" ht="14.4" hidden="1" x14ac:dyDescent="0.3">
      <c r="A318" s="5">
        <v>311</v>
      </c>
      <c r="B318" s="17" t="s">
        <v>1451</v>
      </c>
      <c r="C318" s="6">
        <v>1010162896</v>
      </c>
      <c r="D318" s="6">
        <f>COUNTIFS($C$8:C318,C318)</f>
        <v>1</v>
      </c>
      <c r="E318" s="6">
        <v>3195918577</v>
      </c>
      <c r="F318" s="6" t="s">
        <v>20</v>
      </c>
      <c r="G318" s="7" t="s">
        <v>20</v>
      </c>
      <c r="H318" s="7" t="s">
        <v>20</v>
      </c>
      <c r="I318" s="8" t="s">
        <v>1452</v>
      </c>
      <c r="J318" s="6" t="s">
        <v>500</v>
      </c>
      <c r="K318" s="6" t="s">
        <v>106</v>
      </c>
      <c r="L318" s="6" t="s">
        <v>1453</v>
      </c>
      <c r="M318" s="6" t="s">
        <v>1454</v>
      </c>
      <c r="N318" s="6" t="s">
        <v>17</v>
      </c>
      <c r="O318" s="6" t="s">
        <v>1455</v>
      </c>
      <c r="P318" t="s">
        <v>119</v>
      </c>
      <c r="Q318" s="25" t="s">
        <v>2112</v>
      </c>
    </row>
    <row r="319" spans="1:19" ht="14.4" hidden="1" x14ac:dyDescent="0.3">
      <c r="A319" s="16">
        <v>312</v>
      </c>
      <c r="B319" s="17" t="s">
        <v>1456</v>
      </c>
      <c r="C319" s="6">
        <v>1010162896</v>
      </c>
      <c r="D319" s="6">
        <f>COUNTIFS($C$8:C319,C319)</f>
        <v>2</v>
      </c>
      <c r="E319" s="6">
        <v>3195918577</v>
      </c>
      <c r="F319" s="6" t="s">
        <v>20</v>
      </c>
      <c r="G319" s="7" t="s">
        <v>20</v>
      </c>
      <c r="H319" s="7" t="s">
        <v>20</v>
      </c>
      <c r="I319" s="8" t="s">
        <v>1452</v>
      </c>
      <c r="J319" s="6" t="s">
        <v>500</v>
      </c>
      <c r="K319" s="6" t="s">
        <v>115</v>
      </c>
      <c r="L319" s="6" t="s">
        <v>501</v>
      </c>
      <c r="M319" s="6" t="s">
        <v>1457</v>
      </c>
      <c r="N319" s="6" t="s">
        <v>17</v>
      </c>
      <c r="O319" s="6" t="s">
        <v>60</v>
      </c>
      <c r="P319" t="s">
        <v>119</v>
      </c>
      <c r="Q319" s="25" t="s">
        <v>2112</v>
      </c>
    </row>
    <row r="320" spans="1:19" ht="14.4" hidden="1" x14ac:dyDescent="0.3">
      <c r="A320" s="5">
        <v>313</v>
      </c>
      <c r="B320" s="17" t="s">
        <v>1458</v>
      </c>
      <c r="C320" s="6">
        <v>79941715</v>
      </c>
      <c r="D320" s="6">
        <f>COUNTIFS($C$8:C320,C320)</f>
        <v>1</v>
      </c>
      <c r="E320" s="6">
        <v>3002063453</v>
      </c>
      <c r="F320" s="12" t="s">
        <v>1459</v>
      </c>
      <c r="G320" s="7">
        <v>46038</v>
      </c>
      <c r="H320" s="7">
        <v>46387</v>
      </c>
      <c r="I320" s="8" t="s">
        <v>1460</v>
      </c>
      <c r="J320" s="6" t="s">
        <v>201</v>
      </c>
      <c r="K320" s="6" t="s">
        <v>155</v>
      </c>
      <c r="L320" s="6" t="s">
        <v>1461</v>
      </c>
      <c r="M320" s="6" t="s">
        <v>20</v>
      </c>
      <c r="N320" s="6" t="s">
        <v>129</v>
      </c>
      <c r="O320" s="6" t="s">
        <v>24</v>
      </c>
      <c r="P320" t="s">
        <v>125</v>
      </c>
      <c r="Q320" s="25" t="s">
        <v>2112</v>
      </c>
    </row>
    <row r="321" spans="1:19" ht="14.4" hidden="1" x14ac:dyDescent="0.3">
      <c r="A321" s="5">
        <v>314</v>
      </c>
      <c r="B321" s="17" t="s">
        <v>1462</v>
      </c>
      <c r="C321" s="6">
        <v>1022984445</v>
      </c>
      <c r="D321" s="6">
        <f>COUNTIFS($C$8:C321,C321)</f>
        <v>1</v>
      </c>
      <c r="E321" s="6">
        <v>3053862189</v>
      </c>
      <c r="F321" s="6" t="s">
        <v>1463</v>
      </c>
      <c r="G321" s="7">
        <v>46048</v>
      </c>
      <c r="H321" s="7">
        <v>46173</v>
      </c>
      <c r="I321" s="8" t="s">
        <v>1464</v>
      </c>
      <c r="J321" s="6" t="s">
        <v>201</v>
      </c>
      <c r="K321" s="6" t="s">
        <v>115</v>
      </c>
      <c r="L321" s="6" t="s">
        <v>1465</v>
      </c>
      <c r="M321" s="6" t="s">
        <v>1466</v>
      </c>
      <c r="N321" s="6" t="s">
        <v>17</v>
      </c>
      <c r="O321" s="6" t="s">
        <v>339</v>
      </c>
      <c r="P321" t="s">
        <v>125</v>
      </c>
      <c r="Q321" s="25" t="s">
        <v>2112</v>
      </c>
    </row>
    <row r="322" spans="1:19" ht="14.4" hidden="1" x14ac:dyDescent="0.3">
      <c r="A322" s="5">
        <v>315</v>
      </c>
      <c r="B322" s="17" t="s">
        <v>1467</v>
      </c>
      <c r="C322" s="6">
        <v>1015442158</v>
      </c>
      <c r="D322" s="6">
        <f>COUNTIFS($C$8:C322,C322)</f>
        <v>1</v>
      </c>
      <c r="E322" s="6">
        <v>3118086859</v>
      </c>
      <c r="F322" s="12" t="s">
        <v>1468</v>
      </c>
      <c r="G322" s="7">
        <v>46038</v>
      </c>
      <c r="H322" s="7">
        <v>46387</v>
      </c>
      <c r="I322" s="8" t="s">
        <v>1469</v>
      </c>
      <c r="J322" s="6" t="s">
        <v>201</v>
      </c>
      <c r="K322" s="6" t="s">
        <v>143</v>
      </c>
      <c r="L322" s="6" t="s">
        <v>22</v>
      </c>
      <c r="M322" s="6" t="s">
        <v>1470</v>
      </c>
      <c r="N322" s="6" t="s">
        <v>129</v>
      </c>
      <c r="O322" s="6" t="s">
        <v>1471</v>
      </c>
      <c r="P322" t="s">
        <v>125</v>
      </c>
      <c r="Q322" s="25" t="s">
        <v>2112</v>
      </c>
    </row>
    <row r="323" spans="1:19" ht="14.4" hidden="1" x14ac:dyDescent="0.3">
      <c r="A323" s="16">
        <v>316</v>
      </c>
      <c r="B323" s="17" t="s">
        <v>1467</v>
      </c>
      <c r="C323" s="6">
        <v>1015442158</v>
      </c>
      <c r="D323" s="6">
        <f>COUNTIFS($C$8:C323,C323)</f>
        <v>2</v>
      </c>
      <c r="E323" s="6">
        <v>3118086859</v>
      </c>
      <c r="F323" s="12" t="s">
        <v>1468</v>
      </c>
      <c r="G323" s="7">
        <v>46038</v>
      </c>
      <c r="H323" s="7">
        <v>46387</v>
      </c>
      <c r="I323" s="8" t="s">
        <v>1469</v>
      </c>
      <c r="J323" s="6" t="s">
        <v>201</v>
      </c>
      <c r="K323" s="6" t="s">
        <v>80</v>
      </c>
      <c r="L323" s="6" t="s">
        <v>1472</v>
      </c>
      <c r="M323" s="6" t="s">
        <v>20</v>
      </c>
      <c r="N323" s="6" t="s">
        <v>129</v>
      </c>
      <c r="O323" s="6" t="s">
        <v>1473</v>
      </c>
      <c r="P323" t="s">
        <v>125</v>
      </c>
      <c r="Q323" s="25" t="s">
        <v>2112</v>
      </c>
    </row>
    <row r="324" spans="1:19" ht="14.4" hidden="1" x14ac:dyDescent="0.3">
      <c r="A324" s="5">
        <v>317</v>
      </c>
      <c r="B324" s="17" t="s">
        <v>1474</v>
      </c>
      <c r="C324" s="6">
        <v>1030623154</v>
      </c>
      <c r="D324" s="6">
        <f>COUNTIFS($C$8:C324,C324)</f>
        <v>1</v>
      </c>
      <c r="E324" s="6">
        <v>3125667339</v>
      </c>
      <c r="F324" s="6" t="s">
        <v>20</v>
      </c>
      <c r="G324" s="7" t="s">
        <v>20</v>
      </c>
      <c r="H324" s="7" t="s">
        <v>20</v>
      </c>
      <c r="I324" s="8" t="s">
        <v>1475</v>
      </c>
      <c r="J324" s="6" t="s">
        <v>285</v>
      </c>
      <c r="K324" s="6" t="s">
        <v>115</v>
      </c>
      <c r="L324" s="6" t="s">
        <v>1476</v>
      </c>
      <c r="M324" s="6" t="s">
        <v>1477</v>
      </c>
      <c r="N324" s="6" t="s">
        <v>17</v>
      </c>
      <c r="O324" s="6" t="s">
        <v>66</v>
      </c>
      <c r="P324" t="s">
        <v>119</v>
      </c>
      <c r="Q324" s="25" t="s">
        <v>2112</v>
      </c>
    </row>
    <row r="325" spans="1:19" ht="14.4" hidden="1" x14ac:dyDescent="0.3">
      <c r="A325" s="5">
        <v>318</v>
      </c>
      <c r="B325" s="17" t="s">
        <v>1478</v>
      </c>
      <c r="C325" s="6">
        <v>32711441</v>
      </c>
      <c r="D325" s="6">
        <f>COUNTIFS($C$8:C325,C325)</f>
        <v>1</v>
      </c>
      <c r="E325" s="6">
        <v>3008790148</v>
      </c>
      <c r="F325" s="6" t="s">
        <v>20</v>
      </c>
      <c r="G325" s="7" t="s">
        <v>20</v>
      </c>
      <c r="H325" s="7" t="s">
        <v>20</v>
      </c>
      <c r="I325" s="8" t="s">
        <v>1479</v>
      </c>
      <c r="J325" s="6" t="s">
        <v>1562</v>
      </c>
      <c r="K325" s="6" t="s">
        <v>106</v>
      </c>
      <c r="L325" s="6" t="s">
        <v>175</v>
      </c>
      <c r="M325" s="6" t="s">
        <v>1480</v>
      </c>
      <c r="N325" s="6" t="s">
        <v>17</v>
      </c>
      <c r="O325" s="6" t="s">
        <v>66</v>
      </c>
      <c r="P325" s="19" t="s">
        <v>1280</v>
      </c>
      <c r="Q325" s="25" t="s">
        <v>2112</v>
      </c>
    </row>
    <row r="326" spans="1:19" ht="14.4" hidden="1" x14ac:dyDescent="0.3">
      <c r="A326" s="5">
        <v>319</v>
      </c>
      <c r="B326" s="17" t="s">
        <v>1474</v>
      </c>
      <c r="C326" s="6">
        <v>1030623154</v>
      </c>
      <c r="D326" s="6">
        <f>COUNTIFS($C$8:C326,C326)</f>
        <v>2</v>
      </c>
      <c r="E326" s="6">
        <v>3125667339</v>
      </c>
      <c r="F326" s="6" t="s">
        <v>20</v>
      </c>
      <c r="G326" s="7" t="s">
        <v>20</v>
      </c>
      <c r="H326" s="7" t="s">
        <v>20</v>
      </c>
      <c r="I326" s="8" t="s">
        <v>1475</v>
      </c>
      <c r="J326" s="6" t="s">
        <v>285</v>
      </c>
      <c r="K326" s="6" t="s">
        <v>155</v>
      </c>
      <c r="L326" s="6" t="s">
        <v>1481</v>
      </c>
      <c r="M326" s="6" t="s">
        <v>20</v>
      </c>
      <c r="N326" s="6" t="s">
        <v>129</v>
      </c>
      <c r="O326" s="6" t="s">
        <v>166</v>
      </c>
      <c r="P326" t="s">
        <v>119</v>
      </c>
      <c r="Q326" s="25" t="s">
        <v>2112</v>
      </c>
    </row>
    <row r="327" spans="1:19" ht="14.4" hidden="1" x14ac:dyDescent="0.3">
      <c r="A327" s="16">
        <v>320</v>
      </c>
      <c r="B327" s="17" t="s">
        <v>1482</v>
      </c>
      <c r="C327" s="17">
        <v>52883834</v>
      </c>
      <c r="D327" s="6">
        <f>COUNTIFS($C$8:C327,C327)</f>
        <v>1</v>
      </c>
      <c r="E327" s="17">
        <v>3204174797</v>
      </c>
      <c r="F327" s="23" t="s">
        <v>1483</v>
      </c>
      <c r="G327" s="18">
        <v>46036</v>
      </c>
      <c r="H327" s="18">
        <v>46247</v>
      </c>
      <c r="I327" s="8" t="s">
        <v>1484</v>
      </c>
      <c r="J327" s="6" t="s">
        <v>1338</v>
      </c>
      <c r="K327" s="6" t="s">
        <v>115</v>
      </c>
      <c r="L327" s="17" t="s">
        <v>1465</v>
      </c>
      <c r="M327" s="17" t="s">
        <v>1485</v>
      </c>
      <c r="N327" s="17" t="s">
        <v>17</v>
      </c>
      <c r="O327" s="17" t="s">
        <v>60</v>
      </c>
      <c r="P327" s="19" t="s">
        <v>125</v>
      </c>
      <c r="Q327" s="21" t="s">
        <v>2098</v>
      </c>
      <c r="R327" s="20"/>
      <c r="S327" s="20"/>
    </row>
    <row r="328" spans="1:19" ht="14.4" hidden="1" x14ac:dyDescent="0.3">
      <c r="A328" s="5">
        <v>321</v>
      </c>
      <c r="B328" s="17" t="s">
        <v>1486</v>
      </c>
      <c r="C328" s="6">
        <v>80206130</v>
      </c>
      <c r="D328" s="6">
        <f>COUNTIFS($C$8:C328,C328)</f>
        <v>1</v>
      </c>
      <c r="E328" s="6">
        <v>3208732659</v>
      </c>
      <c r="F328" s="12" t="s">
        <v>1487</v>
      </c>
      <c r="G328" s="7">
        <v>46027</v>
      </c>
      <c r="H328" s="7">
        <v>46238</v>
      </c>
      <c r="I328" s="8" t="s">
        <v>1488</v>
      </c>
      <c r="J328" s="6" t="s">
        <v>1562</v>
      </c>
      <c r="K328" s="6" t="s">
        <v>115</v>
      </c>
      <c r="L328" s="6" t="s">
        <v>75</v>
      </c>
      <c r="M328" s="6" t="s">
        <v>1489</v>
      </c>
      <c r="N328" s="6" t="s">
        <v>253</v>
      </c>
      <c r="O328" s="6" t="s">
        <v>66</v>
      </c>
      <c r="P328" t="s">
        <v>125</v>
      </c>
      <c r="Q328" s="25" t="s">
        <v>2112</v>
      </c>
    </row>
    <row r="329" spans="1:19" ht="14.4" hidden="1" x14ac:dyDescent="0.3">
      <c r="A329" s="5">
        <v>322</v>
      </c>
      <c r="B329" s="17" t="s">
        <v>1490</v>
      </c>
      <c r="C329" s="6">
        <v>1016021569</v>
      </c>
      <c r="D329" s="6">
        <f>COUNTIFS($C$8:C329,C329)</f>
        <v>1</v>
      </c>
      <c r="E329" s="6">
        <v>3006870651</v>
      </c>
      <c r="F329" s="12" t="s">
        <v>1491</v>
      </c>
      <c r="G329" s="7">
        <v>46045</v>
      </c>
      <c r="H329" s="7">
        <v>46348</v>
      </c>
      <c r="I329" s="8" t="s">
        <v>1492</v>
      </c>
      <c r="J329" s="6" t="s">
        <v>587</v>
      </c>
      <c r="K329" s="6" t="s">
        <v>143</v>
      </c>
      <c r="L329" s="6" t="s">
        <v>294</v>
      </c>
      <c r="M329" s="6" t="s">
        <v>1493</v>
      </c>
      <c r="N329" s="6" t="s">
        <v>253</v>
      </c>
      <c r="O329" s="6" t="s">
        <v>66</v>
      </c>
      <c r="P329" t="s">
        <v>125</v>
      </c>
      <c r="Q329" s="25" t="s">
        <v>2112</v>
      </c>
    </row>
    <row r="330" spans="1:19" ht="14.4" hidden="1" x14ac:dyDescent="0.3">
      <c r="A330" s="5">
        <v>323</v>
      </c>
      <c r="B330" s="17" t="s">
        <v>1490</v>
      </c>
      <c r="C330" s="6">
        <v>1016021569</v>
      </c>
      <c r="D330" s="6">
        <f>COUNTIFS($C$8:C330,C330)</f>
        <v>2</v>
      </c>
      <c r="E330" s="6">
        <v>3006870651</v>
      </c>
      <c r="F330" s="12" t="s">
        <v>1491</v>
      </c>
      <c r="G330" s="7">
        <v>46045</v>
      </c>
      <c r="H330" s="7">
        <v>46348</v>
      </c>
      <c r="I330" s="8" t="s">
        <v>1492</v>
      </c>
      <c r="J330" s="6" t="s">
        <v>587</v>
      </c>
      <c r="K330" s="6" t="s">
        <v>106</v>
      </c>
      <c r="L330" s="6" t="s">
        <v>701</v>
      </c>
      <c r="M330" s="6" t="s">
        <v>1494</v>
      </c>
      <c r="N330" s="6" t="s">
        <v>17</v>
      </c>
      <c r="O330" s="6" t="s">
        <v>24</v>
      </c>
      <c r="P330" t="s">
        <v>125</v>
      </c>
      <c r="Q330" s="25" t="s">
        <v>2112</v>
      </c>
    </row>
    <row r="331" spans="1:19" ht="14.4" hidden="1" x14ac:dyDescent="0.3">
      <c r="A331" s="16">
        <v>324</v>
      </c>
      <c r="B331" s="17" t="s">
        <v>1486</v>
      </c>
      <c r="C331" s="6">
        <v>80206130</v>
      </c>
      <c r="D331" s="6">
        <f>COUNTIFS($C$8:C331,C331)</f>
        <v>2</v>
      </c>
      <c r="E331" s="6">
        <v>3208732659</v>
      </c>
      <c r="F331" s="12" t="s">
        <v>1487</v>
      </c>
      <c r="G331" s="7">
        <v>46027</v>
      </c>
      <c r="H331" s="7">
        <v>46238</v>
      </c>
      <c r="I331" s="8" t="s">
        <v>1495</v>
      </c>
      <c r="J331" s="6" t="s">
        <v>1562</v>
      </c>
      <c r="K331" s="6" t="s">
        <v>155</v>
      </c>
      <c r="L331" s="6" t="s">
        <v>1496</v>
      </c>
      <c r="M331" s="6" t="s">
        <v>20</v>
      </c>
      <c r="N331" s="6" t="s">
        <v>129</v>
      </c>
      <c r="O331" s="6" t="s">
        <v>157</v>
      </c>
      <c r="P331" t="s">
        <v>125</v>
      </c>
      <c r="Q331" s="25" t="s">
        <v>2112</v>
      </c>
    </row>
    <row r="332" spans="1:19" ht="14.4" x14ac:dyDescent="0.3">
      <c r="A332" s="5">
        <v>325</v>
      </c>
      <c r="B332" s="17" t="s">
        <v>1497</v>
      </c>
      <c r="C332" s="17">
        <v>80019944</v>
      </c>
      <c r="D332" s="6">
        <f>COUNTIFS($C$8:C332,C332)</f>
        <v>1</v>
      </c>
      <c r="E332" s="17">
        <v>3015363830</v>
      </c>
      <c r="F332" s="23" t="s">
        <v>1498</v>
      </c>
      <c r="G332" s="18">
        <v>46038</v>
      </c>
      <c r="H332" s="18">
        <v>46387</v>
      </c>
      <c r="I332" s="8" t="s">
        <v>1499</v>
      </c>
      <c r="J332" s="6" t="s">
        <v>434</v>
      </c>
      <c r="K332" s="6" t="s">
        <v>115</v>
      </c>
      <c r="L332" s="17" t="s">
        <v>202</v>
      </c>
      <c r="M332" s="17" t="s">
        <v>1500</v>
      </c>
      <c r="N332" s="17" t="s">
        <v>17</v>
      </c>
      <c r="O332" s="17" t="s">
        <v>24</v>
      </c>
      <c r="P332" s="19" t="s">
        <v>125</v>
      </c>
      <c r="Q332" s="21" t="s">
        <v>2098</v>
      </c>
      <c r="R332" s="20"/>
      <c r="S332" s="20"/>
    </row>
    <row r="333" spans="1:19" ht="14.4" x14ac:dyDescent="0.3">
      <c r="A333" s="5">
        <v>326</v>
      </c>
      <c r="B333" s="17" t="s">
        <v>1497</v>
      </c>
      <c r="C333" s="6">
        <v>80019944</v>
      </c>
      <c r="D333" s="6">
        <f>COUNTIFS($C$8:C333,C333)</f>
        <v>2</v>
      </c>
      <c r="E333" s="6">
        <v>3015363830</v>
      </c>
      <c r="F333" s="12" t="s">
        <v>1498</v>
      </c>
      <c r="G333" s="7">
        <v>46038</v>
      </c>
      <c r="H333" s="7">
        <v>46387</v>
      </c>
      <c r="I333" s="8" t="s">
        <v>1499</v>
      </c>
      <c r="J333" s="6" t="s">
        <v>434</v>
      </c>
      <c r="K333" s="6" t="s">
        <v>106</v>
      </c>
      <c r="L333" s="6" t="s">
        <v>701</v>
      </c>
      <c r="M333" s="6" t="s">
        <v>1501</v>
      </c>
      <c r="N333" s="6" t="s">
        <v>17</v>
      </c>
      <c r="O333" s="6" t="s">
        <v>60</v>
      </c>
      <c r="P333" t="s">
        <v>125</v>
      </c>
      <c r="Q333" s="25" t="s">
        <v>2112</v>
      </c>
    </row>
    <row r="334" spans="1:19" ht="14.4" hidden="1" x14ac:dyDescent="0.3">
      <c r="A334" s="5">
        <v>327</v>
      </c>
      <c r="B334" s="17" t="s">
        <v>1502</v>
      </c>
      <c r="C334" s="17">
        <v>1016036999</v>
      </c>
      <c r="D334" s="6">
        <f>COUNTIFS($C$8:C334,C334)</f>
        <v>1</v>
      </c>
      <c r="E334" s="17">
        <v>3143216258</v>
      </c>
      <c r="F334" s="23" t="s">
        <v>1503</v>
      </c>
      <c r="G334" s="18">
        <v>46045</v>
      </c>
      <c r="H334" s="18">
        <v>46226</v>
      </c>
      <c r="I334" s="8" t="s">
        <v>1504</v>
      </c>
      <c r="J334" s="17" t="s">
        <v>1041</v>
      </c>
      <c r="K334" s="6" t="s">
        <v>143</v>
      </c>
      <c r="L334" s="17" t="s">
        <v>164</v>
      </c>
      <c r="M334" s="17" t="s">
        <v>30</v>
      </c>
      <c r="N334" s="6" t="s">
        <v>253</v>
      </c>
      <c r="O334" s="17" t="s">
        <v>66</v>
      </c>
      <c r="P334" s="19" t="s">
        <v>125</v>
      </c>
      <c r="Q334" s="22" t="s">
        <v>2098</v>
      </c>
      <c r="R334" s="20"/>
      <c r="S334" s="20"/>
    </row>
    <row r="335" spans="1:19" ht="14.4" hidden="1" x14ac:dyDescent="0.3">
      <c r="A335" s="16">
        <v>328</v>
      </c>
      <c r="B335" s="17" t="s">
        <v>1502</v>
      </c>
      <c r="C335" s="17">
        <v>1016036999</v>
      </c>
      <c r="D335" s="6">
        <f>COUNTIFS($C$8:C335,C335)</f>
        <v>2</v>
      </c>
      <c r="E335" s="17">
        <v>3143216258</v>
      </c>
      <c r="F335" s="23" t="s">
        <v>1503</v>
      </c>
      <c r="G335" s="18">
        <v>46045</v>
      </c>
      <c r="H335" s="18">
        <v>46226</v>
      </c>
      <c r="I335" s="8" t="s">
        <v>1504</v>
      </c>
      <c r="J335" s="17" t="s">
        <v>1041</v>
      </c>
      <c r="K335" s="17" t="s">
        <v>155</v>
      </c>
      <c r="L335" s="17" t="s">
        <v>1505</v>
      </c>
      <c r="M335" s="17" t="s">
        <v>20</v>
      </c>
      <c r="N335" s="6" t="s">
        <v>129</v>
      </c>
      <c r="O335" s="17" t="s">
        <v>38</v>
      </c>
      <c r="P335" s="19" t="s">
        <v>125</v>
      </c>
      <c r="Q335" s="22" t="s">
        <v>2098</v>
      </c>
      <c r="R335" s="20"/>
      <c r="S335" s="20"/>
    </row>
    <row r="336" spans="1:19" ht="14.4" hidden="1" x14ac:dyDescent="0.3">
      <c r="A336" s="5">
        <v>329</v>
      </c>
      <c r="B336" s="17" t="s">
        <v>1506</v>
      </c>
      <c r="C336" s="6">
        <v>91492909</v>
      </c>
      <c r="D336" s="6">
        <f>COUNTIFS($C$8:C336,C336)</f>
        <v>1</v>
      </c>
      <c r="E336" s="6">
        <v>3057363503</v>
      </c>
      <c r="F336" s="12" t="s">
        <v>1507</v>
      </c>
      <c r="G336" s="7">
        <v>46045</v>
      </c>
      <c r="H336" s="7">
        <v>46284</v>
      </c>
      <c r="I336" s="8" t="s">
        <v>1508</v>
      </c>
      <c r="J336" s="6" t="s">
        <v>500</v>
      </c>
      <c r="K336" s="6" t="s">
        <v>115</v>
      </c>
      <c r="L336" s="6" t="s">
        <v>1509</v>
      </c>
      <c r="M336" s="6" t="s">
        <v>1510</v>
      </c>
      <c r="N336" s="6" t="s">
        <v>17</v>
      </c>
      <c r="O336" s="6" t="s">
        <v>24</v>
      </c>
      <c r="P336" t="s">
        <v>125</v>
      </c>
      <c r="Q336" s="25" t="s">
        <v>2112</v>
      </c>
    </row>
    <row r="337" spans="1:19" ht="14.4" hidden="1" x14ac:dyDescent="0.3">
      <c r="A337" s="5">
        <v>330</v>
      </c>
      <c r="B337" s="17" t="s">
        <v>1506</v>
      </c>
      <c r="C337" s="6">
        <v>91492909</v>
      </c>
      <c r="D337" s="6">
        <f>COUNTIFS($C$8:C337,C337)</f>
        <v>2</v>
      </c>
      <c r="E337" s="6">
        <v>3057363503</v>
      </c>
      <c r="F337" s="12" t="s">
        <v>1507</v>
      </c>
      <c r="G337" s="7">
        <v>46045</v>
      </c>
      <c r="H337" s="7">
        <v>46284</v>
      </c>
      <c r="I337" s="8" t="s">
        <v>1508</v>
      </c>
      <c r="J337" s="6" t="s">
        <v>500</v>
      </c>
      <c r="K337" s="6" t="s">
        <v>155</v>
      </c>
      <c r="L337" s="6" t="s">
        <v>1511</v>
      </c>
      <c r="M337" s="6" t="s">
        <v>1512</v>
      </c>
      <c r="N337" s="6" t="s">
        <v>129</v>
      </c>
      <c r="O337" s="6" t="s">
        <v>24</v>
      </c>
      <c r="P337" t="s">
        <v>125</v>
      </c>
      <c r="Q337" s="25" t="s">
        <v>2112</v>
      </c>
    </row>
    <row r="338" spans="1:19" ht="14.4" hidden="1" x14ac:dyDescent="0.3">
      <c r="A338" s="5">
        <v>331</v>
      </c>
      <c r="B338" s="17" t="s">
        <v>1513</v>
      </c>
      <c r="C338" s="6">
        <v>79244560</v>
      </c>
      <c r="D338" s="6">
        <f>COUNTIFS($C$8:C338,C338)</f>
        <v>1</v>
      </c>
      <c r="E338" s="6">
        <v>3205349671</v>
      </c>
      <c r="F338" s="12" t="s">
        <v>1514</v>
      </c>
      <c r="G338" s="7">
        <v>46041</v>
      </c>
      <c r="H338" s="7">
        <v>46343</v>
      </c>
      <c r="I338" s="8" t="s">
        <v>1515</v>
      </c>
      <c r="J338" s="6" t="s">
        <v>270</v>
      </c>
      <c r="K338" s="6" t="s">
        <v>143</v>
      </c>
      <c r="L338" s="6" t="s">
        <v>22</v>
      </c>
      <c r="M338" s="6" t="s">
        <v>1516</v>
      </c>
      <c r="N338" s="6" t="s">
        <v>129</v>
      </c>
      <c r="O338" s="6" t="s">
        <v>18</v>
      </c>
      <c r="P338" t="s">
        <v>125</v>
      </c>
      <c r="Q338" s="25" t="s">
        <v>2112</v>
      </c>
    </row>
    <row r="339" spans="1:19" ht="14.4" hidden="1" x14ac:dyDescent="0.3">
      <c r="A339" s="16">
        <v>332</v>
      </c>
      <c r="B339" s="17" t="s">
        <v>1517</v>
      </c>
      <c r="C339" s="17">
        <v>80061648</v>
      </c>
      <c r="D339" s="6">
        <f>COUNTIFS($C$8:C339,C339)</f>
        <v>1</v>
      </c>
      <c r="E339" s="17">
        <v>3103076693</v>
      </c>
      <c r="F339" s="17" t="s">
        <v>1518</v>
      </c>
      <c r="G339" s="18">
        <v>46043</v>
      </c>
      <c r="H339" s="18">
        <v>46224</v>
      </c>
      <c r="I339" s="8" t="s">
        <v>1519</v>
      </c>
      <c r="J339" s="6" t="s">
        <v>270</v>
      </c>
      <c r="K339" s="6" t="s">
        <v>143</v>
      </c>
      <c r="L339" s="17" t="s">
        <v>294</v>
      </c>
      <c r="M339" s="17" t="s">
        <v>1520</v>
      </c>
      <c r="N339" s="17" t="s">
        <v>17</v>
      </c>
      <c r="O339" s="17" t="s">
        <v>60</v>
      </c>
      <c r="P339" s="19" t="s">
        <v>125</v>
      </c>
      <c r="Q339" s="21" t="s">
        <v>2098</v>
      </c>
      <c r="R339" s="20"/>
      <c r="S339" s="20"/>
    </row>
    <row r="340" spans="1:19" ht="14.4" hidden="1" x14ac:dyDescent="0.3">
      <c r="A340" s="5">
        <v>333</v>
      </c>
      <c r="B340" s="17" t="s">
        <v>1517</v>
      </c>
      <c r="C340" s="17">
        <v>80061648</v>
      </c>
      <c r="D340" s="6">
        <f>COUNTIFS($C$8:C340,C340)</f>
        <v>2</v>
      </c>
      <c r="E340" s="17">
        <v>3103076693</v>
      </c>
      <c r="F340" s="17" t="s">
        <v>1518</v>
      </c>
      <c r="G340" s="18">
        <v>46043</v>
      </c>
      <c r="H340" s="18">
        <v>46224</v>
      </c>
      <c r="I340" s="8" t="s">
        <v>1519</v>
      </c>
      <c r="J340" s="6" t="s">
        <v>270</v>
      </c>
      <c r="K340" s="17" t="s">
        <v>155</v>
      </c>
      <c r="L340" s="17" t="s">
        <v>1461</v>
      </c>
      <c r="M340" s="17" t="s">
        <v>20</v>
      </c>
      <c r="N340" s="6" t="s">
        <v>129</v>
      </c>
      <c r="O340" s="17" t="s">
        <v>24</v>
      </c>
      <c r="P340" s="19" t="s">
        <v>125</v>
      </c>
      <c r="Q340" s="21" t="s">
        <v>2098</v>
      </c>
      <c r="R340" s="20"/>
      <c r="S340" s="20"/>
    </row>
    <row r="341" spans="1:19" ht="14.4" hidden="1" x14ac:dyDescent="0.3">
      <c r="A341" s="5">
        <v>334</v>
      </c>
      <c r="B341" s="17" t="s">
        <v>1521</v>
      </c>
      <c r="C341" s="6">
        <v>32798171</v>
      </c>
      <c r="D341" s="6">
        <f>COUNTIFS($C$8:C341,C341)</f>
        <v>1</v>
      </c>
      <c r="E341" s="6">
        <v>3212596174</v>
      </c>
      <c r="F341" s="6" t="s">
        <v>20</v>
      </c>
      <c r="G341" s="7" t="s">
        <v>20</v>
      </c>
      <c r="H341" s="7" t="s">
        <v>20</v>
      </c>
      <c r="I341" s="8" t="s">
        <v>1522</v>
      </c>
      <c r="J341" s="6" t="s">
        <v>270</v>
      </c>
      <c r="K341" s="6" t="s">
        <v>115</v>
      </c>
      <c r="L341" s="6" t="s">
        <v>1523</v>
      </c>
      <c r="M341" s="6" t="s">
        <v>1524</v>
      </c>
      <c r="N341" s="6" t="s">
        <v>17</v>
      </c>
      <c r="O341" s="6" t="s">
        <v>1525</v>
      </c>
      <c r="P341" t="s">
        <v>119</v>
      </c>
      <c r="Q341" s="25" t="s">
        <v>2112</v>
      </c>
    </row>
    <row r="342" spans="1:19" ht="14.4" hidden="1" x14ac:dyDescent="0.3">
      <c r="A342" s="5">
        <v>335</v>
      </c>
      <c r="B342" s="17" t="s">
        <v>1526</v>
      </c>
      <c r="C342" s="17">
        <v>4228842</v>
      </c>
      <c r="D342" s="6">
        <f>COUNTIFS($C$8:C342,C342)</f>
        <v>1</v>
      </c>
      <c r="E342" s="17">
        <v>3045528065</v>
      </c>
      <c r="F342" s="17" t="s">
        <v>20</v>
      </c>
      <c r="G342" s="18" t="s">
        <v>20</v>
      </c>
      <c r="H342" s="18" t="s">
        <v>20</v>
      </c>
      <c r="I342" s="8" t="s">
        <v>1527</v>
      </c>
      <c r="J342" s="6" t="s">
        <v>1562</v>
      </c>
      <c r="K342" s="6" t="s">
        <v>143</v>
      </c>
      <c r="L342" s="17" t="s">
        <v>348</v>
      </c>
      <c r="M342" s="17" t="s">
        <v>1528</v>
      </c>
      <c r="N342" s="17" t="s">
        <v>17</v>
      </c>
      <c r="O342" s="17" t="s">
        <v>24</v>
      </c>
      <c r="P342" s="19" t="s">
        <v>119</v>
      </c>
      <c r="Q342" s="21" t="s">
        <v>2098</v>
      </c>
      <c r="R342" s="20"/>
      <c r="S342" s="20"/>
    </row>
    <row r="343" spans="1:19" ht="14.4" hidden="1" x14ac:dyDescent="0.3">
      <c r="A343" s="16">
        <v>336</v>
      </c>
      <c r="B343" s="17" t="s">
        <v>1529</v>
      </c>
      <c r="C343" s="6">
        <v>52707802</v>
      </c>
      <c r="D343" s="6">
        <f>COUNTIFS($C$8:C343,C343)</f>
        <v>1</v>
      </c>
      <c r="E343" s="6">
        <v>3008281052</v>
      </c>
      <c r="F343" s="6" t="s">
        <v>20</v>
      </c>
      <c r="G343" s="7" t="s">
        <v>20</v>
      </c>
      <c r="H343" s="7" t="s">
        <v>20</v>
      </c>
      <c r="I343" s="8" t="s">
        <v>1530</v>
      </c>
      <c r="J343" s="17" t="s">
        <v>1395</v>
      </c>
      <c r="K343" s="6" t="s">
        <v>106</v>
      </c>
      <c r="L343" s="6" t="s">
        <v>56</v>
      </c>
      <c r="M343" s="6" t="s">
        <v>1531</v>
      </c>
      <c r="N343" s="6" t="s">
        <v>17</v>
      </c>
      <c r="O343" s="6" t="s">
        <v>38</v>
      </c>
      <c r="P343" t="s">
        <v>119</v>
      </c>
      <c r="Q343" s="25" t="s">
        <v>2112</v>
      </c>
    </row>
    <row r="344" spans="1:19" ht="14.4" hidden="1" x14ac:dyDescent="0.3">
      <c r="A344" s="5">
        <v>337</v>
      </c>
      <c r="B344" s="17" t="s">
        <v>1529</v>
      </c>
      <c r="C344" s="6">
        <v>52707802</v>
      </c>
      <c r="D344" s="6">
        <f>COUNTIFS($C$8:C344,C344)</f>
        <v>2</v>
      </c>
      <c r="E344" s="6">
        <v>3008281052</v>
      </c>
      <c r="F344" s="6" t="s">
        <v>20</v>
      </c>
      <c r="G344" s="7" t="s">
        <v>20</v>
      </c>
      <c r="H344" s="7" t="s">
        <v>20</v>
      </c>
      <c r="I344" s="8" t="s">
        <v>1530</v>
      </c>
      <c r="J344" s="17" t="s">
        <v>1395</v>
      </c>
      <c r="K344" s="6" t="s">
        <v>115</v>
      </c>
      <c r="L344" s="6" t="s">
        <v>363</v>
      </c>
      <c r="M344" s="6" t="s">
        <v>1532</v>
      </c>
      <c r="N344" s="6" t="s">
        <v>17</v>
      </c>
      <c r="O344" s="6" t="s">
        <v>60</v>
      </c>
      <c r="P344" t="s">
        <v>119</v>
      </c>
      <c r="Q344" s="25" t="s">
        <v>2112</v>
      </c>
    </row>
    <row r="345" spans="1:19" ht="14.4" hidden="1" x14ac:dyDescent="0.3">
      <c r="A345" s="5">
        <v>338</v>
      </c>
      <c r="B345" s="17" t="s">
        <v>1533</v>
      </c>
      <c r="C345" s="6">
        <v>15958519</v>
      </c>
      <c r="D345" s="6">
        <f>COUNTIFS($C$8:C345,C345)</f>
        <v>1</v>
      </c>
      <c r="E345" s="6">
        <v>3102286082</v>
      </c>
      <c r="F345" s="6" t="s">
        <v>20</v>
      </c>
      <c r="G345" s="7" t="s">
        <v>20</v>
      </c>
      <c r="H345" s="7" t="s">
        <v>20</v>
      </c>
      <c r="I345" s="8" t="s">
        <v>1534</v>
      </c>
      <c r="J345" s="6" t="s">
        <v>270</v>
      </c>
      <c r="K345" s="6" t="s">
        <v>115</v>
      </c>
      <c r="L345" s="6" t="s">
        <v>116</v>
      </c>
      <c r="M345" s="6" t="s">
        <v>1535</v>
      </c>
      <c r="N345" s="6" t="s">
        <v>17</v>
      </c>
      <c r="O345" s="6" t="s">
        <v>1536</v>
      </c>
      <c r="P345" t="s">
        <v>119</v>
      </c>
      <c r="Q345" s="25" t="s">
        <v>2112</v>
      </c>
    </row>
    <row r="346" spans="1:19" ht="14.4" hidden="1" x14ac:dyDescent="0.3">
      <c r="A346" s="5">
        <v>339</v>
      </c>
      <c r="B346" s="17" t="s">
        <v>1533</v>
      </c>
      <c r="C346" s="6">
        <v>15958519</v>
      </c>
      <c r="D346" s="6">
        <f>COUNTIFS($C$8:C346,C346)</f>
        <v>2</v>
      </c>
      <c r="E346" s="6">
        <v>3102286082</v>
      </c>
      <c r="F346" s="6" t="s">
        <v>20</v>
      </c>
      <c r="G346" s="7" t="s">
        <v>20</v>
      </c>
      <c r="H346" s="7" t="s">
        <v>20</v>
      </c>
      <c r="I346" s="8" t="s">
        <v>1534</v>
      </c>
      <c r="J346" s="6" t="s">
        <v>270</v>
      </c>
      <c r="K346" s="6" t="s">
        <v>106</v>
      </c>
      <c r="L346" s="6" t="s">
        <v>805</v>
      </c>
      <c r="M346" s="6" t="s">
        <v>1537</v>
      </c>
      <c r="N346" s="6" t="s">
        <v>17</v>
      </c>
      <c r="O346" s="6" t="s">
        <v>44</v>
      </c>
      <c r="P346" t="s">
        <v>119</v>
      </c>
      <c r="Q346" s="25" t="s">
        <v>2112</v>
      </c>
    </row>
    <row r="347" spans="1:19" ht="14.4" hidden="1" x14ac:dyDescent="0.3">
      <c r="A347" s="16">
        <v>340</v>
      </c>
      <c r="B347" s="17" t="s">
        <v>1538</v>
      </c>
      <c r="C347" s="6">
        <v>1072656830</v>
      </c>
      <c r="D347" s="6">
        <f>COUNTIFS($C$8:C347,C347)</f>
        <v>1</v>
      </c>
      <c r="E347" s="6">
        <v>3150464421</v>
      </c>
      <c r="F347" s="12" t="s">
        <v>1539</v>
      </c>
      <c r="G347" s="7">
        <v>46048</v>
      </c>
      <c r="H347" s="7">
        <v>46252</v>
      </c>
      <c r="I347" s="8" t="s">
        <v>1540</v>
      </c>
      <c r="J347" s="6" t="s">
        <v>1338</v>
      </c>
      <c r="K347" s="6" t="s">
        <v>106</v>
      </c>
      <c r="L347" s="6" t="s">
        <v>132</v>
      </c>
      <c r="M347" s="6" t="s">
        <v>1541</v>
      </c>
      <c r="N347" s="6" t="s">
        <v>17</v>
      </c>
      <c r="O347" s="6" t="s">
        <v>1542</v>
      </c>
      <c r="P347" t="s">
        <v>125</v>
      </c>
      <c r="Q347" s="25" t="s">
        <v>2112</v>
      </c>
    </row>
    <row r="348" spans="1:19" ht="14.4" hidden="1" x14ac:dyDescent="0.3">
      <c r="A348" s="5">
        <v>341</v>
      </c>
      <c r="B348" s="17" t="s">
        <v>1538</v>
      </c>
      <c r="C348" s="6">
        <v>1072656830</v>
      </c>
      <c r="D348" s="6">
        <f>COUNTIFS($C$8:C348,C348)</f>
        <v>2</v>
      </c>
      <c r="E348" s="6">
        <v>3150464421</v>
      </c>
      <c r="F348" s="12" t="s">
        <v>1539</v>
      </c>
      <c r="G348" s="7">
        <v>46048</v>
      </c>
      <c r="H348" s="7">
        <v>46252</v>
      </c>
      <c r="I348" s="8" t="s">
        <v>1540</v>
      </c>
      <c r="J348" s="6" t="s">
        <v>1338</v>
      </c>
      <c r="K348" s="6" t="s">
        <v>115</v>
      </c>
      <c r="L348" s="6" t="s">
        <v>1543</v>
      </c>
      <c r="M348" s="6" t="s">
        <v>1544</v>
      </c>
      <c r="N348" s="6" t="s">
        <v>17</v>
      </c>
      <c r="O348" s="6" t="s">
        <v>44</v>
      </c>
      <c r="P348" t="s">
        <v>125</v>
      </c>
      <c r="Q348" s="25" t="s">
        <v>2112</v>
      </c>
    </row>
    <row r="349" spans="1:19" ht="14.4" hidden="1" x14ac:dyDescent="0.3">
      <c r="A349" s="5">
        <v>342</v>
      </c>
      <c r="B349" s="17" t="s">
        <v>1545</v>
      </c>
      <c r="C349" s="6">
        <v>79926309</v>
      </c>
      <c r="D349" s="6">
        <f>COUNTIFS($C$8:C349,C349)</f>
        <v>1</v>
      </c>
      <c r="E349" s="6">
        <v>3202725249</v>
      </c>
      <c r="F349" s="12" t="s">
        <v>1546</v>
      </c>
      <c r="G349" s="7">
        <v>46030</v>
      </c>
      <c r="H349" s="7">
        <v>46387</v>
      </c>
      <c r="I349" s="8" t="s">
        <v>1547</v>
      </c>
      <c r="J349" s="6" t="s">
        <v>500</v>
      </c>
      <c r="K349" s="6" t="s">
        <v>106</v>
      </c>
      <c r="L349" s="6" t="s">
        <v>276</v>
      </c>
      <c r="M349" s="6" t="s">
        <v>1548</v>
      </c>
      <c r="N349" s="6" t="s">
        <v>17</v>
      </c>
      <c r="O349" s="6" t="s">
        <v>157</v>
      </c>
      <c r="P349" t="s">
        <v>125</v>
      </c>
      <c r="Q349" s="25" t="s">
        <v>2112</v>
      </c>
    </row>
    <row r="350" spans="1:19" ht="14.4" hidden="1" x14ac:dyDescent="0.3">
      <c r="A350" s="5">
        <v>343</v>
      </c>
      <c r="B350" s="17" t="s">
        <v>1549</v>
      </c>
      <c r="C350" s="6">
        <v>79652526</v>
      </c>
      <c r="D350" s="6">
        <f>COUNTIFS($C$8:C350,C350)</f>
        <v>1</v>
      </c>
      <c r="E350" s="6">
        <v>3108160084</v>
      </c>
      <c r="F350" s="6" t="s">
        <v>1550</v>
      </c>
      <c r="G350" s="7">
        <v>46049</v>
      </c>
      <c r="H350" s="7">
        <v>46343</v>
      </c>
      <c r="I350" s="8" t="s">
        <v>1551</v>
      </c>
      <c r="J350" s="6" t="s">
        <v>270</v>
      </c>
      <c r="K350" s="6" t="s">
        <v>115</v>
      </c>
      <c r="L350" s="6" t="s">
        <v>123</v>
      </c>
      <c r="M350" s="6" t="s">
        <v>1552</v>
      </c>
      <c r="N350" s="6" t="s">
        <v>17</v>
      </c>
      <c r="O350" s="6" t="s">
        <v>1553</v>
      </c>
      <c r="P350" t="s">
        <v>125</v>
      </c>
      <c r="Q350" s="25" t="s">
        <v>2112</v>
      </c>
    </row>
    <row r="351" spans="1:19" ht="14.4" hidden="1" x14ac:dyDescent="0.3">
      <c r="A351" s="16">
        <v>344</v>
      </c>
      <c r="B351" s="17" t="s">
        <v>1554</v>
      </c>
      <c r="C351" s="6">
        <v>63560810</v>
      </c>
      <c r="D351" s="6">
        <f>COUNTIFS($C$8:C351,C351)</f>
        <v>1</v>
      </c>
      <c r="E351" s="6">
        <v>3166898811</v>
      </c>
      <c r="F351" s="12" t="s">
        <v>1555</v>
      </c>
      <c r="G351" s="7">
        <v>46030</v>
      </c>
      <c r="H351" s="7">
        <v>46387</v>
      </c>
      <c r="I351" s="8" t="s">
        <v>1556</v>
      </c>
      <c r="J351" s="6" t="s">
        <v>1229</v>
      </c>
      <c r="K351" s="6" t="s">
        <v>143</v>
      </c>
      <c r="L351" s="6" t="s">
        <v>1557</v>
      </c>
      <c r="M351" s="6" t="s">
        <v>1558</v>
      </c>
      <c r="N351" s="6" t="s">
        <v>17</v>
      </c>
      <c r="O351" s="6" t="s">
        <v>238</v>
      </c>
      <c r="P351" t="s">
        <v>125</v>
      </c>
      <c r="Q351" s="25" t="s">
        <v>2112</v>
      </c>
    </row>
    <row r="352" spans="1:19" ht="14.4" hidden="1" x14ac:dyDescent="0.3">
      <c r="A352" s="5">
        <v>345</v>
      </c>
      <c r="B352" s="17" t="s">
        <v>1559</v>
      </c>
      <c r="C352" s="17">
        <v>1018466744</v>
      </c>
      <c r="D352" s="6">
        <f>COUNTIFS($C$8:C352,C352)</f>
        <v>1</v>
      </c>
      <c r="E352" s="17">
        <v>3045210163</v>
      </c>
      <c r="F352" s="23" t="s">
        <v>1560</v>
      </c>
      <c r="G352" s="18">
        <v>46029</v>
      </c>
      <c r="H352" s="18">
        <v>46387</v>
      </c>
      <c r="I352" s="8" t="s">
        <v>1561</v>
      </c>
      <c r="J352" s="6" t="s">
        <v>1562</v>
      </c>
      <c r="K352" s="6" t="s">
        <v>115</v>
      </c>
      <c r="L352" s="17" t="s">
        <v>1563</v>
      </c>
      <c r="M352" s="17" t="s">
        <v>1564</v>
      </c>
      <c r="N352" s="17" t="s">
        <v>17</v>
      </c>
      <c r="O352" s="17" t="s">
        <v>1565</v>
      </c>
      <c r="P352" s="19" t="s">
        <v>125</v>
      </c>
      <c r="Q352" s="22" t="s">
        <v>2098</v>
      </c>
      <c r="R352" s="20"/>
      <c r="S352" s="20"/>
    </row>
    <row r="353" spans="1:19" ht="14.4" hidden="1" x14ac:dyDescent="0.3">
      <c r="A353" s="5">
        <v>346</v>
      </c>
      <c r="B353" s="17" t="s">
        <v>1566</v>
      </c>
      <c r="C353" s="17">
        <v>1018466744</v>
      </c>
      <c r="D353" s="6">
        <f>COUNTIFS($C$8:C353,C353)</f>
        <v>2</v>
      </c>
      <c r="E353" s="17">
        <v>3045210163</v>
      </c>
      <c r="F353" s="23" t="s">
        <v>1560</v>
      </c>
      <c r="G353" s="18">
        <v>46029</v>
      </c>
      <c r="H353" s="18">
        <v>46387</v>
      </c>
      <c r="I353" s="8" t="s">
        <v>1561</v>
      </c>
      <c r="J353" s="6" t="s">
        <v>1562</v>
      </c>
      <c r="K353" s="6" t="s">
        <v>106</v>
      </c>
      <c r="L353" s="17" t="s">
        <v>1567</v>
      </c>
      <c r="M353" s="17" t="s">
        <v>1568</v>
      </c>
      <c r="N353" s="17" t="s">
        <v>17</v>
      </c>
      <c r="O353" s="17" t="s">
        <v>24</v>
      </c>
      <c r="P353" s="19" t="s">
        <v>125</v>
      </c>
      <c r="Q353" s="22" t="s">
        <v>2098</v>
      </c>
      <c r="R353" s="20"/>
      <c r="S353" s="20"/>
    </row>
    <row r="354" spans="1:19" ht="14.4" hidden="1" x14ac:dyDescent="0.3">
      <c r="A354" s="5">
        <v>347</v>
      </c>
      <c r="B354" s="17" t="s">
        <v>1569</v>
      </c>
      <c r="C354" s="6">
        <v>80075631</v>
      </c>
      <c r="D354" s="6">
        <f>COUNTIFS($C$8:C354,C354)</f>
        <v>1</v>
      </c>
      <c r="E354" s="6">
        <v>3017960778</v>
      </c>
      <c r="F354" s="12" t="s">
        <v>1570</v>
      </c>
      <c r="G354" s="7">
        <v>46042</v>
      </c>
      <c r="H354" s="7">
        <v>46375</v>
      </c>
      <c r="I354" s="8" t="s">
        <v>1571</v>
      </c>
      <c r="J354" s="6" t="s">
        <v>587</v>
      </c>
      <c r="K354" s="6" t="s">
        <v>115</v>
      </c>
      <c r="L354" s="6" t="s">
        <v>294</v>
      </c>
      <c r="M354" s="6" t="s">
        <v>1572</v>
      </c>
      <c r="N354" s="6" t="s">
        <v>17</v>
      </c>
      <c r="O354" s="6" t="s">
        <v>1258</v>
      </c>
      <c r="P354" t="s">
        <v>125</v>
      </c>
      <c r="Q354" s="25" t="s">
        <v>2112</v>
      </c>
    </row>
    <row r="355" spans="1:19" ht="14.4" hidden="1" x14ac:dyDescent="0.3">
      <c r="A355" s="16">
        <v>348</v>
      </c>
      <c r="B355" s="17" t="s">
        <v>1573</v>
      </c>
      <c r="C355" s="6">
        <v>74282260</v>
      </c>
      <c r="D355" s="6">
        <f>COUNTIFS($C$8:C355,C355)</f>
        <v>1</v>
      </c>
      <c r="E355" s="6">
        <v>3103296374</v>
      </c>
      <c r="F355" s="6" t="s">
        <v>20</v>
      </c>
      <c r="G355" s="7" t="s">
        <v>20</v>
      </c>
      <c r="H355" s="7" t="s">
        <v>20</v>
      </c>
      <c r="I355" s="8" t="s">
        <v>1574</v>
      </c>
      <c r="J355" s="6" t="s">
        <v>270</v>
      </c>
      <c r="K355" s="6" t="s">
        <v>106</v>
      </c>
      <c r="L355" s="6" t="s">
        <v>1575</v>
      </c>
      <c r="M355" s="6" t="s">
        <v>1576</v>
      </c>
      <c r="N355" s="6" t="s">
        <v>17</v>
      </c>
      <c r="O355" s="6" t="s">
        <v>24</v>
      </c>
      <c r="P355" t="s">
        <v>119</v>
      </c>
      <c r="Q355" s="25" t="s">
        <v>2112</v>
      </c>
    </row>
    <row r="356" spans="1:19" ht="14.4" hidden="1" x14ac:dyDescent="0.3">
      <c r="A356" s="5">
        <v>349</v>
      </c>
      <c r="B356" s="17" t="s">
        <v>1573</v>
      </c>
      <c r="C356" s="6">
        <v>74282260</v>
      </c>
      <c r="D356" s="6">
        <f>COUNTIFS($C$8:C356,C356)</f>
        <v>2</v>
      </c>
      <c r="E356" s="6">
        <v>3103296374</v>
      </c>
      <c r="F356" s="6" t="s">
        <v>20</v>
      </c>
      <c r="G356" s="7" t="s">
        <v>20</v>
      </c>
      <c r="H356" s="7" t="s">
        <v>20</v>
      </c>
      <c r="I356" s="8" t="s">
        <v>1574</v>
      </c>
      <c r="J356" s="6" t="s">
        <v>270</v>
      </c>
      <c r="K356" s="6" t="s">
        <v>143</v>
      </c>
      <c r="L356" s="6" t="s">
        <v>1577</v>
      </c>
      <c r="M356" s="6" t="s">
        <v>1578</v>
      </c>
      <c r="N356" s="6" t="s">
        <v>17</v>
      </c>
      <c r="O356" s="6" t="s">
        <v>60</v>
      </c>
      <c r="P356" t="s">
        <v>119</v>
      </c>
      <c r="Q356" s="25" t="s">
        <v>2112</v>
      </c>
    </row>
    <row r="357" spans="1:19" ht="14.4" hidden="1" x14ac:dyDescent="0.3">
      <c r="A357" s="5">
        <v>350</v>
      </c>
      <c r="B357" s="17" t="s">
        <v>1579</v>
      </c>
      <c r="C357" s="6">
        <v>80047722</v>
      </c>
      <c r="D357" s="6">
        <f>COUNTIFS($C$8:C357,C357)</f>
        <v>1</v>
      </c>
      <c r="E357" s="6">
        <v>3902662039</v>
      </c>
      <c r="F357" s="12" t="s">
        <v>1580</v>
      </c>
      <c r="G357" s="7">
        <v>46035</v>
      </c>
      <c r="H357" s="7">
        <v>46387</v>
      </c>
      <c r="I357" s="8" t="s">
        <v>1581</v>
      </c>
      <c r="J357" s="17" t="s">
        <v>299</v>
      </c>
      <c r="K357" s="6" t="s">
        <v>106</v>
      </c>
      <c r="L357" s="6" t="s">
        <v>1422</v>
      </c>
      <c r="M357" s="6" t="s">
        <v>1582</v>
      </c>
      <c r="N357" s="6" t="s">
        <v>17</v>
      </c>
      <c r="O357" s="6" t="s">
        <v>38</v>
      </c>
      <c r="P357" t="s">
        <v>125</v>
      </c>
      <c r="Q357" s="25" t="s">
        <v>2112</v>
      </c>
    </row>
    <row r="358" spans="1:19" ht="14.4" hidden="1" x14ac:dyDescent="0.3">
      <c r="A358" s="5">
        <v>351</v>
      </c>
      <c r="B358" s="17" t="s">
        <v>1579</v>
      </c>
      <c r="C358" s="6">
        <v>80047722</v>
      </c>
      <c r="D358" s="6">
        <f>COUNTIFS($C$8:C358,C358)</f>
        <v>2</v>
      </c>
      <c r="E358" s="6">
        <v>3002662039</v>
      </c>
      <c r="F358" s="12" t="s">
        <v>1580</v>
      </c>
      <c r="G358" s="7">
        <v>46035</v>
      </c>
      <c r="H358" s="7">
        <v>46387</v>
      </c>
      <c r="I358" s="8" t="s">
        <v>1581</v>
      </c>
      <c r="J358" s="17" t="s">
        <v>299</v>
      </c>
      <c r="K358" s="6" t="s">
        <v>115</v>
      </c>
      <c r="L358" s="6" t="s">
        <v>56</v>
      </c>
      <c r="M358" s="6" t="s">
        <v>1583</v>
      </c>
      <c r="N358" s="6" t="s">
        <v>17</v>
      </c>
      <c r="O358" s="6" t="s">
        <v>44</v>
      </c>
      <c r="P358" t="s">
        <v>125</v>
      </c>
      <c r="Q358" s="25" t="s">
        <v>2112</v>
      </c>
    </row>
    <row r="359" spans="1:19" ht="14.4" hidden="1" x14ac:dyDescent="0.3">
      <c r="A359" s="16">
        <v>352</v>
      </c>
      <c r="B359" s="17" t="s">
        <v>1569</v>
      </c>
      <c r="C359" s="6">
        <v>80075631</v>
      </c>
      <c r="D359" s="6">
        <f>COUNTIFS($C$8:C359,C359)</f>
        <v>2</v>
      </c>
      <c r="E359" s="6">
        <v>3017960778</v>
      </c>
      <c r="F359" s="12" t="s">
        <v>1570</v>
      </c>
      <c r="G359" s="7">
        <v>46042</v>
      </c>
      <c r="H359" s="7">
        <v>46375</v>
      </c>
      <c r="I359" s="8" t="s">
        <v>1571</v>
      </c>
      <c r="J359" s="6" t="s">
        <v>587</v>
      </c>
      <c r="K359" s="6" t="s">
        <v>106</v>
      </c>
      <c r="L359" s="6" t="s">
        <v>701</v>
      </c>
      <c r="M359" s="6" t="s">
        <v>1584</v>
      </c>
      <c r="N359" s="6" t="s">
        <v>17</v>
      </c>
      <c r="O359" s="6" t="s">
        <v>24</v>
      </c>
      <c r="P359" t="s">
        <v>125</v>
      </c>
      <c r="Q359" s="25" t="s">
        <v>2112</v>
      </c>
    </row>
    <row r="360" spans="1:19" ht="14.4" hidden="1" x14ac:dyDescent="0.3">
      <c r="A360" s="5">
        <v>353</v>
      </c>
      <c r="B360" s="17" t="s">
        <v>1585</v>
      </c>
      <c r="C360" s="6">
        <v>1018431754</v>
      </c>
      <c r="D360" s="6">
        <f>COUNTIFS($C$8:C360,C360)</f>
        <v>1</v>
      </c>
      <c r="E360" s="6">
        <v>3192887080</v>
      </c>
      <c r="F360" s="6" t="s">
        <v>20</v>
      </c>
      <c r="G360" s="7" t="s">
        <v>20</v>
      </c>
      <c r="H360" s="7" t="s">
        <v>20</v>
      </c>
      <c r="I360" s="8" t="s">
        <v>1586</v>
      </c>
      <c r="J360" s="6" t="s">
        <v>1905</v>
      </c>
      <c r="K360" s="6" t="s">
        <v>106</v>
      </c>
      <c r="L360" s="6" t="s">
        <v>670</v>
      </c>
      <c r="M360" s="6" t="s">
        <v>1587</v>
      </c>
      <c r="N360" s="6" t="s">
        <v>17</v>
      </c>
      <c r="O360" s="6" t="s">
        <v>1588</v>
      </c>
      <c r="P360" t="s">
        <v>119</v>
      </c>
      <c r="Q360" s="25" t="s">
        <v>2112</v>
      </c>
    </row>
    <row r="361" spans="1:19" ht="14.4" hidden="1" x14ac:dyDescent="0.3">
      <c r="A361" s="5">
        <v>354</v>
      </c>
      <c r="B361" s="17" t="s">
        <v>1585</v>
      </c>
      <c r="C361" s="6">
        <v>1018431754</v>
      </c>
      <c r="D361" s="6">
        <f>COUNTIFS($C$8:C361,C361)</f>
        <v>2</v>
      </c>
      <c r="E361" s="6">
        <v>3192887080</v>
      </c>
      <c r="F361" s="6" t="s">
        <v>20</v>
      </c>
      <c r="G361" s="7" t="s">
        <v>20</v>
      </c>
      <c r="H361" s="7" t="s">
        <v>20</v>
      </c>
      <c r="I361" s="8" t="s">
        <v>1586</v>
      </c>
      <c r="J361" s="6" t="s">
        <v>1905</v>
      </c>
      <c r="K361" s="6" t="s">
        <v>115</v>
      </c>
      <c r="L361" s="6" t="s">
        <v>22</v>
      </c>
      <c r="M361" s="6" t="s">
        <v>1589</v>
      </c>
      <c r="N361" s="6" t="s">
        <v>129</v>
      </c>
      <c r="O361" s="6" t="s">
        <v>44</v>
      </c>
      <c r="P361" t="s">
        <v>119</v>
      </c>
      <c r="Q361" s="25" t="s">
        <v>2112</v>
      </c>
    </row>
    <row r="362" spans="1:19" ht="14.4" hidden="1" x14ac:dyDescent="0.3">
      <c r="A362" s="5">
        <v>355</v>
      </c>
      <c r="B362" s="17" t="s">
        <v>67</v>
      </c>
      <c r="C362" s="6">
        <v>1015466109</v>
      </c>
      <c r="D362" s="6">
        <f>COUNTIFS($C$8:C362,C362)</f>
        <v>1</v>
      </c>
      <c r="E362" s="6">
        <v>3057833039</v>
      </c>
      <c r="F362" s="12" t="s">
        <v>68</v>
      </c>
      <c r="G362" s="7">
        <v>46041</v>
      </c>
      <c r="H362" s="7">
        <v>46344</v>
      </c>
      <c r="I362" s="8" t="s">
        <v>1590</v>
      </c>
      <c r="J362" s="6" t="s">
        <v>256</v>
      </c>
      <c r="K362" s="6" t="s">
        <v>106</v>
      </c>
      <c r="L362" s="6" t="s">
        <v>1591</v>
      </c>
      <c r="M362" s="6" t="s">
        <v>1592</v>
      </c>
      <c r="N362" s="6" t="s">
        <v>17</v>
      </c>
      <c r="O362" s="6" t="s">
        <v>177</v>
      </c>
      <c r="P362" t="s">
        <v>125</v>
      </c>
      <c r="Q362" s="25" t="s">
        <v>2112</v>
      </c>
    </row>
    <row r="363" spans="1:19" ht="14.4" hidden="1" x14ac:dyDescent="0.3">
      <c r="A363" s="16">
        <v>356</v>
      </c>
      <c r="B363" s="17" t="s">
        <v>1593</v>
      </c>
      <c r="C363" s="6">
        <v>51975445</v>
      </c>
      <c r="D363" s="6">
        <f>COUNTIFS($C$8:C363,C363)</f>
        <v>1</v>
      </c>
      <c r="E363" s="6">
        <v>3144114734</v>
      </c>
      <c r="F363" s="6" t="s">
        <v>20</v>
      </c>
      <c r="G363" s="7" t="s">
        <v>20</v>
      </c>
      <c r="H363" s="7" t="s">
        <v>20</v>
      </c>
      <c r="I363" s="8" t="s">
        <v>1594</v>
      </c>
      <c r="J363" s="6" t="s">
        <v>270</v>
      </c>
      <c r="K363" s="6" t="s">
        <v>115</v>
      </c>
      <c r="L363" s="6" t="s">
        <v>1595</v>
      </c>
      <c r="M363" s="6" t="s">
        <v>1596</v>
      </c>
      <c r="N363" s="6" t="s">
        <v>17</v>
      </c>
      <c r="O363" s="6" t="s">
        <v>24</v>
      </c>
      <c r="P363" t="s">
        <v>119</v>
      </c>
      <c r="Q363" s="25" t="s">
        <v>2112</v>
      </c>
    </row>
    <row r="364" spans="1:19" ht="14.4" hidden="1" x14ac:dyDescent="0.3">
      <c r="A364" s="5">
        <v>357</v>
      </c>
      <c r="B364" s="17" t="s">
        <v>1597</v>
      </c>
      <c r="C364" s="6">
        <v>1075624493</v>
      </c>
      <c r="D364" s="6">
        <f>COUNTIFS($C$8:C364,C364)</f>
        <v>1</v>
      </c>
      <c r="E364" s="6">
        <v>3178933490</v>
      </c>
      <c r="F364" s="12" t="s">
        <v>1598</v>
      </c>
      <c r="G364" s="7">
        <v>46038</v>
      </c>
      <c r="H364" s="7">
        <v>46387</v>
      </c>
      <c r="I364" s="8" t="s">
        <v>1599</v>
      </c>
      <c r="J364" s="6" t="s">
        <v>500</v>
      </c>
      <c r="K364" s="6" t="s">
        <v>106</v>
      </c>
      <c r="L364" s="6" t="s">
        <v>1600</v>
      </c>
      <c r="M364" s="6" t="s">
        <v>1601</v>
      </c>
      <c r="N364" s="6" t="s">
        <v>17</v>
      </c>
      <c r="O364" s="6" t="s">
        <v>1602</v>
      </c>
      <c r="P364" t="s">
        <v>125</v>
      </c>
      <c r="Q364" s="25" t="s">
        <v>2112</v>
      </c>
    </row>
    <row r="365" spans="1:19" ht="14.4" hidden="1" x14ac:dyDescent="0.3">
      <c r="A365" s="5">
        <v>358</v>
      </c>
      <c r="B365" s="17" t="s">
        <v>1597</v>
      </c>
      <c r="C365" s="6">
        <v>1075624493</v>
      </c>
      <c r="D365" s="6">
        <f>COUNTIFS($C$8:C365,C365)</f>
        <v>2</v>
      </c>
      <c r="E365" s="6">
        <v>3178933490</v>
      </c>
      <c r="F365" s="12" t="s">
        <v>1598</v>
      </c>
      <c r="G365" s="7">
        <v>46038</v>
      </c>
      <c r="H365" s="7">
        <v>46387</v>
      </c>
      <c r="I365" s="8" t="s">
        <v>1599</v>
      </c>
      <c r="J365" s="6" t="s">
        <v>500</v>
      </c>
      <c r="K365" s="6" t="s">
        <v>143</v>
      </c>
      <c r="L365" s="6" t="s">
        <v>1603</v>
      </c>
      <c r="M365" s="6" t="s">
        <v>1604</v>
      </c>
      <c r="N365" s="6" t="s">
        <v>17</v>
      </c>
      <c r="O365" s="6" t="s">
        <v>1605</v>
      </c>
      <c r="P365" t="s">
        <v>125</v>
      </c>
      <c r="Q365" s="25" t="s">
        <v>2112</v>
      </c>
    </row>
    <row r="366" spans="1:19" ht="14.4" hidden="1" x14ac:dyDescent="0.3">
      <c r="A366" s="5">
        <v>359</v>
      </c>
      <c r="B366" s="17" t="s">
        <v>1606</v>
      </c>
      <c r="C366" s="6">
        <v>1013577285</v>
      </c>
      <c r="D366" s="6">
        <f>COUNTIFS($C$8:C366,C366)</f>
        <v>1</v>
      </c>
      <c r="E366" s="6">
        <v>3014438578</v>
      </c>
      <c r="F366" s="12" t="s">
        <v>1607</v>
      </c>
      <c r="G366" s="7">
        <v>46036</v>
      </c>
      <c r="H366" s="7">
        <v>46369</v>
      </c>
      <c r="I366" s="8" t="s">
        <v>1608</v>
      </c>
      <c r="J366" s="6" t="s">
        <v>587</v>
      </c>
      <c r="K366" s="6" t="s">
        <v>106</v>
      </c>
      <c r="L366" s="6" t="s">
        <v>1609</v>
      </c>
      <c r="M366" s="6" t="s">
        <v>1610</v>
      </c>
      <c r="N366" s="6" t="s">
        <v>17</v>
      </c>
      <c r="O366" s="6" t="s">
        <v>24</v>
      </c>
      <c r="P366" t="s">
        <v>125</v>
      </c>
      <c r="Q366" s="25" t="s">
        <v>2112</v>
      </c>
    </row>
    <row r="367" spans="1:19" ht="14.4" hidden="1" x14ac:dyDescent="0.3">
      <c r="A367" s="16">
        <v>360</v>
      </c>
      <c r="B367" s="17" t="s">
        <v>1606</v>
      </c>
      <c r="C367" s="6">
        <v>1013577285</v>
      </c>
      <c r="D367" s="6">
        <f>COUNTIFS($C$8:C367,C367)</f>
        <v>2</v>
      </c>
      <c r="E367" s="6">
        <v>3014438578</v>
      </c>
      <c r="F367" s="12" t="s">
        <v>1607</v>
      </c>
      <c r="G367" s="7">
        <v>46036</v>
      </c>
      <c r="H367" s="7">
        <v>46369</v>
      </c>
      <c r="I367" s="8" t="s">
        <v>1608</v>
      </c>
      <c r="J367" s="6" t="s">
        <v>587</v>
      </c>
      <c r="K367" s="6" t="s">
        <v>143</v>
      </c>
      <c r="L367" s="6" t="s">
        <v>1200</v>
      </c>
      <c r="M367" s="6" t="s">
        <v>1611</v>
      </c>
      <c r="N367" s="6" t="s">
        <v>17</v>
      </c>
      <c r="O367" s="6" t="s">
        <v>248</v>
      </c>
      <c r="P367" t="s">
        <v>125</v>
      </c>
      <c r="Q367" s="25" t="s">
        <v>2112</v>
      </c>
    </row>
    <row r="368" spans="1:19" ht="14.4" hidden="1" x14ac:dyDescent="0.3">
      <c r="A368" s="5">
        <v>361</v>
      </c>
      <c r="B368" s="17" t="s">
        <v>1612</v>
      </c>
      <c r="C368" s="6">
        <v>1018437843</v>
      </c>
      <c r="D368" s="6">
        <f>COUNTIFS($C$8:C368,C368)</f>
        <v>1</v>
      </c>
      <c r="E368" s="6">
        <v>3008072126</v>
      </c>
      <c r="F368" s="12" t="s">
        <v>1613</v>
      </c>
      <c r="G368" s="7">
        <v>46042</v>
      </c>
      <c r="H368" s="7">
        <v>46223</v>
      </c>
      <c r="I368" s="8" t="s">
        <v>1614</v>
      </c>
      <c r="J368" s="6" t="s">
        <v>1041</v>
      </c>
      <c r="K368" s="6" t="s">
        <v>143</v>
      </c>
      <c r="L368" s="6" t="s">
        <v>294</v>
      </c>
      <c r="M368" s="6" t="s">
        <v>1615</v>
      </c>
      <c r="N368" s="6" t="s">
        <v>253</v>
      </c>
      <c r="O368" s="6" t="s">
        <v>60</v>
      </c>
      <c r="P368" t="s">
        <v>125</v>
      </c>
      <c r="Q368" s="25" t="s">
        <v>2112</v>
      </c>
    </row>
    <row r="369" spans="1:17" ht="14.4" hidden="1" x14ac:dyDescent="0.3">
      <c r="A369" s="5">
        <v>362</v>
      </c>
      <c r="B369" s="17" t="s">
        <v>1612</v>
      </c>
      <c r="C369" s="6">
        <v>1018437843</v>
      </c>
      <c r="D369" s="6">
        <f>COUNTIFS($C$8:C369,C369)</f>
        <v>2</v>
      </c>
      <c r="E369" s="6">
        <v>3008072126</v>
      </c>
      <c r="F369" s="12" t="s">
        <v>1613</v>
      </c>
      <c r="G369" s="7">
        <v>46042</v>
      </c>
      <c r="H369" s="7">
        <v>46223</v>
      </c>
      <c r="I369" s="8" t="s">
        <v>1614</v>
      </c>
      <c r="J369" s="6" t="s">
        <v>1041</v>
      </c>
      <c r="K369" s="6" t="s">
        <v>80</v>
      </c>
      <c r="L369" s="6" t="s">
        <v>1616</v>
      </c>
      <c r="M369" s="6" t="s">
        <v>20</v>
      </c>
      <c r="N369" s="6" t="s">
        <v>129</v>
      </c>
      <c r="O369" s="6" t="s">
        <v>44</v>
      </c>
      <c r="P369" t="s">
        <v>125</v>
      </c>
      <c r="Q369" s="25" t="s">
        <v>2112</v>
      </c>
    </row>
    <row r="370" spans="1:17" ht="14.4" hidden="1" x14ac:dyDescent="0.3">
      <c r="A370" s="5">
        <v>363</v>
      </c>
      <c r="B370" s="17" t="s">
        <v>1617</v>
      </c>
      <c r="C370" s="6">
        <v>1010196411</v>
      </c>
      <c r="D370" s="6">
        <f>COUNTIFS($C$8:C370,C370)</f>
        <v>1</v>
      </c>
      <c r="E370" s="6">
        <v>3125945407</v>
      </c>
      <c r="F370" s="12" t="s">
        <v>1618</v>
      </c>
      <c r="G370" s="7">
        <v>46027</v>
      </c>
      <c r="H370" s="7">
        <v>46242</v>
      </c>
      <c r="I370" s="8" t="s">
        <v>1619</v>
      </c>
      <c r="J370" s="6" t="s">
        <v>1843</v>
      </c>
      <c r="K370" s="6" t="s">
        <v>115</v>
      </c>
      <c r="L370" s="6" t="s">
        <v>56</v>
      </c>
      <c r="M370" s="6" t="s">
        <v>1620</v>
      </c>
      <c r="N370" s="6" t="s">
        <v>17</v>
      </c>
      <c r="O370" s="6" t="s">
        <v>44</v>
      </c>
      <c r="P370" t="s">
        <v>125</v>
      </c>
      <c r="Q370" s="25" t="s">
        <v>2112</v>
      </c>
    </row>
    <row r="371" spans="1:17" ht="14.4" hidden="1" x14ac:dyDescent="0.3">
      <c r="A371" s="16">
        <v>364</v>
      </c>
      <c r="B371" s="17" t="s">
        <v>1621</v>
      </c>
      <c r="C371" s="6">
        <v>1010196411</v>
      </c>
      <c r="D371" s="6">
        <f>COUNTIFS($C$8:C371,C371)</f>
        <v>2</v>
      </c>
      <c r="E371" s="6">
        <v>3125945407</v>
      </c>
      <c r="F371" s="12" t="s">
        <v>1618</v>
      </c>
      <c r="G371" s="7">
        <v>46027</v>
      </c>
      <c r="H371" s="7">
        <v>46242</v>
      </c>
      <c r="I371" s="8" t="s">
        <v>1619</v>
      </c>
      <c r="J371" s="6" t="s">
        <v>1843</v>
      </c>
      <c r="K371" s="6" t="s">
        <v>155</v>
      </c>
      <c r="L371" s="6" t="s">
        <v>1622</v>
      </c>
      <c r="M371" s="6" t="s">
        <v>20</v>
      </c>
      <c r="N371" s="6" t="s">
        <v>129</v>
      </c>
      <c r="O371" s="6" t="s">
        <v>24</v>
      </c>
      <c r="P371" t="s">
        <v>125</v>
      </c>
      <c r="Q371" s="25" t="s">
        <v>2112</v>
      </c>
    </row>
    <row r="372" spans="1:17" ht="14.4" hidden="1" x14ac:dyDescent="0.3">
      <c r="A372" s="5">
        <v>365</v>
      </c>
      <c r="B372" s="17" t="s">
        <v>1623</v>
      </c>
      <c r="C372" s="6">
        <v>1015466109</v>
      </c>
      <c r="D372" s="6">
        <f>COUNTIFS($C$8:C372,C372)</f>
        <v>2</v>
      </c>
      <c r="E372" s="6">
        <v>3057833039</v>
      </c>
      <c r="F372" s="12" t="s">
        <v>68</v>
      </c>
      <c r="G372" s="7">
        <v>46041</v>
      </c>
      <c r="H372" s="7">
        <v>46344</v>
      </c>
      <c r="I372" s="8" t="s">
        <v>1590</v>
      </c>
      <c r="J372" s="6" t="s">
        <v>256</v>
      </c>
      <c r="K372" s="6" t="s">
        <v>115</v>
      </c>
      <c r="L372" s="6" t="s">
        <v>1624</v>
      </c>
      <c r="M372" s="6" t="s">
        <v>1625</v>
      </c>
      <c r="N372" s="6" t="s">
        <v>17</v>
      </c>
      <c r="O372" s="6" t="s">
        <v>725</v>
      </c>
      <c r="P372" t="s">
        <v>125</v>
      </c>
      <c r="Q372" s="25" t="s">
        <v>2112</v>
      </c>
    </row>
    <row r="373" spans="1:17" ht="14.4" hidden="1" x14ac:dyDescent="0.3">
      <c r="A373" s="5">
        <v>366</v>
      </c>
      <c r="B373" s="17" t="s">
        <v>1626</v>
      </c>
      <c r="C373" s="6">
        <v>1085296515</v>
      </c>
      <c r="D373" s="6">
        <f>COUNTIFS($C$8:C373,C373)</f>
        <v>1</v>
      </c>
      <c r="E373" s="6">
        <v>3017269448</v>
      </c>
      <c r="F373" s="6" t="s">
        <v>1627</v>
      </c>
      <c r="G373" s="7">
        <v>46036</v>
      </c>
      <c r="H373" s="7">
        <v>46216</v>
      </c>
      <c r="I373" s="8" t="s">
        <v>1628</v>
      </c>
      <c r="J373" s="17" t="s">
        <v>207</v>
      </c>
      <c r="K373" s="6" t="s">
        <v>115</v>
      </c>
      <c r="L373" s="6" t="s">
        <v>1629</v>
      </c>
      <c r="M373" s="6" t="s">
        <v>1630</v>
      </c>
      <c r="N373" s="6" t="s">
        <v>253</v>
      </c>
      <c r="O373" s="6" t="s">
        <v>1171</v>
      </c>
      <c r="P373" t="s">
        <v>125</v>
      </c>
      <c r="Q373" s="25" t="s">
        <v>2112</v>
      </c>
    </row>
    <row r="374" spans="1:17" ht="14.4" hidden="1" x14ac:dyDescent="0.3">
      <c r="A374" s="5">
        <v>367</v>
      </c>
      <c r="B374" s="17" t="s">
        <v>1626</v>
      </c>
      <c r="C374" s="6">
        <v>1085296515</v>
      </c>
      <c r="D374" s="6">
        <f>COUNTIFS($C$8:C374,C374)</f>
        <v>2</v>
      </c>
      <c r="E374" s="6">
        <v>3017269448</v>
      </c>
      <c r="F374" s="6" t="s">
        <v>1627</v>
      </c>
      <c r="G374" s="7">
        <v>46036</v>
      </c>
      <c r="H374" s="7">
        <v>46216</v>
      </c>
      <c r="I374" s="8" t="s">
        <v>1628</v>
      </c>
      <c r="J374" s="17" t="s">
        <v>207</v>
      </c>
      <c r="K374" s="6" t="s">
        <v>155</v>
      </c>
      <c r="L374" s="6" t="s">
        <v>1631</v>
      </c>
      <c r="M374" s="6" t="s">
        <v>20</v>
      </c>
      <c r="N374" s="6" t="s">
        <v>129</v>
      </c>
      <c r="O374" s="6" t="s">
        <v>24</v>
      </c>
      <c r="P374" t="s">
        <v>125</v>
      </c>
      <c r="Q374" s="25" t="s">
        <v>2112</v>
      </c>
    </row>
    <row r="375" spans="1:17" ht="14.4" hidden="1" x14ac:dyDescent="0.3">
      <c r="A375" s="16">
        <v>368</v>
      </c>
      <c r="B375" s="17" t="s">
        <v>1632</v>
      </c>
      <c r="C375" s="6">
        <v>52916779</v>
      </c>
      <c r="D375" s="6">
        <f>COUNTIFS($C$8:C375,C375)</f>
        <v>1</v>
      </c>
      <c r="E375" s="6">
        <v>3102877763</v>
      </c>
      <c r="F375" s="12" t="s">
        <v>1633</v>
      </c>
      <c r="G375" s="7">
        <v>46055</v>
      </c>
      <c r="H375" s="7">
        <v>46387</v>
      </c>
      <c r="I375" s="8" t="s">
        <v>1634</v>
      </c>
      <c r="J375" s="6" t="s">
        <v>500</v>
      </c>
      <c r="K375" s="6" t="s">
        <v>143</v>
      </c>
      <c r="L375" s="6" t="s">
        <v>22</v>
      </c>
      <c r="M375" s="6" t="s">
        <v>1635</v>
      </c>
      <c r="N375" s="6" t="s">
        <v>129</v>
      </c>
      <c r="O375" s="6" t="s">
        <v>66</v>
      </c>
      <c r="P375" t="s">
        <v>125</v>
      </c>
      <c r="Q375" s="25" t="s">
        <v>2112</v>
      </c>
    </row>
    <row r="376" spans="1:17" ht="14.4" hidden="1" x14ac:dyDescent="0.3">
      <c r="A376" s="5">
        <v>369</v>
      </c>
      <c r="B376" s="17" t="s">
        <v>1636</v>
      </c>
      <c r="C376" s="6">
        <v>79507738</v>
      </c>
      <c r="D376" s="6">
        <f>COUNTIFS($C$8:C376,C376)</f>
        <v>1</v>
      </c>
      <c r="E376" s="6">
        <v>3005566126</v>
      </c>
      <c r="F376" s="12" t="s">
        <v>1637</v>
      </c>
      <c r="G376" s="7">
        <v>46031</v>
      </c>
      <c r="H376" s="7">
        <v>46387</v>
      </c>
      <c r="I376" s="8" t="s">
        <v>1638</v>
      </c>
      <c r="J376" s="6" t="s">
        <v>201</v>
      </c>
      <c r="K376" s="6" t="s">
        <v>143</v>
      </c>
      <c r="L376" s="6" t="s">
        <v>1639</v>
      </c>
      <c r="M376" s="6" t="s">
        <v>1640</v>
      </c>
      <c r="N376" s="6" t="s">
        <v>17</v>
      </c>
      <c r="O376" s="6" t="s">
        <v>166</v>
      </c>
      <c r="P376" t="s">
        <v>125</v>
      </c>
      <c r="Q376" s="25" t="s">
        <v>2112</v>
      </c>
    </row>
    <row r="377" spans="1:17" ht="14.4" hidden="1" x14ac:dyDescent="0.3">
      <c r="A377" s="5">
        <v>370</v>
      </c>
      <c r="B377" s="17" t="s">
        <v>1641</v>
      </c>
      <c r="C377" s="6">
        <v>79645809</v>
      </c>
      <c r="D377" s="6">
        <f>COUNTIFS($C$8:C377,C377)</f>
        <v>1</v>
      </c>
      <c r="E377" s="6">
        <v>3212563770</v>
      </c>
      <c r="F377" s="12" t="s">
        <v>1642</v>
      </c>
      <c r="G377" s="7">
        <v>46041</v>
      </c>
      <c r="H377" s="7">
        <v>46387</v>
      </c>
      <c r="I377" s="8" t="s">
        <v>1643</v>
      </c>
      <c r="J377" s="6" t="s">
        <v>325</v>
      </c>
      <c r="K377" s="6" t="s">
        <v>143</v>
      </c>
      <c r="L377" s="6" t="s">
        <v>164</v>
      </c>
      <c r="M377" s="6" t="s">
        <v>1644</v>
      </c>
      <c r="N377" s="6" t="s">
        <v>17</v>
      </c>
      <c r="O377" s="6" t="s">
        <v>52</v>
      </c>
      <c r="P377" t="s">
        <v>125</v>
      </c>
      <c r="Q377" s="25" t="s">
        <v>2112</v>
      </c>
    </row>
    <row r="378" spans="1:17" ht="14.4" hidden="1" x14ac:dyDescent="0.3">
      <c r="A378" s="5">
        <v>371</v>
      </c>
      <c r="B378" s="17" t="s">
        <v>1641</v>
      </c>
      <c r="C378" s="6">
        <v>79645809</v>
      </c>
      <c r="D378" s="6">
        <f>COUNTIFS($C$8:C378,C378)</f>
        <v>2</v>
      </c>
      <c r="E378" s="6">
        <v>3212563770</v>
      </c>
      <c r="F378" s="12" t="s">
        <v>1642</v>
      </c>
      <c r="G378" s="7">
        <v>46041</v>
      </c>
      <c r="H378" s="7">
        <v>46387</v>
      </c>
      <c r="I378" s="8" t="s">
        <v>1643</v>
      </c>
      <c r="J378" s="6" t="s">
        <v>325</v>
      </c>
      <c r="K378" s="6" t="s">
        <v>106</v>
      </c>
      <c r="L378" s="6" t="s">
        <v>276</v>
      </c>
      <c r="M378" s="6" t="s">
        <v>1645</v>
      </c>
      <c r="N378" s="6" t="s">
        <v>17</v>
      </c>
      <c r="O378" s="6" t="s">
        <v>1646</v>
      </c>
      <c r="P378" t="s">
        <v>125</v>
      </c>
      <c r="Q378" s="25" t="s">
        <v>2112</v>
      </c>
    </row>
    <row r="379" spans="1:17" ht="14.4" hidden="1" x14ac:dyDescent="0.3">
      <c r="A379" s="16">
        <v>372</v>
      </c>
      <c r="B379" s="17" t="s">
        <v>1641</v>
      </c>
      <c r="C379" s="6">
        <v>79645809</v>
      </c>
      <c r="D379" s="6">
        <f>COUNTIFS($C$8:C379,C379)</f>
        <v>3</v>
      </c>
      <c r="E379" s="6">
        <v>3212563770</v>
      </c>
      <c r="F379" s="12" t="s">
        <v>1642</v>
      </c>
      <c r="G379" s="7">
        <v>46041</v>
      </c>
      <c r="H379" s="7">
        <v>46387</v>
      </c>
      <c r="I379" s="8" t="s">
        <v>1643</v>
      </c>
      <c r="J379" s="6" t="s">
        <v>325</v>
      </c>
      <c r="K379" s="6" t="s">
        <v>80</v>
      </c>
      <c r="L379" s="6" t="s">
        <v>1647</v>
      </c>
      <c r="M379" s="6" t="s">
        <v>20</v>
      </c>
      <c r="N379" s="6" t="s">
        <v>80</v>
      </c>
      <c r="O379" s="6" t="s">
        <v>18</v>
      </c>
      <c r="P379" t="s">
        <v>125</v>
      </c>
      <c r="Q379" s="25" t="s">
        <v>2112</v>
      </c>
    </row>
    <row r="380" spans="1:17" ht="14.4" hidden="1" x14ac:dyDescent="0.3">
      <c r="A380" s="5">
        <v>373</v>
      </c>
      <c r="B380" s="17" t="s">
        <v>1549</v>
      </c>
      <c r="C380" s="6">
        <v>79652526</v>
      </c>
      <c r="D380" s="6">
        <f>COUNTIFS($C$8:C380,C380)</f>
        <v>2</v>
      </c>
      <c r="E380" s="6">
        <v>3108160084</v>
      </c>
      <c r="F380" s="6" t="s">
        <v>1550</v>
      </c>
      <c r="G380" s="7">
        <v>46045</v>
      </c>
      <c r="H380" s="7">
        <v>46348</v>
      </c>
      <c r="I380" s="8" t="s">
        <v>1551</v>
      </c>
      <c r="J380" s="6" t="s">
        <v>270</v>
      </c>
      <c r="K380" s="6" t="s">
        <v>106</v>
      </c>
      <c r="L380" s="6" t="s">
        <v>805</v>
      </c>
      <c r="M380" s="6" t="s">
        <v>1648</v>
      </c>
      <c r="N380" s="6" t="s">
        <v>17</v>
      </c>
      <c r="O380" s="6" t="s">
        <v>24</v>
      </c>
      <c r="P380" t="s">
        <v>125</v>
      </c>
      <c r="Q380" s="25" t="s">
        <v>2112</v>
      </c>
    </row>
    <row r="381" spans="1:17" ht="14.4" hidden="1" x14ac:dyDescent="0.3">
      <c r="A381" s="5">
        <v>374</v>
      </c>
      <c r="B381" s="17" t="s">
        <v>1649</v>
      </c>
      <c r="C381" s="6">
        <v>79652526</v>
      </c>
      <c r="D381" s="6">
        <f>COUNTIFS($C$8:C381,C381)</f>
        <v>3</v>
      </c>
      <c r="E381" s="6">
        <v>3108160084</v>
      </c>
      <c r="F381" s="6" t="s">
        <v>1550</v>
      </c>
      <c r="G381" s="7">
        <v>46045</v>
      </c>
      <c r="H381" s="7">
        <v>46348</v>
      </c>
      <c r="I381" s="8" t="s">
        <v>1551</v>
      </c>
      <c r="J381" s="6" t="s">
        <v>270</v>
      </c>
      <c r="K381" s="6" t="s">
        <v>80</v>
      </c>
      <c r="L381" s="6" t="s">
        <v>1650</v>
      </c>
      <c r="M381" s="6" t="s">
        <v>20</v>
      </c>
      <c r="N381" s="6" t="s">
        <v>80</v>
      </c>
      <c r="O381" s="6" t="s">
        <v>134</v>
      </c>
      <c r="P381" t="s">
        <v>125</v>
      </c>
      <c r="Q381" s="25" t="s">
        <v>2112</v>
      </c>
    </row>
    <row r="382" spans="1:17" ht="14.4" hidden="1" x14ac:dyDescent="0.3">
      <c r="A382" s="5">
        <v>375</v>
      </c>
      <c r="B382" s="17" t="s">
        <v>1651</v>
      </c>
      <c r="C382" s="6">
        <v>1014307682</v>
      </c>
      <c r="D382" s="6">
        <f>COUNTIFS($C$8:C382,C382)</f>
        <v>1</v>
      </c>
      <c r="E382" s="6">
        <v>3044372347</v>
      </c>
      <c r="F382" s="6" t="s">
        <v>1652</v>
      </c>
      <c r="G382" s="7">
        <v>46042</v>
      </c>
      <c r="H382" s="7">
        <v>46387</v>
      </c>
      <c r="I382" s="8" t="s">
        <v>1653</v>
      </c>
      <c r="J382" s="6" t="s">
        <v>201</v>
      </c>
      <c r="K382" s="6" t="s">
        <v>115</v>
      </c>
      <c r="L382" s="6" t="s">
        <v>1333</v>
      </c>
      <c r="M382" s="6" t="s">
        <v>1654</v>
      </c>
      <c r="N382" s="6" t="s">
        <v>17</v>
      </c>
      <c r="O382" s="6" t="s">
        <v>44</v>
      </c>
      <c r="P382" t="s">
        <v>125</v>
      </c>
      <c r="Q382" s="25" t="s">
        <v>2112</v>
      </c>
    </row>
    <row r="383" spans="1:17" ht="14.4" hidden="1" x14ac:dyDescent="0.3">
      <c r="A383" s="16">
        <v>376</v>
      </c>
      <c r="B383" s="17" t="s">
        <v>1655</v>
      </c>
      <c r="C383" s="6">
        <v>1023010822</v>
      </c>
      <c r="D383" s="6">
        <f>COUNTIFS($C$8:C383,C383)</f>
        <v>1</v>
      </c>
      <c r="E383" s="6">
        <v>3195746054</v>
      </c>
      <c r="F383" s="6" t="s">
        <v>1656</v>
      </c>
      <c r="G383" s="7">
        <v>46055</v>
      </c>
      <c r="H383" s="7">
        <v>46387</v>
      </c>
      <c r="I383" s="8" t="s">
        <v>1657</v>
      </c>
      <c r="J383" s="6" t="s">
        <v>500</v>
      </c>
      <c r="K383" s="6" t="s">
        <v>143</v>
      </c>
      <c r="L383" s="6" t="s">
        <v>214</v>
      </c>
      <c r="M383" s="6" t="s">
        <v>1658</v>
      </c>
      <c r="N383" s="6" t="s">
        <v>17</v>
      </c>
      <c r="O383" s="6" t="s">
        <v>1083</v>
      </c>
      <c r="P383" t="s">
        <v>125</v>
      </c>
      <c r="Q383" s="25" t="s">
        <v>2112</v>
      </c>
    </row>
    <row r="384" spans="1:17" ht="14.4" hidden="1" x14ac:dyDescent="0.3">
      <c r="A384" s="5">
        <v>377</v>
      </c>
      <c r="B384" s="17" t="s">
        <v>19</v>
      </c>
      <c r="C384" s="6">
        <v>79751974</v>
      </c>
      <c r="D384" s="6">
        <f>COUNTIFS($C$8:C384,C384)</f>
        <v>2</v>
      </c>
      <c r="E384" s="6">
        <v>3108061470</v>
      </c>
      <c r="F384" s="6" t="s">
        <v>20</v>
      </c>
      <c r="G384" s="7" t="s">
        <v>20</v>
      </c>
      <c r="H384" s="7" t="s">
        <v>20</v>
      </c>
      <c r="I384" s="8" t="s">
        <v>21</v>
      </c>
      <c r="J384" s="6" t="s">
        <v>434</v>
      </c>
      <c r="K384" s="6" t="s">
        <v>143</v>
      </c>
      <c r="L384" s="6" t="s">
        <v>132</v>
      </c>
      <c r="M384" s="6" t="s">
        <v>1659</v>
      </c>
      <c r="N384" s="6" t="s">
        <v>17</v>
      </c>
      <c r="O384" s="6" t="s">
        <v>30</v>
      </c>
      <c r="P384" t="s">
        <v>119</v>
      </c>
      <c r="Q384" s="25" t="s">
        <v>2112</v>
      </c>
    </row>
    <row r="385" spans="1:17" ht="14.4" hidden="1" x14ac:dyDescent="0.3">
      <c r="A385" s="5">
        <v>378</v>
      </c>
      <c r="B385" s="17" t="s">
        <v>1660</v>
      </c>
      <c r="C385" s="6">
        <v>79334791</v>
      </c>
      <c r="D385" s="6">
        <f>COUNTIFS($C$8:C385,C385)</f>
        <v>1</v>
      </c>
      <c r="E385" s="6">
        <v>3105537440</v>
      </c>
      <c r="F385" s="6" t="s">
        <v>20</v>
      </c>
      <c r="G385" s="7" t="s">
        <v>20</v>
      </c>
      <c r="H385" s="7" t="s">
        <v>20</v>
      </c>
      <c r="I385" s="8" t="s">
        <v>1661</v>
      </c>
      <c r="J385" s="6" t="s">
        <v>434</v>
      </c>
      <c r="K385" s="6" t="s">
        <v>115</v>
      </c>
      <c r="L385" s="6" t="s">
        <v>1662</v>
      </c>
      <c r="M385" s="6" t="s">
        <v>1663</v>
      </c>
      <c r="N385" s="6" t="s">
        <v>17</v>
      </c>
      <c r="O385" s="6" t="s">
        <v>18</v>
      </c>
      <c r="P385" s="10" t="s">
        <v>119</v>
      </c>
      <c r="Q385" s="25" t="s">
        <v>2112</v>
      </c>
    </row>
    <row r="386" spans="1:17" ht="14.4" hidden="1" x14ac:dyDescent="0.3">
      <c r="A386" s="5">
        <v>379</v>
      </c>
      <c r="B386" s="17" t="s">
        <v>1569</v>
      </c>
      <c r="C386" s="6">
        <v>80075631</v>
      </c>
      <c r="D386" s="6">
        <f>COUNTIFS($C$8:C386,C386)</f>
        <v>3</v>
      </c>
      <c r="E386" s="6">
        <v>3017960778</v>
      </c>
      <c r="F386" s="12" t="s">
        <v>1570</v>
      </c>
      <c r="G386" s="7">
        <v>46042</v>
      </c>
      <c r="H386" s="7">
        <v>46375</v>
      </c>
      <c r="I386" s="8" t="s">
        <v>1571</v>
      </c>
      <c r="J386" s="6" t="s">
        <v>587</v>
      </c>
      <c r="K386" s="6" t="s">
        <v>80</v>
      </c>
      <c r="L386" s="6" t="s">
        <v>550</v>
      </c>
      <c r="M386" s="6" t="s">
        <v>20</v>
      </c>
      <c r="N386" s="6" t="s">
        <v>80</v>
      </c>
      <c r="O386" s="6" t="s">
        <v>1664</v>
      </c>
      <c r="P386" t="s">
        <v>125</v>
      </c>
      <c r="Q386" s="25" t="s">
        <v>2112</v>
      </c>
    </row>
    <row r="387" spans="1:17" ht="14.4" hidden="1" x14ac:dyDescent="0.3">
      <c r="A387" s="16">
        <v>380</v>
      </c>
      <c r="B387" s="17" t="s">
        <v>1665</v>
      </c>
      <c r="C387" s="6">
        <v>79553690</v>
      </c>
      <c r="D387" s="6">
        <f>COUNTIFS($C$8:C387,C387)</f>
        <v>1</v>
      </c>
      <c r="E387" s="6">
        <v>3164725782</v>
      </c>
      <c r="F387" s="6" t="s">
        <v>20</v>
      </c>
      <c r="G387" s="7" t="s">
        <v>20</v>
      </c>
      <c r="H387" s="7" t="s">
        <v>20</v>
      </c>
      <c r="I387" s="8" t="s">
        <v>1666</v>
      </c>
      <c r="J387" s="17" t="s">
        <v>1667</v>
      </c>
      <c r="K387" s="6" t="s">
        <v>115</v>
      </c>
      <c r="L387" s="6" t="s">
        <v>1668</v>
      </c>
      <c r="M387" s="6" t="s">
        <v>1669</v>
      </c>
      <c r="N387" s="6" t="s">
        <v>129</v>
      </c>
      <c r="O387" s="6" t="s">
        <v>38</v>
      </c>
      <c r="P387" t="s">
        <v>119</v>
      </c>
      <c r="Q387" s="25" t="s">
        <v>2112</v>
      </c>
    </row>
    <row r="388" spans="1:17" ht="14.4" hidden="1" x14ac:dyDescent="0.3">
      <c r="A388" s="5">
        <v>381</v>
      </c>
      <c r="B388" s="17" t="s">
        <v>1665</v>
      </c>
      <c r="C388" s="6">
        <v>79553690</v>
      </c>
      <c r="D388" s="6">
        <f>COUNTIFS($C$8:C388,C388)</f>
        <v>2</v>
      </c>
      <c r="E388" s="6">
        <v>3164725782</v>
      </c>
      <c r="F388" s="6" t="s">
        <v>20</v>
      </c>
      <c r="G388" s="7" t="s">
        <v>20</v>
      </c>
      <c r="H388" s="7" t="s">
        <v>20</v>
      </c>
      <c r="I388" s="8" t="s">
        <v>1666</v>
      </c>
      <c r="J388" s="17" t="s">
        <v>1667</v>
      </c>
      <c r="K388" s="6" t="s">
        <v>115</v>
      </c>
      <c r="L388" s="6" t="s">
        <v>1374</v>
      </c>
      <c r="M388" s="6" t="s">
        <v>1670</v>
      </c>
      <c r="N388" s="6" t="s">
        <v>129</v>
      </c>
      <c r="O388" s="6" t="s">
        <v>66</v>
      </c>
      <c r="P388" t="s">
        <v>119</v>
      </c>
      <c r="Q388" s="25" t="s">
        <v>2112</v>
      </c>
    </row>
    <row r="389" spans="1:17" ht="14.4" hidden="1" x14ac:dyDescent="0.3">
      <c r="A389" s="5">
        <v>382</v>
      </c>
      <c r="B389" s="17" t="s">
        <v>1458</v>
      </c>
      <c r="C389" s="6">
        <v>79941715</v>
      </c>
      <c r="D389" s="6">
        <f>COUNTIFS($C$8:C389,C389)</f>
        <v>2</v>
      </c>
      <c r="E389" s="6">
        <v>3002063453</v>
      </c>
      <c r="F389" s="6" t="s">
        <v>1459</v>
      </c>
      <c r="G389" s="7">
        <v>46038</v>
      </c>
      <c r="H389" s="7">
        <v>46387</v>
      </c>
      <c r="I389" s="8" t="s">
        <v>1460</v>
      </c>
      <c r="J389" s="6" t="s">
        <v>201</v>
      </c>
      <c r="K389" s="6" t="s">
        <v>115</v>
      </c>
      <c r="L389" s="6" t="s">
        <v>123</v>
      </c>
      <c r="M389" s="6" t="s">
        <v>1671</v>
      </c>
      <c r="N389" s="6" t="s">
        <v>17</v>
      </c>
      <c r="O389" s="6" t="s">
        <v>24</v>
      </c>
      <c r="P389" t="s">
        <v>125</v>
      </c>
      <c r="Q389" s="25" t="s">
        <v>2112</v>
      </c>
    </row>
    <row r="390" spans="1:17" ht="14.4" hidden="1" x14ac:dyDescent="0.3">
      <c r="A390" s="5">
        <v>383</v>
      </c>
      <c r="B390" s="17" t="s">
        <v>1672</v>
      </c>
      <c r="C390" s="6">
        <v>79756400</v>
      </c>
      <c r="D390" s="6">
        <f>COUNTIFS($C$8:C390,C390)</f>
        <v>1</v>
      </c>
      <c r="E390" s="6">
        <v>3505400355</v>
      </c>
      <c r="F390" s="6" t="s">
        <v>2104</v>
      </c>
      <c r="G390" s="7">
        <v>46106</v>
      </c>
      <c r="H390" s="7">
        <v>46387</v>
      </c>
      <c r="I390" s="8" t="s">
        <v>1673</v>
      </c>
      <c r="J390" s="6" t="s">
        <v>1338</v>
      </c>
      <c r="K390" s="6" t="s">
        <v>143</v>
      </c>
      <c r="L390" s="6" t="s">
        <v>58</v>
      </c>
      <c r="M390" s="6" t="s">
        <v>1674</v>
      </c>
      <c r="N390" s="6" t="s">
        <v>17</v>
      </c>
      <c r="O390" s="6" t="s">
        <v>60</v>
      </c>
      <c r="P390" t="s">
        <v>125</v>
      </c>
      <c r="Q390" s="25" t="s">
        <v>2112</v>
      </c>
    </row>
    <row r="391" spans="1:17" ht="14.4" hidden="1" x14ac:dyDescent="0.3">
      <c r="A391" s="16">
        <v>384</v>
      </c>
      <c r="B391" s="17" t="s">
        <v>1675</v>
      </c>
      <c r="C391" s="6">
        <v>80135858</v>
      </c>
      <c r="D391" s="6">
        <f>COUNTIFS($C$8:C391,C391)</f>
        <v>1</v>
      </c>
      <c r="E391" s="6">
        <v>3138863236</v>
      </c>
      <c r="F391" s="6" t="s">
        <v>1676</v>
      </c>
      <c r="G391" s="7">
        <v>46031</v>
      </c>
      <c r="H391" s="7">
        <v>46387</v>
      </c>
      <c r="I391" s="8" t="s">
        <v>1677</v>
      </c>
      <c r="J391" s="17" t="s">
        <v>299</v>
      </c>
      <c r="K391" s="6" t="s">
        <v>143</v>
      </c>
      <c r="L391" s="6" t="s">
        <v>1678</v>
      </c>
      <c r="M391" s="6" t="s">
        <v>1679</v>
      </c>
      <c r="N391" s="6" t="s">
        <v>129</v>
      </c>
      <c r="O391" s="6" t="s">
        <v>1680</v>
      </c>
      <c r="P391" t="s">
        <v>125</v>
      </c>
      <c r="Q391" s="25" t="s">
        <v>2112</v>
      </c>
    </row>
    <row r="392" spans="1:17" ht="14.4" hidden="1" x14ac:dyDescent="0.3">
      <c r="A392" s="5">
        <v>385</v>
      </c>
      <c r="B392" s="17" t="s">
        <v>1681</v>
      </c>
      <c r="C392" s="6">
        <v>79841486</v>
      </c>
      <c r="D392" s="6">
        <f>COUNTIFS($C$8:C392,C392)</f>
        <v>1</v>
      </c>
      <c r="E392" s="6">
        <v>3118912104</v>
      </c>
      <c r="F392" s="6" t="s">
        <v>1682</v>
      </c>
      <c r="G392" s="7">
        <v>46045</v>
      </c>
      <c r="H392" s="7">
        <v>46225</v>
      </c>
      <c r="I392" s="8" t="s">
        <v>1683</v>
      </c>
      <c r="J392" s="17" t="s">
        <v>1041</v>
      </c>
      <c r="K392" s="6" t="s">
        <v>115</v>
      </c>
      <c r="L392" s="6" t="s">
        <v>304</v>
      </c>
      <c r="M392" s="6" t="s">
        <v>1684</v>
      </c>
      <c r="N392" s="6" t="s">
        <v>17</v>
      </c>
      <c r="O392" s="6" t="s">
        <v>34</v>
      </c>
      <c r="P392" t="s">
        <v>125</v>
      </c>
      <c r="Q392" s="25" t="s">
        <v>2112</v>
      </c>
    </row>
    <row r="393" spans="1:17" ht="14.4" hidden="1" x14ac:dyDescent="0.3">
      <c r="A393" s="5">
        <v>386</v>
      </c>
      <c r="B393" s="17" t="s">
        <v>1685</v>
      </c>
      <c r="C393" s="6">
        <v>79316881</v>
      </c>
      <c r="D393" s="6">
        <f>COUNTIFS($C$8:C393,C393)</f>
        <v>1</v>
      </c>
      <c r="E393" s="6">
        <v>3158688113</v>
      </c>
      <c r="F393" s="6" t="s">
        <v>740</v>
      </c>
      <c r="G393" s="7">
        <v>46044</v>
      </c>
      <c r="H393" s="7">
        <v>46387</v>
      </c>
      <c r="I393" s="8" t="s">
        <v>1686</v>
      </c>
      <c r="J393" s="6" t="s">
        <v>434</v>
      </c>
      <c r="K393" s="6" t="s">
        <v>115</v>
      </c>
      <c r="L393" s="6" t="s">
        <v>1465</v>
      </c>
      <c r="M393" s="6" t="s">
        <v>1687</v>
      </c>
      <c r="N393" s="6" t="s">
        <v>17</v>
      </c>
      <c r="O393" s="6" t="s">
        <v>60</v>
      </c>
      <c r="P393" t="s">
        <v>125</v>
      </c>
      <c r="Q393" s="25" t="s">
        <v>2112</v>
      </c>
    </row>
    <row r="394" spans="1:17" ht="14.4" hidden="1" x14ac:dyDescent="0.3">
      <c r="A394" s="5">
        <v>387</v>
      </c>
      <c r="B394" s="17" t="s">
        <v>1688</v>
      </c>
      <c r="C394" s="6">
        <v>80202549</v>
      </c>
      <c r="D394" s="6">
        <f>COUNTIFS($C$8:C394,C394)</f>
        <v>1</v>
      </c>
      <c r="E394" s="6">
        <v>3147420641</v>
      </c>
      <c r="F394" s="6" t="s">
        <v>1689</v>
      </c>
      <c r="G394" s="7">
        <v>46050</v>
      </c>
      <c r="H394" s="7">
        <v>46387</v>
      </c>
      <c r="I394" s="8" t="s">
        <v>1690</v>
      </c>
      <c r="J394" s="6" t="s">
        <v>201</v>
      </c>
      <c r="K394" s="6" t="s">
        <v>143</v>
      </c>
      <c r="L394" s="6" t="s">
        <v>75</v>
      </c>
      <c r="M394" s="6" t="s">
        <v>1691</v>
      </c>
      <c r="N394" s="6" t="s">
        <v>17</v>
      </c>
      <c r="O394" s="6" t="s">
        <v>60</v>
      </c>
      <c r="P394" t="s">
        <v>125</v>
      </c>
      <c r="Q394" s="25" t="s">
        <v>2112</v>
      </c>
    </row>
    <row r="395" spans="1:17" ht="14.4" hidden="1" x14ac:dyDescent="0.3">
      <c r="A395" s="16">
        <v>388</v>
      </c>
      <c r="B395" s="17" t="s">
        <v>1692</v>
      </c>
      <c r="C395" s="6">
        <v>1110466592</v>
      </c>
      <c r="D395" s="6">
        <f>COUNTIFS($C$8:C395,C395)</f>
        <v>1</v>
      </c>
      <c r="E395" s="6">
        <v>3013380694</v>
      </c>
      <c r="F395" s="6" t="s">
        <v>1693</v>
      </c>
      <c r="G395" s="7">
        <v>46035</v>
      </c>
      <c r="H395" s="7">
        <v>46387</v>
      </c>
      <c r="I395" s="8" t="s">
        <v>1694</v>
      </c>
      <c r="J395" s="6" t="s">
        <v>500</v>
      </c>
      <c r="K395" s="6" t="s">
        <v>143</v>
      </c>
      <c r="L395" s="6" t="s">
        <v>64</v>
      </c>
      <c r="M395" s="6" t="s">
        <v>1695</v>
      </c>
      <c r="N395" s="6" t="s">
        <v>253</v>
      </c>
      <c r="O395" s="6" t="s">
        <v>66</v>
      </c>
      <c r="P395" t="s">
        <v>125</v>
      </c>
      <c r="Q395" s="25" t="s">
        <v>2112</v>
      </c>
    </row>
    <row r="396" spans="1:17" ht="14.4" hidden="1" x14ac:dyDescent="0.3">
      <c r="A396" s="5">
        <v>389</v>
      </c>
      <c r="B396" s="17" t="s">
        <v>1696</v>
      </c>
      <c r="C396" s="6">
        <v>19272805</v>
      </c>
      <c r="D396" s="6">
        <f>COUNTIFS($C$8:C396,C396)</f>
        <v>1</v>
      </c>
      <c r="E396" s="6">
        <v>3124177877</v>
      </c>
      <c r="F396" s="6" t="s">
        <v>20</v>
      </c>
      <c r="G396" s="7" t="s">
        <v>20</v>
      </c>
      <c r="H396" s="7" t="s">
        <v>20</v>
      </c>
      <c r="I396" s="8" t="s">
        <v>1697</v>
      </c>
      <c r="J396" s="6" t="s">
        <v>1698</v>
      </c>
      <c r="K396" s="6" t="s">
        <v>143</v>
      </c>
      <c r="L396" s="6" t="s">
        <v>491</v>
      </c>
      <c r="M396" s="6" t="s">
        <v>1699</v>
      </c>
      <c r="N396" s="6" t="s">
        <v>17</v>
      </c>
      <c r="O396" s="6" t="s">
        <v>66</v>
      </c>
      <c r="P396" t="s">
        <v>1280</v>
      </c>
      <c r="Q396" s="25" t="s">
        <v>2112</v>
      </c>
    </row>
    <row r="397" spans="1:17" ht="14.4" hidden="1" x14ac:dyDescent="0.3">
      <c r="A397" s="5">
        <v>390</v>
      </c>
      <c r="B397" s="17" t="s">
        <v>1700</v>
      </c>
      <c r="C397" s="6">
        <v>52308946</v>
      </c>
      <c r="D397" s="6">
        <f>COUNTIFS($C$8:C397,C397)</f>
        <v>1</v>
      </c>
      <c r="E397" s="6">
        <v>3228970040</v>
      </c>
      <c r="F397" s="6" t="s">
        <v>20</v>
      </c>
      <c r="G397" s="7" t="s">
        <v>20</v>
      </c>
      <c r="H397" s="7" t="s">
        <v>20</v>
      </c>
      <c r="I397" s="8" t="s">
        <v>1701</v>
      </c>
      <c r="J397" s="6" t="s">
        <v>1702</v>
      </c>
      <c r="K397" s="6" t="s">
        <v>106</v>
      </c>
      <c r="L397" s="6" t="s">
        <v>1703</v>
      </c>
      <c r="M397" s="6" t="s">
        <v>1704</v>
      </c>
      <c r="N397" s="6" t="s">
        <v>17</v>
      </c>
      <c r="O397" s="6" t="s">
        <v>18</v>
      </c>
      <c r="P397" t="s">
        <v>1280</v>
      </c>
      <c r="Q397" s="25" t="s">
        <v>2112</v>
      </c>
    </row>
    <row r="398" spans="1:17" ht="14.4" hidden="1" x14ac:dyDescent="0.3">
      <c r="A398" s="5">
        <v>391</v>
      </c>
      <c r="B398" s="17" t="s">
        <v>1705</v>
      </c>
      <c r="C398" s="6">
        <v>1031166153</v>
      </c>
      <c r="D398" s="6">
        <f>COUNTIFS($C$8:C398,C398)</f>
        <v>1</v>
      </c>
      <c r="E398" s="6">
        <v>3044630215</v>
      </c>
      <c r="F398" s="6" t="s">
        <v>20</v>
      </c>
      <c r="G398" s="7" t="s">
        <v>20</v>
      </c>
      <c r="H398" s="7" t="s">
        <v>20</v>
      </c>
      <c r="I398" s="8" t="s">
        <v>1706</v>
      </c>
      <c r="J398" s="6" t="s">
        <v>1702</v>
      </c>
      <c r="K398" s="6" t="s">
        <v>106</v>
      </c>
      <c r="L398" s="6" t="s">
        <v>1707</v>
      </c>
      <c r="M398" s="6" t="s">
        <v>1708</v>
      </c>
      <c r="N398" s="6" t="s">
        <v>17</v>
      </c>
      <c r="O398" s="6" t="s">
        <v>18</v>
      </c>
      <c r="P398" t="s">
        <v>1280</v>
      </c>
      <c r="Q398" s="25" t="s">
        <v>2112</v>
      </c>
    </row>
    <row r="399" spans="1:17" ht="14.4" hidden="1" x14ac:dyDescent="0.3">
      <c r="A399" s="16">
        <v>392</v>
      </c>
      <c r="B399" s="17" t="s">
        <v>1709</v>
      </c>
      <c r="C399" s="6">
        <v>91523898</v>
      </c>
      <c r="D399" s="6">
        <f>COUNTIFS($C$8:C399,C399)</f>
        <v>1</v>
      </c>
      <c r="E399" s="6">
        <v>3166972207</v>
      </c>
      <c r="F399" s="6" t="s">
        <v>20</v>
      </c>
      <c r="G399" s="7" t="s">
        <v>20</v>
      </c>
      <c r="H399" s="7" t="s">
        <v>20</v>
      </c>
      <c r="I399" s="8" t="s">
        <v>1710</v>
      </c>
      <c r="J399" s="6" t="s">
        <v>1698</v>
      </c>
      <c r="K399" s="6" t="s">
        <v>143</v>
      </c>
      <c r="L399" s="6" t="s">
        <v>64</v>
      </c>
      <c r="M399" s="6" t="s">
        <v>1711</v>
      </c>
      <c r="N399" s="6" t="s">
        <v>17</v>
      </c>
      <c r="O399" s="6" t="s">
        <v>60</v>
      </c>
      <c r="P399" t="s">
        <v>1280</v>
      </c>
      <c r="Q399" s="25" t="s">
        <v>2112</v>
      </c>
    </row>
    <row r="400" spans="1:17" ht="14.4" hidden="1" x14ac:dyDescent="0.3">
      <c r="A400" s="5">
        <v>393</v>
      </c>
      <c r="B400" s="17" t="s">
        <v>1521</v>
      </c>
      <c r="C400" s="6">
        <v>32798171</v>
      </c>
      <c r="D400" s="6">
        <f>COUNTIFS($C$8:C400,C400)</f>
        <v>2</v>
      </c>
      <c r="E400" s="6">
        <v>3212596174</v>
      </c>
      <c r="F400" s="6" t="s">
        <v>20</v>
      </c>
      <c r="G400" s="7" t="s">
        <v>20</v>
      </c>
      <c r="H400" s="7" t="s">
        <v>20</v>
      </c>
      <c r="I400" s="8" t="s">
        <v>1522</v>
      </c>
      <c r="J400" s="6" t="s">
        <v>270</v>
      </c>
      <c r="K400" s="6" t="s">
        <v>115</v>
      </c>
      <c r="L400" s="6" t="s">
        <v>22</v>
      </c>
      <c r="M400" s="6" t="s">
        <v>1712</v>
      </c>
      <c r="N400" s="6" t="s">
        <v>129</v>
      </c>
      <c r="O400" s="6" t="s">
        <v>66</v>
      </c>
      <c r="P400" t="s">
        <v>119</v>
      </c>
      <c r="Q400" s="25" t="s">
        <v>2112</v>
      </c>
    </row>
    <row r="401" spans="1:19" ht="14.4" hidden="1" x14ac:dyDescent="0.3">
      <c r="A401" s="5">
        <v>394</v>
      </c>
      <c r="B401" s="17" t="s">
        <v>1713</v>
      </c>
      <c r="C401" s="6">
        <v>52963778</v>
      </c>
      <c r="D401" s="6">
        <f>COUNTIFS($C$8:C401,C401)</f>
        <v>1</v>
      </c>
      <c r="E401" s="6">
        <v>3118530471</v>
      </c>
      <c r="F401" s="6" t="s">
        <v>1714</v>
      </c>
      <c r="G401" s="7">
        <v>46031</v>
      </c>
      <c r="H401" s="7">
        <v>46387</v>
      </c>
      <c r="I401" s="8" t="s">
        <v>1715</v>
      </c>
      <c r="J401" s="6" t="s">
        <v>1716</v>
      </c>
      <c r="K401" s="6" t="s">
        <v>143</v>
      </c>
      <c r="L401" s="6" t="s">
        <v>1717</v>
      </c>
      <c r="M401" s="6" t="s">
        <v>1718</v>
      </c>
      <c r="N401" s="6" t="s">
        <v>17</v>
      </c>
      <c r="O401" s="6" t="s">
        <v>1021</v>
      </c>
      <c r="P401" t="s">
        <v>125</v>
      </c>
      <c r="Q401" s="25" t="s">
        <v>2112</v>
      </c>
    </row>
    <row r="402" spans="1:19" ht="14.4" hidden="1" x14ac:dyDescent="0.3">
      <c r="A402" s="5">
        <v>395</v>
      </c>
      <c r="B402" s="17" t="s">
        <v>1719</v>
      </c>
      <c r="C402" s="6">
        <v>79690499</v>
      </c>
      <c r="D402" s="6">
        <f>COUNTIFS($C$8:C402,C402)</f>
        <v>1</v>
      </c>
      <c r="E402" s="6">
        <v>3208448671</v>
      </c>
      <c r="F402" s="6" t="s">
        <v>1720</v>
      </c>
      <c r="G402" s="7">
        <v>46037</v>
      </c>
      <c r="H402" s="7">
        <v>46387</v>
      </c>
      <c r="I402" s="8" t="s">
        <v>1721</v>
      </c>
      <c r="J402" s="6" t="s">
        <v>201</v>
      </c>
      <c r="K402" s="6" t="s">
        <v>115</v>
      </c>
      <c r="L402" s="6" t="s">
        <v>1019</v>
      </c>
      <c r="M402" s="6" t="s">
        <v>1722</v>
      </c>
      <c r="N402" s="6" t="s">
        <v>17</v>
      </c>
      <c r="O402" s="6" t="s">
        <v>66</v>
      </c>
      <c r="P402" t="s">
        <v>125</v>
      </c>
      <c r="Q402" s="25" t="s">
        <v>2112</v>
      </c>
    </row>
    <row r="403" spans="1:19" ht="14.4" hidden="1" x14ac:dyDescent="0.3">
      <c r="A403" s="16">
        <v>396</v>
      </c>
      <c r="B403" s="17" t="s">
        <v>1723</v>
      </c>
      <c r="C403" s="6">
        <v>1026277669</v>
      </c>
      <c r="D403" s="6">
        <f>COUNTIFS($C$8:C403,C403)</f>
        <v>1</v>
      </c>
      <c r="E403" s="6">
        <v>3177773377</v>
      </c>
      <c r="F403" s="6" t="s">
        <v>1724</v>
      </c>
      <c r="G403" s="7">
        <v>46049</v>
      </c>
      <c r="H403" s="7">
        <v>46291</v>
      </c>
      <c r="I403" s="8" t="s">
        <v>1725</v>
      </c>
      <c r="J403" s="17" t="s">
        <v>1667</v>
      </c>
      <c r="K403" s="6" t="s">
        <v>106</v>
      </c>
      <c r="L403" s="6" t="s">
        <v>1422</v>
      </c>
      <c r="M403" s="6" t="s">
        <v>1726</v>
      </c>
      <c r="N403" s="6" t="s">
        <v>17</v>
      </c>
      <c r="O403" s="6" t="s">
        <v>1727</v>
      </c>
      <c r="P403" t="s">
        <v>125</v>
      </c>
      <c r="Q403" s="25" t="s">
        <v>2112</v>
      </c>
    </row>
    <row r="404" spans="1:19" ht="14.4" hidden="1" x14ac:dyDescent="0.3">
      <c r="A404" s="5">
        <v>397</v>
      </c>
      <c r="B404" s="17" t="s">
        <v>1728</v>
      </c>
      <c r="C404" s="17">
        <v>1026261037</v>
      </c>
      <c r="D404" s="6">
        <f>COUNTIFS($C$8:C404,C404)</f>
        <v>1</v>
      </c>
      <c r="E404" s="17">
        <v>3005775183</v>
      </c>
      <c r="F404" s="17" t="s">
        <v>1729</v>
      </c>
      <c r="G404" s="18">
        <v>46031</v>
      </c>
      <c r="H404" s="18">
        <v>46351</v>
      </c>
      <c r="I404" s="8" t="s">
        <v>1730</v>
      </c>
      <c r="J404" s="6" t="s">
        <v>1905</v>
      </c>
      <c r="K404" s="6" t="s">
        <v>115</v>
      </c>
      <c r="L404" s="17" t="s">
        <v>354</v>
      </c>
      <c r="M404" s="17" t="s">
        <v>1731</v>
      </c>
      <c r="N404" s="17" t="s">
        <v>17</v>
      </c>
      <c r="O404" s="17" t="s">
        <v>60</v>
      </c>
      <c r="P404" s="19" t="s">
        <v>125</v>
      </c>
      <c r="Q404" s="21" t="s">
        <v>2098</v>
      </c>
      <c r="R404" s="20"/>
      <c r="S404" s="20"/>
    </row>
    <row r="405" spans="1:19" ht="14.4" hidden="1" x14ac:dyDescent="0.3">
      <c r="A405" s="5">
        <v>398</v>
      </c>
      <c r="B405" s="17" t="s">
        <v>1732</v>
      </c>
      <c r="C405" s="6">
        <v>1018455944</v>
      </c>
      <c r="D405" s="6">
        <f>COUNTIFS($C$8:C405,C405)</f>
        <v>1</v>
      </c>
      <c r="E405" s="6">
        <v>3208010259</v>
      </c>
      <c r="F405" s="6" t="s">
        <v>1733</v>
      </c>
      <c r="G405" s="7">
        <v>46045</v>
      </c>
      <c r="H405" s="7">
        <v>46234</v>
      </c>
      <c r="I405" s="8" t="s">
        <v>1734</v>
      </c>
      <c r="J405" s="17" t="s">
        <v>1041</v>
      </c>
      <c r="K405" s="6" t="s">
        <v>115</v>
      </c>
      <c r="L405" s="6" t="s">
        <v>681</v>
      </c>
      <c r="M405" s="6" t="s">
        <v>1735</v>
      </c>
      <c r="N405" s="6" t="s">
        <v>17</v>
      </c>
      <c r="O405" s="6" t="s">
        <v>44</v>
      </c>
      <c r="P405" t="s">
        <v>125</v>
      </c>
      <c r="Q405" s="25" t="s">
        <v>2112</v>
      </c>
    </row>
    <row r="406" spans="1:19" ht="14.4" hidden="1" x14ac:dyDescent="0.3">
      <c r="A406" s="5">
        <v>399</v>
      </c>
      <c r="B406" s="17" t="s">
        <v>1736</v>
      </c>
      <c r="C406" s="6">
        <v>79923325</v>
      </c>
      <c r="D406" s="6">
        <f>COUNTIFS($C$8:C406,C406)</f>
        <v>1</v>
      </c>
      <c r="E406" s="6">
        <v>3192975840</v>
      </c>
      <c r="F406" s="6" t="s">
        <v>1737</v>
      </c>
      <c r="G406" s="7">
        <v>46031</v>
      </c>
      <c r="H406" s="7">
        <v>46378</v>
      </c>
      <c r="I406" s="8" t="s">
        <v>1738</v>
      </c>
      <c r="J406" s="17" t="s">
        <v>1667</v>
      </c>
      <c r="K406" s="6" t="s">
        <v>115</v>
      </c>
      <c r="L406" s="6" t="s">
        <v>138</v>
      </c>
      <c r="M406" s="6" t="s">
        <v>1739</v>
      </c>
      <c r="N406" s="6" t="s">
        <v>17</v>
      </c>
      <c r="O406" s="6" t="s">
        <v>60</v>
      </c>
      <c r="P406" t="s">
        <v>125</v>
      </c>
      <c r="Q406" s="25" t="s">
        <v>2112</v>
      </c>
    </row>
    <row r="407" spans="1:19" ht="14.4" hidden="1" x14ac:dyDescent="0.3">
      <c r="A407" s="16">
        <v>400</v>
      </c>
      <c r="B407" s="17" t="s">
        <v>1736</v>
      </c>
      <c r="C407" s="6">
        <v>79923325</v>
      </c>
      <c r="D407" s="6">
        <f>COUNTIFS($C$8:C407,C407)</f>
        <v>2</v>
      </c>
      <c r="E407" s="6">
        <v>3192975840</v>
      </c>
      <c r="F407" s="6" t="s">
        <v>1737</v>
      </c>
      <c r="G407" s="7">
        <v>46031</v>
      </c>
      <c r="H407" s="7">
        <v>46378</v>
      </c>
      <c r="I407" s="8" t="s">
        <v>1738</v>
      </c>
      <c r="J407" s="17" t="s">
        <v>1667</v>
      </c>
      <c r="K407" s="6" t="s">
        <v>106</v>
      </c>
      <c r="L407" s="6" t="s">
        <v>363</v>
      </c>
      <c r="M407" s="6" t="s">
        <v>1740</v>
      </c>
      <c r="N407" s="6" t="s">
        <v>17</v>
      </c>
      <c r="O407" s="6" t="s">
        <v>1741</v>
      </c>
      <c r="P407" t="s">
        <v>125</v>
      </c>
      <c r="Q407" s="25" t="s">
        <v>2112</v>
      </c>
    </row>
    <row r="408" spans="1:19" ht="14.4" hidden="1" x14ac:dyDescent="0.3">
      <c r="A408" s="5">
        <v>401</v>
      </c>
      <c r="B408" s="17" t="s">
        <v>1742</v>
      </c>
      <c r="C408" s="6">
        <v>79792606</v>
      </c>
      <c r="D408" s="6">
        <f>COUNTIFS($C$8:C408,C408)</f>
        <v>1</v>
      </c>
      <c r="E408" s="6">
        <v>3006658901</v>
      </c>
      <c r="F408" s="6" t="s">
        <v>1743</v>
      </c>
      <c r="G408" s="7">
        <v>46049</v>
      </c>
      <c r="H408" s="7">
        <v>46231</v>
      </c>
      <c r="I408" s="8" t="s">
        <v>1744</v>
      </c>
      <c r="J408" s="6" t="s">
        <v>256</v>
      </c>
      <c r="K408" s="6" t="s">
        <v>106</v>
      </c>
      <c r="L408" s="6" t="s">
        <v>1745</v>
      </c>
      <c r="M408" s="6" t="s">
        <v>1746</v>
      </c>
      <c r="N408" s="6" t="s">
        <v>17</v>
      </c>
      <c r="O408" s="6" t="s">
        <v>1747</v>
      </c>
      <c r="P408" t="s">
        <v>125</v>
      </c>
      <c r="Q408" s="25" t="s">
        <v>2112</v>
      </c>
    </row>
    <row r="409" spans="1:19" ht="14.4" hidden="1" x14ac:dyDescent="0.3">
      <c r="A409" s="5">
        <v>402</v>
      </c>
      <c r="B409" s="17" t="s">
        <v>1748</v>
      </c>
      <c r="C409" s="17">
        <v>1000284442</v>
      </c>
      <c r="D409" s="6">
        <f>COUNTIFS($C$8:C409,C409)</f>
        <v>1</v>
      </c>
      <c r="E409" s="17">
        <v>3058723948</v>
      </c>
      <c r="F409" s="17" t="s">
        <v>1749</v>
      </c>
      <c r="G409" s="18">
        <v>46048</v>
      </c>
      <c r="H409" s="18">
        <v>46229</v>
      </c>
      <c r="I409" s="8" t="s">
        <v>1750</v>
      </c>
      <c r="J409" s="17" t="s">
        <v>1395</v>
      </c>
      <c r="K409" s="6" t="s">
        <v>106</v>
      </c>
      <c r="L409" s="17" t="s">
        <v>363</v>
      </c>
      <c r="M409" s="17" t="s">
        <v>1751</v>
      </c>
      <c r="N409" s="17" t="s">
        <v>17</v>
      </c>
      <c r="O409" s="17" t="s">
        <v>1752</v>
      </c>
      <c r="P409" s="19" t="s">
        <v>125</v>
      </c>
      <c r="Q409" s="21" t="s">
        <v>2098</v>
      </c>
      <c r="R409" s="20"/>
      <c r="S409" s="20"/>
    </row>
    <row r="410" spans="1:19" ht="14.4" hidden="1" x14ac:dyDescent="0.3">
      <c r="A410" s="5">
        <v>403</v>
      </c>
      <c r="B410" s="17" t="s">
        <v>1753</v>
      </c>
      <c r="C410" s="6">
        <v>1014196580</v>
      </c>
      <c r="D410" s="6">
        <f>COUNTIFS($C$8:C410,C410)</f>
        <v>1</v>
      </c>
      <c r="E410" s="6">
        <v>3017719375</v>
      </c>
      <c r="F410" s="6" t="s">
        <v>1754</v>
      </c>
      <c r="G410" s="7">
        <v>46055</v>
      </c>
      <c r="H410" s="7">
        <v>46264</v>
      </c>
      <c r="I410" s="8" t="s">
        <v>1755</v>
      </c>
      <c r="J410" s="17" t="s">
        <v>1667</v>
      </c>
      <c r="K410" s="6" t="s">
        <v>80</v>
      </c>
      <c r="L410" s="6" t="s">
        <v>1756</v>
      </c>
      <c r="M410" s="6" t="s">
        <v>20</v>
      </c>
      <c r="N410" s="6" t="s">
        <v>80</v>
      </c>
      <c r="O410" s="6" t="s">
        <v>1757</v>
      </c>
      <c r="P410" t="s">
        <v>125</v>
      </c>
      <c r="Q410" s="25" t="s">
        <v>2112</v>
      </c>
    </row>
    <row r="411" spans="1:19" ht="14.4" hidden="1" x14ac:dyDescent="0.3">
      <c r="A411" s="16">
        <v>404</v>
      </c>
      <c r="B411" s="17" t="s">
        <v>1758</v>
      </c>
      <c r="C411" s="6">
        <v>94486941</v>
      </c>
      <c r="D411" s="6">
        <f>COUNTIFS($C$8:C411,C411)</f>
        <v>1</v>
      </c>
      <c r="E411" s="6">
        <v>3108679091</v>
      </c>
      <c r="F411" s="6" t="s">
        <v>1759</v>
      </c>
      <c r="G411" s="7">
        <v>46054</v>
      </c>
      <c r="H411" s="7">
        <v>46235</v>
      </c>
      <c r="I411" s="8" t="s">
        <v>1760</v>
      </c>
      <c r="J411" s="17" t="s">
        <v>299</v>
      </c>
      <c r="K411" s="6" t="s">
        <v>106</v>
      </c>
      <c r="L411" s="6" t="s">
        <v>1761</v>
      </c>
      <c r="M411" s="6" t="s">
        <v>1762</v>
      </c>
      <c r="N411" s="6" t="s">
        <v>17</v>
      </c>
      <c r="O411" s="6" t="s">
        <v>38</v>
      </c>
      <c r="P411" t="s">
        <v>125</v>
      </c>
      <c r="Q411" s="25" t="s">
        <v>2112</v>
      </c>
    </row>
    <row r="412" spans="1:19" ht="14.4" hidden="1" x14ac:dyDescent="0.3">
      <c r="A412" s="5">
        <v>405</v>
      </c>
      <c r="B412" s="17" t="s">
        <v>1763</v>
      </c>
      <c r="C412" s="17">
        <v>1022437241</v>
      </c>
      <c r="D412" s="6">
        <f>COUNTIFS($C$8:C412,C412)</f>
        <v>1</v>
      </c>
      <c r="E412" s="17">
        <v>3102740524</v>
      </c>
      <c r="F412" s="17" t="s">
        <v>1764</v>
      </c>
      <c r="G412" s="18">
        <v>46042</v>
      </c>
      <c r="H412" s="18">
        <v>46222</v>
      </c>
      <c r="I412" s="8" t="s">
        <v>1765</v>
      </c>
      <c r="J412" s="17" t="s">
        <v>1041</v>
      </c>
      <c r="K412" s="6" t="s">
        <v>106</v>
      </c>
      <c r="L412" s="17" t="s">
        <v>701</v>
      </c>
      <c r="M412" s="17" t="s">
        <v>1766</v>
      </c>
      <c r="N412" s="17" t="s">
        <v>17</v>
      </c>
      <c r="O412" s="17" t="s">
        <v>1767</v>
      </c>
      <c r="P412" s="19" t="s">
        <v>125</v>
      </c>
      <c r="Q412" s="22" t="s">
        <v>2098</v>
      </c>
      <c r="R412" s="20"/>
      <c r="S412" s="20"/>
    </row>
    <row r="413" spans="1:19" ht="14.4" hidden="1" x14ac:dyDescent="0.3">
      <c r="A413" s="5">
        <v>406</v>
      </c>
      <c r="B413" s="17" t="s">
        <v>1768</v>
      </c>
      <c r="C413" s="6">
        <v>79956337</v>
      </c>
      <c r="D413" s="6">
        <f>COUNTIFS($C$8:C413,C413)</f>
        <v>1</v>
      </c>
      <c r="E413" s="6">
        <v>3207707633</v>
      </c>
      <c r="F413" s="6" t="s">
        <v>1769</v>
      </c>
      <c r="G413" s="7">
        <v>46048</v>
      </c>
      <c r="H413" s="7">
        <v>46342</v>
      </c>
      <c r="I413" s="8" t="s">
        <v>1770</v>
      </c>
      <c r="J413" s="17" t="s">
        <v>207</v>
      </c>
      <c r="K413" s="6" t="s">
        <v>143</v>
      </c>
      <c r="L413" s="6" t="s">
        <v>1771</v>
      </c>
      <c r="M413" s="6" t="s">
        <v>1772</v>
      </c>
      <c r="N413" s="6" t="s">
        <v>253</v>
      </c>
      <c r="O413" s="6" t="s">
        <v>66</v>
      </c>
      <c r="P413" t="s">
        <v>125</v>
      </c>
      <c r="Q413" s="25" t="s">
        <v>2112</v>
      </c>
    </row>
    <row r="414" spans="1:19" ht="14.4" hidden="1" x14ac:dyDescent="0.3">
      <c r="A414" s="5">
        <v>407</v>
      </c>
      <c r="B414" s="17" t="s">
        <v>1773</v>
      </c>
      <c r="C414" s="6">
        <v>1094272550</v>
      </c>
      <c r="D414" s="6">
        <f>COUNTIFS($C$8:C414,C414)</f>
        <v>1</v>
      </c>
      <c r="E414" s="6">
        <v>3004336661</v>
      </c>
      <c r="F414" s="6" t="s">
        <v>1774</v>
      </c>
      <c r="G414" s="7">
        <v>46055</v>
      </c>
      <c r="H414" s="7">
        <v>46387</v>
      </c>
      <c r="I414" s="8" t="s">
        <v>1775</v>
      </c>
      <c r="J414" s="6" t="s">
        <v>500</v>
      </c>
      <c r="K414" s="6" t="s">
        <v>115</v>
      </c>
      <c r="L414" s="6" t="s">
        <v>1776</v>
      </c>
      <c r="M414" s="6" t="s">
        <v>1777</v>
      </c>
      <c r="N414" s="6" t="s">
        <v>17</v>
      </c>
      <c r="O414" s="6" t="s">
        <v>60</v>
      </c>
      <c r="P414" t="s">
        <v>125</v>
      </c>
      <c r="Q414" s="25" t="s">
        <v>2112</v>
      </c>
    </row>
    <row r="415" spans="1:19" ht="14.4" hidden="1" x14ac:dyDescent="0.3">
      <c r="A415" s="16">
        <v>408</v>
      </c>
      <c r="B415" s="17" t="s">
        <v>1773</v>
      </c>
      <c r="C415" s="6">
        <v>1094272550</v>
      </c>
      <c r="D415" s="6">
        <f>COUNTIFS($C$8:C415,C415)</f>
        <v>2</v>
      </c>
      <c r="E415" s="6">
        <v>3004336661</v>
      </c>
      <c r="F415" s="6" t="s">
        <v>1774</v>
      </c>
      <c r="G415" s="7">
        <v>46055</v>
      </c>
      <c r="H415" s="7">
        <v>46387</v>
      </c>
      <c r="I415" s="8" t="s">
        <v>1775</v>
      </c>
      <c r="J415" s="6" t="s">
        <v>500</v>
      </c>
      <c r="K415" s="6" t="s">
        <v>80</v>
      </c>
      <c r="L415" s="6" t="s">
        <v>830</v>
      </c>
      <c r="M415" s="6" t="s">
        <v>20</v>
      </c>
      <c r="N415" s="6" t="s">
        <v>80</v>
      </c>
      <c r="O415" s="6" t="s">
        <v>24</v>
      </c>
      <c r="P415" t="s">
        <v>125</v>
      </c>
      <c r="Q415" s="25" t="s">
        <v>2112</v>
      </c>
    </row>
    <row r="416" spans="1:19" ht="14.4" hidden="1" x14ac:dyDescent="0.3">
      <c r="A416" s="5">
        <v>409</v>
      </c>
      <c r="B416" s="17" t="s">
        <v>1778</v>
      </c>
      <c r="C416" s="6">
        <v>1033698663</v>
      </c>
      <c r="D416" s="6">
        <f>COUNTIFS($C$8:C416,C416)</f>
        <v>1</v>
      </c>
      <c r="E416" s="6">
        <v>3229641950</v>
      </c>
      <c r="F416" s="6" t="s">
        <v>20</v>
      </c>
      <c r="G416" s="7" t="s">
        <v>20</v>
      </c>
      <c r="H416" s="7" t="s">
        <v>20</v>
      </c>
      <c r="I416" s="8" t="s">
        <v>1779</v>
      </c>
      <c r="J416" s="6" t="s">
        <v>1702</v>
      </c>
      <c r="K416" s="6" t="s">
        <v>80</v>
      </c>
      <c r="L416" s="6" t="s">
        <v>1780</v>
      </c>
      <c r="M416" s="6" t="s">
        <v>20</v>
      </c>
      <c r="N416" s="6" t="s">
        <v>129</v>
      </c>
      <c r="O416" s="6" t="s">
        <v>1781</v>
      </c>
      <c r="P416" t="s">
        <v>1280</v>
      </c>
      <c r="Q416" s="25" t="s">
        <v>2112</v>
      </c>
    </row>
    <row r="417" spans="1:19" ht="14.4" hidden="1" x14ac:dyDescent="0.3">
      <c r="A417" s="5">
        <v>410</v>
      </c>
      <c r="B417" s="17" t="s">
        <v>1782</v>
      </c>
      <c r="C417" s="6">
        <v>1010213543</v>
      </c>
      <c r="D417" s="6">
        <f>COUNTIFS($C$8:C417,C417)</f>
        <v>1</v>
      </c>
      <c r="E417" s="6">
        <v>3104356273</v>
      </c>
      <c r="F417" s="6" t="s">
        <v>1783</v>
      </c>
      <c r="G417" s="7">
        <v>46045</v>
      </c>
      <c r="H417" s="7">
        <v>46387</v>
      </c>
      <c r="I417" s="8" t="s">
        <v>1784</v>
      </c>
      <c r="J417" s="6" t="s">
        <v>742</v>
      </c>
      <c r="K417" s="6" t="s">
        <v>115</v>
      </c>
      <c r="L417" s="6" t="s">
        <v>1785</v>
      </c>
      <c r="M417" s="6" t="s">
        <v>1786</v>
      </c>
      <c r="N417" s="6" t="s">
        <v>17</v>
      </c>
      <c r="O417" s="6" t="s">
        <v>266</v>
      </c>
      <c r="P417" t="s">
        <v>125</v>
      </c>
      <c r="Q417" s="25" t="s">
        <v>2112</v>
      </c>
    </row>
    <row r="418" spans="1:19" ht="14.4" hidden="1" x14ac:dyDescent="0.3">
      <c r="A418" s="5">
        <v>411</v>
      </c>
      <c r="B418" s="17" t="s">
        <v>1787</v>
      </c>
      <c r="C418" s="17">
        <v>1015407149</v>
      </c>
      <c r="D418" s="6">
        <f>COUNTIFS($C$8:C418,C418)</f>
        <v>1</v>
      </c>
      <c r="E418" s="17">
        <v>3046732889</v>
      </c>
      <c r="F418" s="17" t="s">
        <v>1788</v>
      </c>
      <c r="G418" s="18">
        <v>46049</v>
      </c>
      <c r="H418" s="18">
        <v>46180</v>
      </c>
      <c r="I418" s="8" t="s">
        <v>1789</v>
      </c>
      <c r="J418" s="17" t="s">
        <v>1395</v>
      </c>
      <c r="K418" s="6" t="s">
        <v>106</v>
      </c>
      <c r="L418" s="17" t="s">
        <v>1790</v>
      </c>
      <c r="M418" s="17" t="s">
        <v>1791</v>
      </c>
      <c r="N418" s="17" t="s">
        <v>17</v>
      </c>
      <c r="O418" s="17" t="s">
        <v>1792</v>
      </c>
      <c r="P418" s="19" t="s">
        <v>125</v>
      </c>
      <c r="Q418" s="22" t="s">
        <v>2098</v>
      </c>
      <c r="R418" s="20"/>
      <c r="S418" s="20"/>
    </row>
    <row r="419" spans="1:19" ht="14.4" hidden="1" x14ac:dyDescent="0.3">
      <c r="A419" s="16">
        <v>412</v>
      </c>
      <c r="B419" s="24" t="s">
        <v>1793</v>
      </c>
      <c r="C419" s="13">
        <v>1015447384</v>
      </c>
      <c r="D419" s="6">
        <f>COUNTIFS($C$8:C419,C419)</f>
        <v>1</v>
      </c>
      <c r="E419" s="13">
        <v>3125579853</v>
      </c>
      <c r="F419" s="6" t="s">
        <v>1794</v>
      </c>
      <c r="G419" s="7">
        <v>46055</v>
      </c>
      <c r="H419" s="7">
        <v>46387</v>
      </c>
      <c r="I419" s="8" t="s">
        <v>1795</v>
      </c>
      <c r="J419" s="6" t="s">
        <v>500</v>
      </c>
      <c r="K419" s="6" t="s">
        <v>115</v>
      </c>
      <c r="L419" s="6" t="s">
        <v>32</v>
      </c>
      <c r="M419" s="6" t="s">
        <v>1796</v>
      </c>
      <c r="N419" s="6" t="s">
        <v>17</v>
      </c>
      <c r="O419" s="6" t="s">
        <v>44</v>
      </c>
      <c r="P419" t="s">
        <v>125</v>
      </c>
      <c r="Q419" s="25" t="s">
        <v>2112</v>
      </c>
    </row>
    <row r="420" spans="1:19" ht="14.4" hidden="1" x14ac:dyDescent="0.3">
      <c r="A420" s="5">
        <v>413</v>
      </c>
      <c r="B420" s="24" t="s">
        <v>1793</v>
      </c>
      <c r="C420" s="13">
        <v>1015447384</v>
      </c>
      <c r="D420" s="6">
        <f>COUNTIFS($C$8:C420,C420)</f>
        <v>2</v>
      </c>
      <c r="E420" s="13">
        <v>3125579853</v>
      </c>
      <c r="F420" s="6" t="s">
        <v>1794</v>
      </c>
      <c r="G420" s="7">
        <v>46055</v>
      </c>
      <c r="H420" s="7">
        <v>46387</v>
      </c>
      <c r="I420" s="8" t="s">
        <v>1795</v>
      </c>
      <c r="J420" s="6" t="s">
        <v>500</v>
      </c>
      <c r="K420" s="6" t="s">
        <v>106</v>
      </c>
      <c r="L420" s="6" t="s">
        <v>1797</v>
      </c>
      <c r="M420" s="6" t="s">
        <v>1798</v>
      </c>
      <c r="N420" s="6" t="s">
        <v>17</v>
      </c>
      <c r="O420" s="6" t="s">
        <v>44</v>
      </c>
      <c r="P420" t="s">
        <v>125</v>
      </c>
      <c r="Q420" s="25" t="s">
        <v>2112</v>
      </c>
    </row>
    <row r="421" spans="1:19" ht="14.4" hidden="1" x14ac:dyDescent="0.3">
      <c r="A421" s="5">
        <v>414</v>
      </c>
      <c r="B421" s="24" t="s">
        <v>1799</v>
      </c>
      <c r="C421" s="13">
        <v>1026292170</v>
      </c>
      <c r="D421" s="6">
        <f>COUNTIFS($C$8:C421,C421)</f>
        <v>1</v>
      </c>
      <c r="E421" s="13">
        <v>3107723081</v>
      </c>
      <c r="F421" s="6" t="s">
        <v>1800</v>
      </c>
      <c r="G421" s="7">
        <v>46048</v>
      </c>
      <c r="H421" s="7">
        <v>46387</v>
      </c>
      <c r="I421" s="8" t="s">
        <v>1801</v>
      </c>
      <c r="J421" s="6" t="s">
        <v>434</v>
      </c>
      <c r="K421" s="6" t="s">
        <v>106</v>
      </c>
      <c r="L421" s="6" t="s">
        <v>1802</v>
      </c>
      <c r="M421" s="6" t="s">
        <v>1803</v>
      </c>
      <c r="N421" s="6" t="s">
        <v>17</v>
      </c>
      <c r="O421" s="6" t="s">
        <v>24</v>
      </c>
      <c r="P421" t="s">
        <v>125</v>
      </c>
      <c r="Q421" s="25" t="s">
        <v>2112</v>
      </c>
    </row>
    <row r="422" spans="1:19" ht="14.4" hidden="1" x14ac:dyDescent="0.3">
      <c r="A422" s="5">
        <v>415</v>
      </c>
      <c r="B422" s="24" t="s">
        <v>1804</v>
      </c>
      <c r="C422" s="13">
        <v>52181754</v>
      </c>
      <c r="D422" s="6">
        <f>COUNTIFS($C$8:C422,C422)</f>
        <v>1</v>
      </c>
      <c r="E422" s="13">
        <v>3102953413</v>
      </c>
      <c r="F422" s="6" t="s">
        <v>1805</v>
      </c>
      <c r="G422" s="7">
        <v>46031</v>
      </c>
      <c r="H422" s="7">
        <v>46387</v>
      </c>
      <c r="I422" s="8" t="s">
        <v>1806</v>
      </c>
      <c r="J422" s="17" t="s">
        <v>1395</v>
      </c>
      <c r="K422" s="6" t="s">
        <v>143</v>
      </c>
      <c r="L422" s="6" t="s">
        <v>1807</v>
      </c>
      <c r="M422" s="6" t="s">
        <v>1808</v>
      </c>
      <c r="N422" s="6" t="s">
        <v>17</v>
      </c>
      <c r="O422" s="6" t="s">
        <v>166</v>
      </c>
      <c r="P422" t="s">
        <v>125</v>
      </c>
      <c r="Q422" s="25" t="s">
        <v>2112</v>
      </c>
    </row>
    <row r="423" spans="1:19" ht="14.4" hidden="1" x14ac:dyDescent="0.3">
      <c r="A423" s="16">
        <v>416</v>
      </c>
      <c r="B423" s="24" t="s">
        <v>1809</v>
      </c>
      <c r="C423" s="13">
        <v>1000000381</v>
      </c>
      <c r="D423" s="6">
        <f>COUNTIFS($C$8:C423,C423)</f>
        <v>1</v>
      </c>
      <c r="E423" s="13">
        <v>3106872952</v>
      </c>
      <c r="F423" s="6" t="s">
        <v>1810</v>
      </c>
      <c r="G423" s="7">
        <v>46054</v>
      </c>
      <c r="H423" s="7">
        <v>46387</v>
      </c>
      <c r="I423" s="8" t="s">
        <v>1811</v>
      </c>
      <c r="J423" s="6" t="s">
        <v>500</v>
      </c>
      <c r="K423" s="6" t="s">
        <v>115</v>
      </c>
      <c r="L423" s="6" t="s">
        <v>1812</v>
      </c>
      <c r="M423" s="6" t="s">
        <v>1813</v>
      </c>
      <c r="N423" s="6" t="s">
        <v>17</v>
      </c>
      <c r="O423" s="6" t="s">
        <v>1814</v>
      </c>
      <c r="P423" t="s">
        <v>125</v>
      </c>
      <c r="Q423" s="25" t="s">
        <v>2112</v>
      </c>
    </row>
    <row r="424" spans="1:19" ht="14.4" hidden="1" x14ac:dyDescent="0.3">
      <c r="A424" s="5">
        <v>417</v>
      </c>
      <c r="B424" s="24" t="s">
        <v>1809</v>
      </c>
      <c r="C424" s="13">
        <v>1000000381</v>
      </c>
      <c r="D424" s="6">
        <f>COUNTIFS($C$8:C424,C424)</f>
        <v>2</v>
      </c>
      <c r="E424" s="13">
        <v>3106872952</v>
      </c>
      <c r="F424" s="6" t="s">
        <v>1810</v>
      </c>
      <c r="G424" s="7">
        <v>46054</v>
      </c>
      <c r="H424" s="7">
        <v>46387</v>
      </c>
      <c r="I424" s="8" t="s">
        <v>1811</v>
      </c>
      <c r="J424" s="6" t="s">
        <v>500</v>
      </c>
      <c r="K424" s="6" t="s">
        <v>106</v>
      </c>
      <c r="L424" s="6" t="s">
        <v>1815</v>
      </c>
      <c r="M424" s="6" t="s">
        <v>1816</v>
      </c>
      <c r="N424" s="6" t="s">
        <v>17</v>
      </c>
      <c r="O424" s="6" t="s">
        <v>24</v>
      </c>
      <c r="P424" t="s">
        <v>125</v>
      </c>
      <c r="Q424" s="25" t="s">
        <v>2112</v>
      </c>
    </row>
    <row r="425" spans="1:19" ht="14.4" hidden="1" x14ac:dyDescent="0.3">
      <c r="A425" s="5">
        <v>418</v>
      </c>
      <c r="B425" s="24" t="s">
        <v>1817</v>
      </c>
      <c r="C425" s="13">
        <v>7225361</v>
      </c>
      <c r="D425" s="6">
        <f>COUNTIFS($C$8:C425,C425)</f>
        <v>1</v>
      </c>
      <c r="E425" s="13">
        <v>3125294122</v>
      </c>
      <c r="F425" s="6" t="s">
        <v>1818</v>
      </c>
      <c r="G425" s="7">
        <v>46048</v>
      </c>
      <c r="H425" s="7">
        <v>46351</v>
      </c>
      <c r="I425" s="8" t="s">
        <v>1819</v>
      </c>
      <c r="J425" s="6" t="s">
        <v>256</v>
      </c>
      <c r="K425" s="6" t="s">
        <v>143</v>
      </c>
      <c r="L425" s="6" t="s">
        <v>1820</v>
      </c>
      <c r="M425" s="6" t="s">
        <v>1821</v>
      </c>
      <c r="N425" s="6" t="s">
        <v>17</v>
      </c>
      <c r="O425" s="6" t="s">
        <v>66</v>
      </c>
      <c r="P425" t="s">
        <v>125</v>
      </c>
      <c r="Q425" s="25" t="s">
        <v>2112</v>
      </c>
    </row>
    <row r="426" spans="1:19" ht="14.4" hidden="1" x14ac:dyDescent="0.3">
      <c r="A426" s="5">
        <v>419</v>
      </c>
      <c r="B426" s="24" t="s">
        <v>1822</v>
      </c>
      <c r="C426" s="13">
        <v>1012453976</v>
      </c>
      <c r="D426" s="6">
        <f>COUNTIFS($C$8:C426,C426)</f>
        <v>1</v>
      </c>
      <c r="E426" s="13">
        <v>3016500846</v>
      </c>
      <c r="F426" s="6" t="s">
        <v>1823</v>
      </c>
      <c r="G426" s="7">
        <v>46042</v>
      </c>
      <c r="H426" s="7">
        <v>46387</v>
      </c>
      <c r="I426" s="8" t="s">
        <v>1824</v>
      </c>
      <c r="J426" s="6" t="s">
        <v>1825</v>
      </c>
      <c r="K426" s="6" t="s">
        <v>106</v>
      </c>
      <c r="L426" s="6" t="s">
        <v>1826</v>
      </c>
      <c r="M426" s="6" t="s">
        <v>1827</v>
      </c>
      <c r="N426" s="6" t="s">
        <v>17</v>
      </c>
      <c r="O426" s="6" t="s">
        <v>316</v>
      </c>
      <c r="P426" t="s">
        <v>125</v>
      </c>
      <c r="Q426" s="25" t="s">
        <v>2112</v>
      </c>
    </row>
    <row r="427" spans="1:19" ht="14.4" hidden="1" x14ac:dyDescent="0.3">
      <c r="A427" s="16">
        <v>420</v>
      </c>
      <c r="B427" s="24" t="s">
        <v>1828</v>
      </c>
      <c r="C427" s="13">
        <v>1049794506</v>
      </c>
      <c r="D427" s="6">
        <f>COUNTIFS($C$8:C427,C427)</f>
        <v>1</v>
      </c>
      <c r="E427" s="13">
        <v>31339999368</v>
      </c>
      <c r="F427" s="6" t="s">
        <v>1829</v>
      </c>
      <c r="G427" s="7">
        <v>46050</v>
      </c>
      <c r="H427" s="7">
        <v>46387</v>
      </c>
      <c r="I427" s="8" t="s">
        <v>1830</v>
      </c>
      <c r="J427" s="6" t="s">
        <v>1006</v>
      </c>
      <c r="K427" s="6" t="s">
        <v>115</v>
      </c>
      <c r="L427" s="6" t="s">
        <v>1831</v>
      </c>
      <c r="M427" s="6" t="s">
        <v>1832</v>
      </c>
      <c r="N427" s="6" t="s">
        <v>17</v>
      </c>
      <c r="O427" s="6" t="s">
        <v>66</v>
      </c>
      <c r="P427" t="s">
        <v>125</v>
      </c>
      <c r="Q427" s="25" t="s">
        <v>2112</v>
      </c>
    </row>
    <row r="428" spans="1:19" ht="14.4" hidden="1" x14ac:dyDescent="0.3">
      <c r="A428" s="5">
        <v>421</v>
      </c>
      <c r="B428" s="24" t="s">
        <v>1833</v>
      </c>
      <c r="C428" s="13">
        <v>80791247</v>
      </c>
      <c r="D428" s="6">
        <f>COUNTIFS($C$8:C428,C428)</f>
        <v>1</v>
      </c>
      <c r="E428" s="13">
        <v>3225125023</v>
      </c>
      <c r="F428" s="6" t="s">
        <v>1834</v>
      </c>
      <c r="G428" s="7">
        <v>46041</v>
      </c>
      <c r="H428" s="7">
        <v>46387</v>
      </c>
      <c r="I428" s="8" t="s">
        <v>1835</v>
      </c>
      <c r="J428" s="6" t="s">
        <v>2109</v>
      </c>
      <c r="K428" s="6" t="s">
        <v>115</v>
      </c>
      <c r="L428" s="6" t="s">
        <v>1836</v>
      </c>
      <c r="M428" s="6" t="s">
        <v>1837</v>
      </c>
      <c r="N428" s="6" t="s">
        <v>129</v>
      </c>
      <c r="O428" s="6" t="s">
        <v>60</v>
      </c>
      <c r="P428" t="s">
        <v>125</v>
      </c>
      <c r="Q428" s="25" t="s">
        <v>2112</v>
      </c>
    </row>
    <row r="429" spans="1:19" ht="14.4" hidden="1" x14ac:dyDescent="0.3">
      <c r="A429" s="5">
        <v>422</v>
      </c>
      <c r="B429" s="17" t="s">
        <v>1696</v>
      </c>
      <c r="C429" s="6">
        <v>19272805</v>
      </c>
      <c r="D429" s="6">
        <f>COUNTIFS($C$8:C429,C429)</f>
        <v>2</v>
      </c>
      <c r="E429" s="6">
        <v>3124177877</v>
      </c>
      <c r="F429" s="6" t="s">
        <v>20</v>
      </c>
      <c r="G429" s="7" t="s">
        <v>20</v>
      </c>
      <c r="H429" s="7" t="s">
        <v>20</v>
      </c>
      <c r="I429" s="8" t="s">
        <v>1697</v>
      </c>
      <c r="J429" s="6" t="s">
        <v>1698</v>
      </c>
      <c r="K429" s="6" t="s">
        <v>143</v>
      </c>
      <c r="L429" s="6" t="s">
        <v>1838</v>
      </c>
      <c r="M429" s="6" t="s">
        <v>1839</v>
      </c>
      <c r="N429" s="6" t="s">
        <v>17</v>
      </c>
      <c r="O429" s="6" t="s">
        <v>60</v>
      </c>
      <c r="P429" t="s">
        <v>1280</v>
      </c>
      <c r="Q429" s="25" t="s">
        <v>2112</v>
      </c>
    </row>
    <row r="430" spans="1:19" ht="14.4" hidden="1" x14ac:dyDescent="0.3">
      <c r="A430" s="5">
        <v>423</v>
      </c>
      <c r="B430" s="24" t="s">
        <v>1840</v>
      </c>
      <c r="C430" s="13">
        <v>1032396574</v>
      </c>
      <c r="D430" s="6">
        <f>COUNTIFS($C$8:C430,C430)</f>
        <v>1</v>
      </c>
      <c r="E430" s="13">
        <v>3138742147</v>
      </c>
      <c r="F430" s="6" t="s">
        <v>1841</v>
      </c>
      <c r="G430" s="7">
        <v>46031</v>
      </c>
      <c r="H430" s="7">
        <v>46242</v>
      </c>
      <c r="I430" s="8" t="s">
        <v>1842</v>
      </c>
      <c r="J430" s="6" t="s">
        <v>1843</v>
      </c>
      <c r="K430" s="6" t="s">
        <v>143</v>
      </c>
      <c r="L430" s="6" t="s">
        <v>1844</v>
      </c>
      <c r="M430" s="6" t="s">
        <v>1845</v>
      </c>
      <c r="N430" s="6" t="s">
        <v>17</v>
      </c>
      <c r="O430" s="6" t="s">
        <v>1846</v>
      </c>
      <c r="P430" t="s">
        <v>125</v>
      </c>
      <c r="Q430" s="25" t="s">
        <v>2112</v>
      </c>
    </row>
    <row r="431" spans="1:19" ht="14.4" hidden="1" x14ac:dyDescent="0.3">
      <c r="A431" s="16">
        <v>424</v>
      </c>
      <c r="B431" s="24" t="s">
        <v>1847</v>
      </c>
      <c r="C431" s="24">
        <v>45361037</v>
      </c>
      <c r="D431" s="6">
        <f>COUNTIFS($C$8:C431,C431)</f>
        <v>1</v>
      </c>
      <c r="E431" s="24">
        <v>3015351260</v>
      </c>
      <c r="F431" s="17" t="s">
        <v>1848</v>
      </c>
      <c r="G431" s="18">
        <v>46048</v>
      </c>
      <c r="H431" s="18">
        <v>46198</v>
      </c>
      <c r="I431" s="8" t="s">
        <v>1849</v>
      </c>
      <c r="J431" s="6" t="s">
        <v>434</v>
      </c>
      <c r="K431" s="6" t="s">
        <v>115</v>
      </c>
      <c r="L431" s="17" t="s">
        <v>1850</v>
      </c>
      <c r="M431" s="17" t="s">
        <v>1851</v>
      </c>
      <c r="N431" s="6" t="s">
        <v>253</v>
      </c>
      <c r="O431" s="17" t="s">
        <v>18</v>
      </c>
      <c r="P431" s="19" t="s">
        <v>125</v>
      </c>
      <c r="Q431" s="21" t="s">
        <v>2098</v>
      </c>
      <c r="R431" s="20"/>
      <c r="S431" s="20"/>
    </row>
    <row r="432" spans="1:19" ht="14.4" hidden="1" x14ac:dyDescent="0.3">
      <c r="A432" s="5">
        <v>425</v>
      </c>
      <c r="B432" s="24" t="s">
        <v>1852</v>
      </c>
      <c r="C432" s="13">
        <v>80258283</v>
      </c>
      <c r="D432" s="6">
        <f>COUNTIFS($C$8:C432,C432)</f>
        <v>1</v>
      </c>
      <c r="E432" s="13">
        <v>3142484242</v>
      </c>
      <c r="F432" s="6" t="s">
        <v>1853</v>
      </c>
      <c r="G432" s="7">
        <v>46041</v>
      </c>
      <c r="H432" s="7">
        <v>46387</v>
      </c>
      <c r="I432" s="8" t="s">
        <v>1854</v>
      </c>
      <c r="J432" s="6" t="s">
        <v>201</v>
      </c>
      <c r="K432" s="6" t="s">
        <v>106</v>
      </c>
      <c r="L432" s="6" t="s">
        <v>56</v>
      </c>
      <c r="M432" s="6" t="s">
        <v>1855</v>
      </c>
      <c r="N432" s="6" t="s">
        <v>17</v>
      </c>
      <c r="O432" s="6" t="s">
        <v>1856</v>
      </c>
      <c r="P432" t="s">
        <v>125</v>
      </c>
      <c r="Q432" s="25" t="s">
        <v>2112</v>
      </c>
    </row>
    <row r="433" spans="1:19" ht="14.4" hidden="1" x14ac:dyDescent="0.3">
      <c r="A433" s="5">
        <v>426</v>
      </c>
      <c r="B433" s="24" t="s">
        <v>1857</v>
      </c>
      <c r="C433" s="24">
        <v>1019038226</v>
      </c>
      <c r="D433" s="6">
        <f>COUNTIFS($C$8:C433,C433)</f>
        <v>1</v>
      </c>
      <c r="E433" s="24">
        <v>3165353449</v>
      </c>
      <c r="F433" s="17" t="s">
        <v>1858</v>
      </c>
      <c r="G433" s="18">
        <v>46048</v>
      </c>
      <c r="H433" s="18">
        <v>46228</v>
      </c>
      <c r="I433" s="8" t="s">
        <v>1859</v>
      </c>
      <c r="J433" s="6" t="s">
        <v>256</v>
      </c>
      <c r="K433" s="6" t="s">
        <v>115</v>
      </c>
      <c r="L433" s="17" t="s">
        <v>58</v>
      </c>
      <c r="M433" s="17" t="s">
        <v>1860</v>
      </c>
      <c r="N433" s="17" t="s">
        <v>17</v>
      </c>
      <c r="O433" s="17" t="s">
        <v>60</v>
      </c>
      <c r="P433" s="19" t="s">
        <v>125</v>
      </c>
      <c r="Q433" s="21" t="s">
        <v>2098</v>
      </c>
      <c r="R433" s="20"/>
      <c r="S433" s="20"/>
    </row>
    <row r="434" spans="1:19" ht="14.4" hidden="1" x14ac:dyDescent="0.3">
      <c r="A434" s="5">
        <v>427</v>
      </c>
      <c r="B434" s="24" t="s">
        <v>1861</v>
      </c>
      <c r="C434" s="13">
        <v>52916128</v>
      </c>
      <c r="D434" s="6">
        <f>COUNTIFS($C$8:C434,C434)</f>
        <v>1</v>
      </c>
      <c r="E434" s="13">
        <v>3213134770</v>
      </c>
      <c r="F434" s="6" t="s">
        <v>20</v>
      </c>
      <c r="G434" s="7" t="s">
        <v>20</v>
      </c>
      <c r="H434" s="7" t="s">
        <v>20</v>
      </c>
      <c r="I434" s="8" t="s">
        <v>1862</v>
      </c>
      <c r="J434" s="6" t="s">
        <v>742</v>
      </c>
      <c r="K434" s="6" t="s">
        <v>80</v>
      </c>
      <c r="L434" s="6" t="s">
        <v>1780</v>
      </c>
      <c r="M434" s="6" t="s">
        <v>20</v>
      </c>
      <c r="N434" s="6" t="s">
        <v>80</v>
      </c>
      <c r="O434" s="6" t="s">
        <v>157</v>
      </c>
      <c r="P434" t="s">
        <v>1280</v>
      </c>
      <c r="Q434" s="25" t="s">
        <v>2112</v>
      </c>
    </row>
    <row r="435" spans="1:19" ht="14.4" hidden="1" x14ac:dyDescent="0.3">
      <c r="A435" s="16">
        <v>428</v>
      </c>
      <c r="B435" s="24" t="s">
        <v>1863</v>
      </c>
      <c r="C435" s="13">
        <v>1032443029</v>
      </c>
      <c r="D435" s="6">
        <f>COUNTIFS($C$8:C435,C435)</f>
        <v>1</v>
      </c>
      <c r="E435" s="13">
        <v>3223943468</v>
      </c>
      <c r="F435" s="6" t="s">
        <v>1864</v>
      </c>
      <c r="G435" s="7">
        <v>46058</v>
      </c>
      <c r="H435" s="7">
        <v>46238</v>
      </c>
      <c r="I435" s="8" t="s">
        <v>1865</v>
      </c>
      <c r="J435" s="6" t="s">
        <v>256</v>
      </c>
      <c r="K435" s="6" t="s">
        <v>115</v>
      </c>
      <c r="L435" s="6" t="s">
        <v>1019</v>
      </c>
      <c r="M435" s="6" t="s">
        <v>1866</v>
      </c>
      <c r="N435" s="6" t="s">
        <v>17</v>
      </c>
      <c r="O435" s="6" t="s">
        <v>683</v>
      </c>
      <c r="P435" t="s">
        <v>125</v>
      </c>
      <c r="Q435" s="25" t="s">
        <v>2112</v>
      </c>
    </row>
    <row r="436" spans="1:19" ht="14.4" hidden="1" x14ac:dyDescent="0.3">
      <c r="A436" s="5">
        <v>429</v>
      </c>
      <c r="B436" s="24" t="s">
        <v>1867</v>
      </c>
      <c r="C436" s="13">
        <v>1070977964</v>
      </c>
      <c r="D436" s="6">
        <f>COUNTIFS($C$8:C436,C436)</f>
        <v>1</v>
      </c>
      <c r="E436" s="13">
        <v>3209654372</v>
      </c>
      <c r="F436" s="6" t="s">
        <v>1868</v>
      </c>
      <c r="G436" s="7">
        <v>46044</v>
      </c>
      <c r="H436" s="7">
        <v>46225</v>
      </c>
      <c r="I436" s="8" t="s">
        <v>1869</v>
      </c>
      <c r="J436" s="6" t="s">
        <v>434</v>
      </c>
      <c r="K436" s="6" t="s">
        <v>115</v>
      </c>
      <c r="L436" s="6" t="s">
        <v>1870</v>
      </c>
      <c r="M436" s="6" t="s">
        <v>1871</v>
      </c>
      <c r="N436" s="6" t="s">
        <v>17</v>
      </c>
      <c r="O436" s="6" t="s">
        <v>60</v>
      </c>
      <c r="P436" t="s">
        <v>125</v>
      </c>
      <c r="Q436" s="25" t="s">
        <v>2112</v>
      </c>
    </row>
    <row r="437" spans="1:19" ht="14.4" hidden="1" x14ac:dyDescent="0.3">
      <c r="A437" s="5">
        <v>430</v>
      </c>
      <c r="B437" s="17" t="s">
        <v>1008</v>
      </c>
      <c r="C437" s="6">
        <v>1072072690</v>
      </c>
      <c r="D437" s="6">
        <f>COUNTIFS($C$8:C437,C437)</f>
        <v>2</v>
      </c>
      <c r="E437" s="6">
        <v>3112795171</v>
      </c>
      <c r="F437" s="12" t="s">
        <v>1009</v>
      </c>
      <c r="G437" s="7">
        <v>46048</v>
      </c>
      <c r="H437" s="7">
        <v>46351</v>
      </c>
      <c r="I437" s="8" t="s">
        <v>1010</v>
      </c>
      <c r="J437" s="6" t="s">
        <v>256</v>
      </c>
      <c r="K437" s="6" t="s">
        <v>106</v>
      </c>
      <c r="L437" s="6" t="s">
        <v>1872</v>
      </c>
      <c r="M437" s="6" t="s">
        <v>1873</v>
      </c>
      <c r="N437" s="6" t="s">
        <v>17</v>
      </c>
      <c r="O437" s="6" t="s">
        <v>60</v>
      </c>
      <c r="P437" t="s">
        <v>125</v>
      </c>
      <c r="Q437" s="25" t="s">
        <v>2112</v>
      </c>
    </row>
    <row r="438" spans="1:19" ht="14.4" hidden="1" x14ac:dyDescent="0.3">
      <c r="A438" s="5">
        <v>431</v>
      </c>
      <c r="B438" s="24" t="s">
        <v>1874</v>
      </c>
      <c r="C438" s="13">
        <v>79795088</v>
      </c>
      <c r="D438" s="6">
        <f>COUNTIFS($C$8:C438,C438)</f>
        <v>1</v>
      </c>
      <c r="E438" s="13">
        <v>3106630246</v>
      </c>
      <c r="F438" s="6" t="s">
        <v>20</v>
      </c>
      <c r="G438" s="6" t="s">
        <v>20</v>
      </c>
      <c r="H438" s="6" t="s">
        <v>20</v>
      </c>
      <c r="I438" s="8" t="s">
        <v>1875</v>
      </c>
      <c r="J438" s="6" t="s">
        <v>270</v>
      </c>
      <c r="K438" s="6" t="s">
        <v>115</v>
      </c>
      <c r="L438" s="6" t="s">
        <v>58</v>
      </c>
      <c r="M438" s="6" t="s">
        <v>1876</v>
      </c>
      <c r="N438" s="6" t="s">
        <v>17</v>
      </c>
      <c r="O438" s="6" t="s">
        <v>60</v>
      </c>
      <c r="P438" t="s">
        <v>119</v>
      </c>
      <c r="Q438" s="25" t="s">
        <v>2112</v>
      </c>
    </row>
    <row r="439" spans="1:19" ht="14.4" hidden="1" x14ac:dyDescent="0.3">
      <c r="A439" s="16">
        <v>432</v>
      </c>
      <c r="B439" s="24" t="s">
        <v>1877</v>
      </c>
      <c r="C439" s="13">
        <v>79737327</v>
      </c>
      <c r="D439" s="6">
        <f>COUNTIFS($C$8:C439,C439)</f>
        <v>1</v>
      </c>
      <c r="E439" s="13">
        <v>3154213826</v>
      </c>
      <c r="F439" s="6" t="s">
        <v>1878</v>
      </c>
      <c r="G439" s="7">
        <v>46038</v>
      </c>
      <c r="H439" s="7">
        <v>46387</v>
      </c>
      <c r="I439" s="8" t="s">
        <v>1879</v>
      </c>
      <c r="J439" s="6" t="s">
        <v>500</v>
      </c>
      <c r="K439" s="6" t="s">
        <v>115</v>
      </c>
      <c r="L439" s="6" t="s">
        <v>1339</v>
      </c>
      <c r="M439" s="6" t="s">
        <v>1880</v>
      </c>
      <c r="N439" s="6" t="s">
        <v>17</v>
      </c>
      <c r="O439" s="6" t="s">
        <v>60</v>
      </c>
      <c r="P439" t="s">
        <v>125</v>
      </c>
      <c r="Q439" s="25" t="s">
        <v>2112</v>
      </c>
    </row>
    <row r="440" spans="1:19" ht="14.4" hidden="1" x14ac:dyDescent="0.3">
      <c r="A440" s="5">
        <v>433</v>
      </c>
      <c r="B440" s="24" t="s">
        <v>1881</v>
      </c>
      <c r="C440" s="13">
        <v>1020750683</v>
      </c>
      <c r="D440" s="6">
        <f>COUNTIFS($C$8:C440,C440)</f>
        <v>1</v>
      </c>
      <c r="E440" s="13">
        <v>3126861297</v>
      </c>
      <c r="F440" s="6" t="s">
        <v>1882</v>
      </c>
      <c r="G440" s="7">
        <v>46051</v>
      </c>
      <c r="H440" s="7">
        <v>46262</v>
      </c>
      <c r="I440" s="8" t="s">
        <v>1883</v>
      </c>
      <c r="J440" s="6" t="s">
        <v>1843</v>
      </c>
      <c r="K440" s="6" t="s">
        <v>115</v>
      </c>
      <c r="L440" s="6" t="s">
        <v>363</v>
      </c>
      <c r="M440" s="6" t="s">
        <v>1884</v>
      </c>
      <c r="N440" s="6" t="s">
        <v>253</v>
      </c>
      <c r="O440" s="6" t="s">
        <v>60</v>
      </c>
      <c r="P440" t="s">
        <v>125</v>
      </c>
      <c r="Q440" s="25" t="s">
        <v>2112</v>
      </c>
    </row>
    <row r="441" spans="1:19" ht="14.4" hidden="1" x14ac:dyDescent="0.3">
      <c r="A441" s="5">
        <v>434</v>
      </c>
      <c r="B441" s="24" t="s">
        <v>1885</v>
      </c>
      <c r="C441" s="13">
        <v>1018501304</v>
      </c>
      <c r="D441" s="6">
        <f>COUNTIFS($C$8:C441,C441)</f>
        <v>1</v>
      </c>
      <c r="E441" s="13">
        <v>3215215543</v>
      </c>
      <c r="F441" s="6" t="s">
        <v>1886</v>
      </c>
      <c r="G441" s="7">
        <v>46050</v>
      </c>
      <c r="H441" s="7">
        <v>46387</v>
      </c>
      <c r="I441" s="8" t="s">
        <v>1887</v>
      </c>
      <c r="J441" s="6" t="s">
        <v>500</v>
      </c>
      <c r="K441" s="6" t="s">
        <v>155</v>
      </c>
      <c r="L441" s="6" t="s">
        <v>1298</v>
      </c>
      <c r="M441" s="6" t="s">
        <v>20</v>
      </c>
      <c r="N441" s="6" t="s">
        <v>129</v>
      </c>
      <c r="O441" s="6" t="s">
        <v>1888</v>
      </c>
      <c r="P441" t="s">
        <v>125</v>
      </c>
      <c r="Q441" s="25" t="s">
        <v>2112</v>
      </c>
    </row>
    <row r="442" spans="1:19" ht="14.4" hidden="1" x14ac:dyDescent="0.3">
      <c r="A442" s="5">
        <v>435</v>
      </c>
      <c r="B442" s="24" t="s">
        <v>1889</v>
      </c>
      <c r="C442" s="13">
        <v>1023890368</v>
      </c>
      <c r="D442" s="6">
        <f>COUNTIFS($C$8:C442,C442)</f>
        <v>1</v>
      </c>
      <c r="E442" s="13">
        <v>3142722271</v>
      </c>
      <c r="F442" s="6" t="s">
        <v>1890</v>
      </c>
      <c r="G442" s="7">
        <v>46042</v>
      </c>
      <c r="H442" s="7">
        <v>46345</v>
      </c>
      <c r="I442" s="8" t="s">
        <v>1891</v>
      </c>
      <c r="J442" s="6" t="s">
        <v>256</v>
      </c>
      <c r="K442" s="6" t="s">
        <v>106</v>
      </c>
      <c r="L442" s="6" t="s">
        <v>701</v>
      </c>
      <c r="M442" s="6" t="s">
        <v>1892</v>
      </c>
      <c r="N442" s="6" t="s">
        <v>17</v>
      </c>
      <c r="O442" s="6" t="s">
        <v>1893</v>
      </c>
      <c r="P442" t="s">
        <v>125</v>
      </c>
      <c r="Q442" s="25" t="s">
        <v>2112</v>
      </c>
    </row>
    <row r="443" spans="1:19" ht="14.4" hidden="1" x14ac:dyDescent="0.3">
      <c r="A443" s="16">
        <v>436</v>
      </c>
      <c r="B443" s="24" t="s">
        <v>1894</v>
      </c>
      <c r="C443" s="24">
        <v>1014260067</v>
      </c>
      <c r="D443" s="6">
        <f>COUNTIFS($C$8:C443,C443)</f>
        <v>1</v>
      </c>
      <c r="E443" s="24">
        <v>3057090104</v>
      </c>
      <c r="F443" s="17" t="s">
        <v>1895</v>
      </c>
      <c r="G443" s="18">
        <v>46051</v>
      </c>
      <c r="H443" s="18">
        <v>46231</v>
      </c>
      <c r="I443" s="8" t="s">
        <v>1896</v>
      </c>
      <c r="J443" s="17" t="s">
        <v>1041</v>
      </c>
      <c r="K443" s="6" t="s">
        <v>106</v>
      </c>
      <c r="L443" s="17" t="s">
        <v>1897</v>
      </c>
      <c r="M443" s="17" t="s">
        <v>20</v>
      </c>
      <c r="N443" s="6" t="s">
        <v>129</v>
      </c>
      <c r="O443" s="17" t="s">
        <v>24</v>
      </c>
      <c r="P443" s="19" t="s">
        <v>125</v>
      </c>
      <c r="Q443" s="22" t="s">
        <v>2098</v>
      </c>
      <c r="R443" s="20"/>
      <c r="S443" s="20"/>
    </row>
    <row r="444" spans="1:19" ht="14.4" hidden="1" x14ac:dyDescent="0.3">
      <c r="A444" s="5">
        <v>437</v>
      </c>
      <c r="B444" s="24" t="s">
        <v>1898</v>
      </c>
      <c r="C444" s="13">
        <v>52961559</v>
      </c>
      <c r="D444" s="6">
        <f>COUNTIFS($C$8:C444,C444)</f>
        <v>1</v>
      </c>
      <c r="E444" s="13">
        <v>3184016976</v>
      </c>
      <c r="F444" s="6" t="s">
        <v>1899</v>
      </c>
      <c r="G444" s="7">
        <v>46055</v>
      </c>
      <c r="H444" s="7">
        <v>46387</v>
      </c>
      <c r="I444" s="8" t="s">
        <v>1900</v>
      </c>
      <c r="J444" s="6" t="s">
        <v>1825</v>
      </c>
      <c r="K444" s="6" t="s">
        <v>143</v>
      </c>
      <c r="L444" s="6" t="s">
        <v>1200</v>
      </c>
      <c r="M444" s="6" t="s">
        <v>1901</v>
      </c>
      <c r="N444" s="6" t="s">
        <v>17</v>
      </c>
      <c r="O444" s="6" t="s">
        <v>52</v>
      </c>
      <c r="P444" t="s">
        <v>125</v>
      </c>
      <c r="Q444" s="25" t="s">
        <v>2112</v>
      </c>
    </row>
    <row r="445" spans="1:19" ht="14.4" hidden="1" x14ac:dyDescent="0.3">
      <c r="A445" s="5">
        <v>438</v>
      </c>
      <c r="B445" s="24" t="s">
        <v>1902</v>
      </c>
      <c r="C445" s="13">
        <v>1000522089</v>
      </c>
      <c r="D445" s="6">
        <f>COUNTIFS($C$8:C445,C445)</f>
        <v>1</v>
      </c>
      <c r="E445" s="13">
        <v>3204810462</v>
      </c>
      <c r="F445" s="6" t="s">
        <v>1903</v>
      </c>
      <c r="G445" s="7">
        <v>46031</v>
      </c>
      <c r="H445" s="7">
        <v>46364</v>
      </c>
      <c r="I445" s="8" t="s">
        <v>1904</v>
      </c>
      <c r="J445" s="6" t="s">
        <v>1905</v>
      </c>
      <c r="K445" s="6" t="s">
        <v>143</v>
      </c>
      <c r="L445" s="6" t="s">
        <v>75</v>
      </c>
      <c r="M445" s="6" t="s">
        <v>1906</v>
      </c>
      <c r="N445" s="6" t="s">
        <v>17</v>
      </c>
      <c r="O445" s="6" t="s">
        <v>52</v>
      </c>
      <c r="P445" t="s">
        <v>125</v>
      </c>
      <c r="Q445" s="25" t="s">
        <v>2112</v>
      </c>
    </row>
    <row r="446" spans="1:19" ht="14.4" hidden="1" x14ac:dyDescent="0.3">
      <c r="A446" s="5">
        <v>439</v>
      </c>
      <c r="B446" s="17" t="s">
        <v>832</v>
      </c>
      <c r="C446" s="6">
        <v>1030579980</v>
      </c>
      <c r="D446" s="6">
        <f>COUNTIFS($C$8:C446,C446)</f>
        <v>2</v>
      </c>
      <c r="E446" s="6">
        <v>3112350620</v>
      </c>
      <c r="F446" s="12" t="s">
        <v>833</v>
      </c>
      <c r="G446" s="7">
        <v>46042</v>
      </c>
      <c r="H446" s="7">
        <v>46387</v>
      </c>
      <c r="I446" s="8" t="s">
        <v>834</v>
      </c>
      <c r="J446" s="6" t="s">
        <v>2109</v>
      </c>
      <c r="K446" s="6" t="s">
        <v>143</v>
      </c>
      <c r="L446" s="6" t="s">
        <v>1127</v>
      </c>
      <c r="M446" s="6" t="s">
        <v>1907</v>
      </c>
      <c r="N446" s="6" t="s">
        <v>17</v>
      </c>
      <c r="O446" s="6" t="s">
        <v>60</v>
      </c>
      <c r="P446" t="s">
        <v>125</v>
      </c>
      <c r="Q446" s="25" t="s">
        <v>2112</v>
      </c>
    </row>
    <row r="447" spans="1:19" ht="14.4" hidden="1" x14ac:dyDescent="0.3">
      <c r="A447" s="16">
        <v>440</v>
      </c>
      <c r="B447" s="17" t="s">
        <v>1908</v>
      </c>
      <c r="C447" s="6">
        <v>1016008161</v>
      </c>
      <c r="D447" s="6">
        <f>COUNTIFS($C$8:C447,C447)</f>
        <v>1</v>
      </c>
      <c r="E447" s="6">
        <v>3103430417</v>
      </c>
      <c r="F447" s="12" t="s">
        <v>1909</v>
      </c>
      <c r="G447" s="7">
        <v>46042</v>
      </c>
      <c r="H447" s="7">
        <v>46387</v>
      </c>
      <c r="I447" s="8" t="s">
        <v>1910</v>
      </c>
      <c r="J447" s="6" t="s">
        <v>500</v>
      </c>
      <c r="K447" s="6" t="s">
        <v>143</v>
      </c>
      <c r="L447" s="6" t="s">
        <v>64</v>
      </c>
      <c r="M447" s="6" t="s">
        <v>1911</v>
      </c>
      <c r="N447" s="6" t="s">
        <v>253</v>
      </c>
      <c r="O447" s="6" t="s">
        <v>60</v>
      </c>
      <c r="P447" t="s">
        <v>125</v>
      </c>
      <c r="Q447" s="25" t="s">
        <v>2112</v>
      </c>
    </row>
    <row r="448" spans="1:19" ht="14.4" hidden="1" x14ac:dyDescent="0.3">
      <c r="A448" s="5">
        <v>441</v>
      </c>
      <c r="B448" s="17" t="s">
        <v>1912</v>
      </c>
      <c r="C448" s="6">
        <v>1022329322</v>
      </c>
      <c r="D448" s="6">
        <f>COUNTIFS($C$8:C448,C448)</f>
        <v>1</v>
      </c>
      <c r="E448" s="6">
        <v>3112413007</v>
      </c>
      <c r="F448" s="12" t="s">
        <v>1913</v>
      </c>
      <c r="G448" s="7">
        <v>46030</v>
      </c>
      <c r="H448" s="7">
        <v>46387</v>
      </c>
      <c r="I448" s="8" t="s">
        <v>1914</v>
      </c>
      <c r="J448" s="6" t="s">
        <v>500</v>
      </c>
      <c r="K448" s="6" t="s">
        <v>115</v>
      </c>
      <c r="L448" s="6" t="s">
        <v>75</v>
      </c>
      <c r="M448" s="6" t="s">
        <v>1915</v>
      </c>
      <c r="N448" s="6" t="s">
        <v>17</v>
      </c>
      <c r="O448" s="6" t="s">
        <v>60</v>
      </c>
      <c r="P448" t="s">
        <v>125</v>
      </c>
      <c r="Q448" s="25" t="s">
        <v>2112</v>
      </c>
    </row>
    <row r="449" spans="1:19" ht="14.4" hidden="1" x14ac:dyDescent="0.3">
      <c r="A449" s="5">
        <v>442</v>
      </c>
      <c r="B449" s="17" t="s">
        <v>1916</v>
      </c>
      <c r="C449" s="6">
        <v>1233512206</v>
      </c>
      <c r="D449" s="6">
        <f>COUNTIFS($C$8:C449,C449)</f>
        <v>1</v>
      </c>
      <c r="E449" s="6">
        <v>3222171182</v>
      </c>
      <c r="F449" s="12" t="s">
        <v>20</v>
      </c>
      <c r="G449" s="7" t="s">
        <v>20</v>
      </c>
      <c r="H449" s="7" t="s">
        <v>20</v>
      </c>
      <c r="I449" s="8" t="s">
        <v>1917</v>
      </c>
      <c r="J449" s="6" t="s">
        <v>434</v>
      </c>
      <c r="K449" s="6" t="s">
        <v>106</v>
      </c>
      <c r="L449" s="6" t="s">
        <v>363</v>
      </c>
      <c r="M449" s="6" t="s">
        <v>1918</v>
      </c>
      <c r="N449" s="6" t="s">
        <v>17</v>
      </c>
      <c r="O449" s="6" t="s">
        <v>316</v>
      </c>
      <c r="P449" t="s">
        <v>119</v>
      </c>
      <c r="Q449" s="25" t="s">
        <v>2112</v>
      </c>
    </row>
    <row r="450" spans="1:19" ht="14.4" hidden="1" x14ac:dyDescent="0.3">
      <c r="A450" s="5">
        <v>443</v>
      </c>
      <c r="B450" s="17" t="s">
        <v>1748</v>
      </c>
      <c r="C450" s="17">
        <v>1000284442</v>
      </c>
      <c r="D450" s="6">
        <f>COUNTIFS($C$8:C450,C450)</f>
        <v>2</v>
      </c>
      <c r="E450" s="17">
        <v>3058723948</v>
      </c>
      <c r="F450" s="17" t="s">
        <v>1749</v>
      </c>
      <c r="G450" s="18">
        <v>46048</v>
      </c>
      <c r="H450" s="18">
        <v>46229</v>
      </c>
      <c r="I450" s="8" t="s">
        <v>1750</v>
      </c>
      <c r="J450" s="17" t="s">
        <v>1395</v>
      </c>
      <c r="K450" s="17" t="s">
        <v>155</v>
      </c>
      <c r="L450" s="17" t="s">
        <v>1461</v>
      </c>
      <c r="M450" s="17" t="s">
        <v>20</v>
      </c>
      <c r="N450" s="6" t="s">
        <v>129</v>
      </c>
      <c r="O450" s="17" t="s">
        <v>24</v>
      </c>
      <c r="P450" s="19" t="s">
        <v>125</v>
      </c>
      <c r="Q450" s="21" t="s">
        <v>2098</v>
      </c>
      <c r="R450" s="20"/>
      <c r="S450" s="20"/>
    </row>
    <row r="451" spans="1:19" ht="14.4" hidden="1" x14ac:dyDescent="0.3">
      <c r="A451" s="16">
        <v>444</v>
      </c>
      <c r="B451" s="17" t="s">
        <v>1433</v>
      </c>
      <c r="C451" s="6">
        <v>79595346</v>
      </c>
      <c r="D451" s="6">
        <f>COUNTIFS($C$8:C451,C451)</f>
        <v>2</v>
      </c>
      <c r="E451" s="6">
        <v>3174775688</v>
      </c>
      <c r="F451" s="6" t="s">
        <v>1434</v>
      </c>
      <c r="G451" s="7">
        <v>46055</v>
      </c>
      <c r="H451" s="7">
        <v>46387</v>
      </c>
      <c r="I451" s="8" t="s">
        <v>1435</v>
      </c>
      <c r="J451" s="6" t="s">
        <v>500</v>
      </c>
      <c r="K451" s="6" t="s">
        <v>80</v>
      </c>
      <c r="L451" s="6" t="s">
        <v>550</v>
      </c>
      <c r="M451" s="6" t="s">
        <v>20</v>
      </c>
      <c r="N451" s="6" t="s">
        <v>80</v>
      </c>
      <c r="O451" s="6" t="s">
        <v>1919</v>
      </c>
      <c r="P451" t="s">
        <v>125</v>
      </c>
      <c r="Q451" s="25" t="s">
        <v>2112</v>
      </c>
    </row>
    <row r="452" spans="1:19" ht="14.4" hidden="1" x14ac:dyDescent="0.3">
      <c r="A452" s="5">
        <v>445</v>
      </c>
      <c r="B452" s="17" t="s">
        <v>1920</v>
      </c>
      <c r="C452" s="17">
        <v>80061648</v>
      </c>
      <c r="D452" s="6">
        <f>COUNTIFS($C$8:C452,C452)</f>
        <v>3</v>
      </c>
      <c r="E452" s="17">
        <v>3103076693</v>
      </c>
      <c r="F452" s="17" t="s">
        <v>1518</v>
      </c>
      <c r="G452" s="18">
        <v>46045</v>
      </c>
      <c r="H452" s="18">
        <v>46226</v>
      </c>
      <c r="I452" s="8" t="s">
        <v>1519</v>
      </c>
      <c r="J452" s="6" t="s">
        <v>270</v>
      </c>
      <c r="K452" s="6" t="s">
        <v>143</v>
      </c>
      <c r="L452" s="17" t="s">
        <v>1921</v>
      </c>
      <c r="M452" s="17" t="s">
        <v>1922</v>
      </c>
      <c r="N452" s="6" t="s">
        <v>253</v>
      </c>
      <c r="O452" s="17" t="s">
        <v>1923</v>
      </c>
      <c r="P452" s="19" t="s">
        <v>125</v>
      </c>
      <c r="Q452" s="21" t="s">
        <v>2098</v>
      </c>
      <c r="R452" s="20"/>
      <c r="S452" s="20"/>
    </row>
    <row r="453" spans="1:19" ht="14.4" hidden="1" x14ac:dyDescent="0.3">
      <c r="A453" s="5">
        <v>446</v>
      </c>
      <c r="B453" s="17" t="s">
        <v>584</v>
      </c>
      <c r="C453" s="6">
        <v>1001090013</v>
      </c>
      <c r="D453" s="6">
        <f>COUNTIFS($C$8:C453,C453)</f>
        <v>2</v>
      </c>
      <c r="E453" s="6">
        <v>3214308705</v>
      </c>
      <c r="F453" s="12" t="s">
        <v>585</v>
      </c>
      <c r="G453" s="7">
        <v>46041</v>
      </c>
      <c r="H453" s="7">
        <v>46374</v>
      </c>
      <c r="I453" s="8" t="s">
        <v>586</v>
      </c>
      <c r="J453" s="6" t="s">
        <v>587</v>
      </c>
      <c r="K453" s="6" t="s">
        <v>143</v>
      </c>
      <c r="L453" s="6" t="s">
        <v>1924</v>
      </c>
      <c r="M453" s="6" t="s">
        <v>1925</v>
      </c>
      <c r="N453" s="6" t="s">
        <v>253</v>
      </c>
      <c r="O453" s="6" t="s">
        <v>60</v>
      </c>
      <c r="P453" t="s">
        <v>125</v>
      </c>
      <c r="Q453" s="25" t="s">
        <v>2112</v>
      </c>
    </row>
    <row r="454" spans="1:19" ht="14.4" hidden="1" x14ac:dyDescent="0.3">
      <c r="A454" s="5">
        <v>447</v>
      </c>
      <c r="B454" s="17" t="s">
        <v>1926</v>
      </c>
      <c r="C454" s="6">
        <v>1121886960</v>
      </c>
      <c r="D454" s="6">
        <f>COUNTIFS($C$8:C454,C454)</f>
        <v>1</v>
      </c>
      <c r="E454" s="6">
        <v>3102403763</v>
      </c>
      <c r="F454" s="12" t="s">
        <v>1927</v>
      </c>
      <c r="G454" s="7">
        <v>46036</v>
      </c>
      <c r="H454" s="7">
        <v>46387</v>
      </c>
      <c r="I454" s="8" t="s">
        <v>1928</v>
      </c>
      <c r="J454" s="6" t="s">
        <v>325</v>
      </c>
      <c r="K454" s="6" t="s">
        <v>143</v>
      </c>
      <c r="L454" s="6" t="s">
        <v>75</v>
      </c>
      <c r="M454" s="6" t="s">
        <v>1929</v>
      </c>
      <c r="N454" s="6" t="s">
        <v>253</v>
      </c>
      <c r="O454" s="6" t="s">
        <v>60</v>
      </c>
      <c r="P454" t="s">
        <v>125</v>
      </c>
      <c r="Q454" s="25" t="s">
        <v>2112</v>
      </c>
    </row>
    <row r="455" spans="1:19" ht="14.4" hidden="1" x14ac:dyDescent="0.3">
      <c r="A455" s="16">
        <v>448</v>
      </c>
      <c r="B455" s="17" t="s">
        <v>1930</v>
      </c>
      <c r="C455" s="6">
        <v>1026264243</v>
      </c>
      <c r="D455" s="6">
        <f>COUNTIFS($C$8:C455,C455)</f>
        <v>1</v>
      </c>
      <c r="E455" s="6">
        <v>3196783827</v>
      </c>
      <c r="F455" s="12" t="s">
        <v>1931</v>
      </c>
      <c r="G455" s="7">
        <v>46042</v>
      </c>
      <c r="H455" s="7">
        <v>46345</v>
      </c>
      <c r="I455" s="8" t="s">
        <v>1932</v>
      </c>
      <c r="J455" s="6" t="s">
        <v>256</v>
      </c>
      <c r="K455" s="6" t="s">
        <v>115</v>
      </c>
      <c r="L455" s="6" t="s">
        <v>1311</v>
      </c>
      <c r="M455" s="6" t="s">
        <v>1933</v>
      </c>
      <c r="N455" s="6" t="s">
        <v>17</v>
      </c>
      <c r="O455" s="6" t="s">
        <v>60</v>
      </c>
      <c r="P455" t="s">
        <v>125</v>
      </c>
      <c r="Q455" s="25" t="s">
        <v>2112</v>
      </c>
    </row>
    <row r="456" spans="1:19" ht="14.4" hidden="1" x14ac:dyDescent="0.3">
      <c r="A456" s="5">
        <v>449</v>
      </c>
      <c r="B456" s="17" t="s">
        <v>1934</v>
      </c>
      <c r="C456" s="6">
        <v>51836043</v>
      </c>
      <c r="D456" s="6">
        <f>COUNTIFS($C$8:C456,C456)</f>
        <v>1</v>
      </c>
      <c r="E456" s="6">
        <v>3123602046</v>
      </c>
      <c r="F456" s="12" t="s">
        <v>1935</v>
      </c>
      <c r="G456" s="7">
        <v>46048</v>
      </c>
      <c r="H456" s="7">
        <v>46228</v>
      </c>
      <c r="I456" s="8" t="s">
        <v>1936</v>
      </c>
      <c r="J456" s="6" t="s">
        <v>256</v>
      </c>
      <c r="K456" s="6" t="s">
        <v>106</v>
      </c>
      <c r="L456" s="6" t="s">
        <v>701</v>
      </c>
      <c r="M456" s="6" t="s">
        <v>1937</v>
      </c>
      <c r="N456" s="6" t="s">
        <v>17</v>
      </c>
      <c r="O456" s="6" t="s">
        <v>1938</v>
      </c>
      <c r="P456" t="s">
        <v>125</v>
      </c>
      <c r="Q456" s="25" t="s">
        <v>2112</v>
      </c>
    </row>
    <row r="457" spans="1:19" ht="14.4" hidden="1" x14ac:dyDescent="0.3">
      <c r="A457" s="5">
        <v>450</v>
      </c>
      <c r="B457" s="17" t="s">
        <v>1462</v>
      </c>
      <c r="C457" s="6">
        <v>1022984445</v>
      </c>
      <c r="D457" s="6">
        <f>COUNTIFS($C$8:C457,C457)</f>
        <v>2</v>
      </c>
      <c r="E457" s="6">
        <v>3053862189</v>
      </c>
      <c r="F457" s="6" t="s">
        <v>1463</v>
      </c>
      <c r="G457" s="7">
        <v>46048</v>
      </c>
      <c r="H457" s="7">
        <v>46199</v>
      </c>
      <c r="I457" s="8" t="s">
        <v>1464</v>
      </c>
      <c r="J457" s="6" t="s">
        <v>201</v>
      </c>
      <c r="K457" s="6" t="s">
        <v>80</v>
      </c>
      <c r="L457" s="6" t="s">
        <v>1939</v>
      </c>
      <c r="M457" s="6" t="s">
        <v>20</v>
      </c>
      <c r="N457" s="6" t="s">
        <v>129</v>
      </c>
      <c r="O457" s="6" t="s">
        <v>1940</v>
      </c>
      <c r="P457" t="s">
        <v>125</v>
      </c>
      <c r="Q457" s="25" t="s">
        <v>2112</v>
      </c>
    </row>
    <row r="458" spans="1:19" ht="14.4" hidden="1" x14ac:dyDescent="0.3">
      <c r="A458" s="5">
        <v>451</v>
      </c>
      <c r="B458" s="17" t="s">
        <v>1941</v>
      </c>
      <c r="C458" s="17">
        <v>1051980148</v>
      </c>
      <c r="D458" s="6">
        <f>COUNTIFS($C$8:C458,C458)</f>
        <v>1</v>
      </c>
      <c r="E458" s="17">
        <v>3188362196</v>
      </c>
      <c r="F458" s="17" t="s">
        <v>1942</v>
      </c>
      <c r="G458" s="18">
        <v>46041</v>
      </c>
      <c r="H458" s="18">
        <v>46375</v>
      </c>
      <c r="I458" s="8" t="s">
        <v>1943</v>
      </c>
      <c r="J458" s="6" t="s">
        <v>1229</v>
      </c>
      <c r="K458" s="6" t="s">
        <v>80</v>
      </c>
      <c r="L458" s="17" t="s">
        <v>81</v>
      </c>
      <c r="M458" s="17" t="s">
        <v>20</v>
      </c>
      <c r="N458" s="17" t="s">
        <v>80</v>
      </c>
      <c r="O458" s="17" t="s">
        <v>18</v>
      </c>
      <c r="P458" s="19" t="s">
        <v>125</v>
      </c>
      <c r="Q458" s="22" t="s">
        <v>2098</v>
      </c>
      <c r="R458" s="20"/>
      <c r="S458" s="20"/>
    </row>
    <row r="459" spans="1:19" ht="14.4" hidden="1" x14ac:dyDescent="0.3">
      <c r="A459" s="16">
        <v>452</v>
      </c>
      <c r="B459" s="17" t="s">
        <v>1944</v>
      </c>
      <c r="C459" s="6">
        <v>1106892760</v>
      </c>
      <c r="D459" s="6">
        <f>COUNTIFS($C$8:C459,C459)</f>
        <v>2</v>
      </c>
      <c r="E459" s="6">
        <v>3015168315</v>
      </c>
      <c r="F459" s="12" t="s">
        <v>411</v>
      </c>
      <c r="G459" s="7">
        <v>46031</v>
      </c>
      <c r="H459" s="7">
        <v>46387</v>
      </c>
      <c r="I459" s="8" t="s">
        <v>412</v>
      </c>
      <c r="J459" s="17" t="s">
        <v>1667</v>
      </c>
      <c r="K459" s="6" t="s">
        <v>115</v>
      </c>
      <c r="L459" s="6" t="s">
        <v>22</v>
      </c>
      <c r="M459" s="6" t="s">
        <v>1945</v>
      </c>
      <c r="N459" s="6" t="s">
        <v>129</v>
      </c>
      <c r="O459" s="6" t="s">
        <v>18</v>
      </c>
      <c r="P459" t="s">
        <v>125</v>
      </c>
      <c r="Q459" s="25" t="s">
        <v>2112</v>
      </c>
    </row>
    <row r="460" spans="1:19" ht="14.4" hidden="1" x14ac:dyDescent="0.3">
      <c r="A460" s="5">
        <v>453</v>
      </c>
      <c r="B460" s="17" t="s">
        <v>1946</v>
      </c>
      <c r="C460" s="6">
        <v>1032444607</v>
      </c>
      <c r="D460" s="6">
        <f>COUNTIFS($C$8:C460,C460)</f>
        <v>1</v>
      </c>
      <c r="E460" s="6" t="s">
        <v>20</v>
      </c>
      <c r="F460" s="12" t="s">
        <v>20</v>
      </c>
      <c r="G460" s="12" t="s">
        <v>20</v>
      </c>
      <c r="H460" s="12" t="s">
        <v>20</v>
      </c>
      <c r="I460" s="8" t="s">
        <v>1947</v>
      </c>
      <c r="J460" s="6" t="s">
        <v>1698</v>
      </c>
      <c r="K460" s="6" t="s">
        <v>115</v>
      </c>
      <c r="L460" s="6" t="s">
        <v>1948</v>
      </c>
      <c r="M460" s="6" t="s">
        <v>1949</v>
      </c>
      <c r="N460" s="6" t="s">
        <v>129</v>
      </c>
      <c r="O460" s="6" t="s">
        <v>60</v>
      </c>
      <c r="P460" t="s">
        <v>1280</v>
      </c>
      <c r="Q460" s="25" t="s">
        <v>2112</v>
      </c>
    </row>
    <row r="461" spans="1:19" ht="14.4" hidden="1" x14ac:dyDescent="0.3">
      <c r="A461" s="5">
        <v>454</v>
      </c>
      <c r="B461" s="17" t="s">
        <v>1950</v>
      </c>
      <c r="C461" s="6">
        <v>1010235400</v>
      </c>
      <c r="D461" s="6">
        <f>COUNTIFS($C$8:C461,C461)</f>
        <v>1</v>
      </c>
      <c r="E461" s="6">
        <v>155443425</v>
      </c>
      <c r="F461" s="12" t="s">
        <v>1951</v>
      </c>
      <c r="G461" s="12">
        <v>46055</v>
      </c>
      <c r="H461" s="12">
        <v>46387</v>
      </c>
      <c r="I461" s="8" t="s">
        <v>1952</v>
      </c>
      <c r="J461" s="6" t="s">
        <v>500</v>
      </c>
      <c r="K461" s="6" t="s">
        <v>80</v>
      </c>
      <c r="L461" s="6" t="s">
        <v>1953</v>
      </c>
      <c r="M461" s="6" t="s">
        <v>20</v>
      </c>
      <c r="N461" s="6" t="s">
        <v>129</v>
      </c>
      <c r="O461" s="6" t="s">
        <v>1893</v>
      </c>
      <c r="P461" t="s">
        <v>125</v>
      </c>
      <c r="Q461" s="25" t="s">
        <v>2112</v>
      </c>
    </row>
    <row r="462" spans="1:19" ht="14.4" hidden="1" x14ac:dyDescent="0.3">
      <c r="A462" s="5">
        <v>455</v>
      </c>
      <c r="B462" s="17" t="s">
        <v>1954</v>
      </c>
      <c r="C462" s="6">
        <v>1090374848</v>
      </c>
      <c r="D462" s="6">
        <f>COUNTIFS($C$8:C462,C462)</f>
        <v>1</v>
      </c>
      <c r="E462" s="6">
        <v>3133631892</v>
      </c>
      <c r="F462" s="12" t="s">
        <v>1955</v>
      </c>
      <c r="G462" s="12">
        <v>46041</v>
      </c>
      <c r="H462" s="12">
        <v>46387</v>
      </c>
      <c r="I462" s="8" t="s">
        <v>1956</v>
      </c>
      <c r="J462" s="6" t="s">
        <v>201</v>
      </c>
      <c r="K462" s="6" t="s">
        <v>155</v>
      </c>
      <c r="L462" s="6" t="s">
        <v>1481</v>
      </c>
      <c r="M462" s="6" t="s">
        <v>20</v>
      </c>
      <c r="N462" s="6" t="s">
        <v>129</v>
      </c>
      <c r="O462" s="6" t="s">
        <v>24</v>
      </c>
      <c r="P462" t="s">
        <v>125</v>
      </c>
      <c r="Q462" s="25" t="s">
        <v>2112</v>
      </c>
    </row>
    <row r="463" spans="1:19" ht="14.4" hidden="1" x14ac:dyDescent="0.3">
      <c r="A463" s="16">
        <v>456</v>
      </c>
      <c r="B463" s="17" t="s">
        <v>1957</v>
      </c>
      <c r="C463" s="6">
        <v>1032406226</v>
      </c>
      <c r="D463" s="6">
        <f>COUNTIFS($C$8:C463,C463)</f>
        <v>1</v>
      </c>
      <c r="E463" s="6">
        <v>3142744046</v>
      </c>
      <c r="F463" s="12" t="s">
        <v>1958</v>
      </c>
      <c r="G463" s="12">
        <v>46042</v>
      </c>
      <c r="H463" s="12">
        <v>46375</v>
      </c>
      <c r="I463" s="8" t="s">
        <v>1959</v>
      </c>
      <c r="J463" s="6" t="s">
        <v>1960</v>
      </c>
      <c r="K463" s="6" t="s">
        <v>80</v>
      </c>
      <c r="L463" s="6" t="s">
        <v>1961</v>
      </c>
      <c r="M463" s="6" t="s">
        <v>20</v>
      </c>
      <c r="N463" s="6" t="s">
        <v>80</v>
      </c>
      <c r="O463" s="6" t="s">
        <v>157</v>
      </c>
      <c r="P463" t="s">
        <v>125</v>
      </c>
      <c r="Q463" s="25" t="s">
        <v>2112</v>
      </c>
    </row>
    <row r="464" spans="1:19" ht="14.4" hidden="1" x14ac:dyDescent="0.3">
      <c r="A464" s="5">
        <v>457</v>
      </c>
      <c r="B464" s="17" t="s">
        <v>1962</v>
      </c>
      <c r="C464" s="6">
        <v>80767685</v>
      </c>
      <c r="D464" s="6">
        <f>COUNTIFS($C$8:C464,C464)</f>
        <v>1</v>
      </c>
      <c r="E464" s="6">
        <v>3114519936</v>
      </c>
      <c r="F464" s="12" t="s">
        <v>1963</v>
      </c>
      <c r="G464" s="12">
        <v>46038</v>
      </c>
      <c r="H464" s="12">
        <v>46387</v>
      </c>
      <c r="I464" s="8" t="s">
        <v>1964</v>
      </c>
      <c r="J464" s="6" t="s">
        <v>285</v>
      </c>
      <c r="K464" s="6" t="s">
        <v>80</v>
      </c>
      <c r="L464" s="6" t="s">
        <v>550</v>
      </c>
      <c r="M464" s="6" t="s">
        <v>20</v>
      </c>
      <c r="N464" s="6" t="s">
        <v>80</v>
      </c>
      <c r="O464" s="6" t="s">
        <v>157</v>
      </c>
      <c r="P464" t="s">
        <v>125</v>
      </c>
      <c r="Q464" s="25" t="s">
        <v>2112</v>
      </c>
    </row>
    <row r="465" spans="1:19" ht="14.4" hidden="1" x14ac:dyDescent="0.3">
      <c r="A465" s="5">
        <v>458</v>
      </c>
      <c r="B465" s="17" t="s">
        <v>787</v>
      </c>
      <c r="C465" s="6">
        <v>80766953</v>
      </c>
      <c r="D465" s="6">
        <f>COUNTIFS($C$8:C465,C465)</f>
        <v>2</v>
      </c>
      <c r="E465" s="6">
        <v>3124619148</v>
      </c>
      <c r="F465" s="12" t="s">
        <v>788</v>
      </c>
      <c r="G465" s="7">
        <v>46035</v>
      </c>
      <c r="H465" s="7">
        <v>46277</v>
      </c>
      <c r="I465" s="8" t="s">
        <v>789</v>
      </c>
      <c r="J465" s="6" t="s">
        <v>500</v>
      </c>
      <c r="K465" s="6" t="s">
        <v>80</v>
      </c>
      <c r="L465" s="6" t="s">
        <v>1756</v>
      </c>
      <c r="M465" s="6" t="s">
        <v>20</v>
      </c>
      <c r="N465" s="6" t="s">
        <v>80</v>
      </c>
      <c r="O465" s="6" t="s">
        <v>24</v>
      </c>
      <c r="P465" t="s">
        <v>125</v>
      </c>
      <c r="Q465" s="25" t="s">
        <v>2112</v>
      </c>
    </row>
    <row r="466" spans="1:19" ht="14.4" hidden="1" x14ac:dyDescent="0.3">
      <c r="A466" s="5">
        <v>459</v>
      </c>
      <c r="B466" s="17" t="s">
        <v>1965</v>
      </c>
      <c r="C466" s="6">
        <v>79954325</v>
      </c>
      <c r="D466" s="6">
        <f>COUNTIFS($C$8:C466,C466)</f>
        <v>1</v>
      </c>
      <c r="E466" s="6">
        <v>3142398567</v>
      </c>
      <c r="F466" s="12" t="s">
        <v>1966</v>
      </c>
      <c r="G466" s="7">
        <v>46031</v>
      </c>
      <c r="H466" s="7">
        <v>46387</v>
      </c>
      <c r="I466" s="8" t="s">
        <v>1967</v>
      </c>
      <c r="J466" s="6" t="s">
        <v>434</v>
      </c>
      <c r="K466" s="6" t="s">
        <v>80</v>
      </c>
      <c r="L466" s="6" t="s">
        <v>1647</v>
      </c>
      <c r="M466" s="6" t="s">
        <v>20</v>
      </c>
      <c r="N466" s="6" t="s">
        <v>80</v>
      </c>
      <c r="O466" s="6" t="s">
        <v>24</v>
      </c>
      <c r="P466" t="s">
        <v>125</v>
      </c>
      <c r="Q466" s="25" t="s">
        <v>2112</v>
      </c>
    </row>
    <row r="467" spans="1:19" ht="14.4" hidden="1" x14ac:dyDescent="0.3">
      <c r="A467" s="16">
        <v>460</v>
      </c>
      <c r="B467" s="17" t="s">
        <v>1728</v>
      </c>
      <c r="C467" s="6">
        <v>1026261037</v>
      </c>
      <c r="D467" s="6">
        <f>COUNTIFS($C$8:C467,C467)</f>
        <v>2</v>
      </c>
      <c r="E467" s="6">
        <v>3005775183</v>
      </c>
      <c r="F467" s="6" t="s">
        <v>1729</v>
      </c>
      <c r="G467" s="7">
        <v>46031</v>
      </c>
      <c r="H467" s="7">
        <v>46351</v>
      </c>
      <c r="I467" s="8" t="s">
        <v>1730</v>
      </c>
      <c r="J467" s="6" t="s">
        <v>1905</v>
      </c>
      <c r="K467" s="6" t="s">
        <v>115</v>
      </c>
      <c r="L467" s="6" t="s">
        <v>354</v>
      </c>
      <c r="M467" s="6" t="s">
        <v>1968</v>
      </c>
      <c r="N467" s="6" t="s">
        <v>17</v>
      </c>
      <c r="O467" s="6" t="s">
        <v>60</v>
      </c>
      <c r="P467" t="s">
        <v>125</v>
      </c>
      <c r="Q467" s="25" t="s">
        <v>2112</v>
      </c>
    </row>
    <row r="468" spans="1:19" ht="14.4" hidden="1" x14ac:dyDescent="0.3">
      <c r="A468" s="5">
        <v>461</v>
      </c>
      <c r="B468" s="17" t="s">
        <v>1969</v>
      </c>
      <c r="C468" s="17">
        <v>1006881475</v>
      </c>
      <c r="D468" s="6">
        <f>COUNTIFS($C$8:C468,C468)</f>
        <v>1</v>
      </c>
      <c r="E468" s="24">
        <v>3157187705</v>
      </c>
      <c r="F468" s="17" t="s">
        <v>1970</v>
      </c>
      <c r="G468" s="18">
        <v>46048</v>
      </c>
      <c r="H468" s="18">
        <v>46387</v>
      </c>
      <c r="I468" s="8" t="s">
        <v>1971</v>
      </c>
      <c r="J468" s="6" t="s">
        <v>1229</v>
      </c>
      <c r="K468" s="6" t="s">
        <v>80</v>
      </c>
      <c r="L468" s="17" t="s">
        <v>1972</v>
      </c>
      <c r="M468" s="17" t="s">
        <v>20</v>
      </c>
      <c r="N468" s="17" t="s">
        <v>80</v>
      </c>
      <c r="O468" s="17" t="s">
        <v>1856</v>
      </c>
      <c r="P468" s="19" t="s">
        <v>125</v>
      </c>
      <c r="Q468" s="21" t="s">
        <v>2098</v>
      </c>
      <c r="R468" s="20"/>
      <c r="S468" s="20"/>
    </row>
    <row r="469" spans="1:19" ht="14.4" x14ac:dyDescent="0.3">
      <c r="A469" s="5">
        <v>462</v>
      </c>
      <c r="B469" s="17" t="s">
        <v>1497</v>
      </c>
      <c r="C469" s="17">
        <v>80019944</v>
      </c>
      <c r="D469" s="6">
        <f>COUNTIFS($C$8:C469,C469)</f>
        <v>3</v>
      </c>
      <c r="E469" s="17">
        <v>3015363830</v>
      </c>
      <c r="F469" s="23" t="s">
        <v>1498</v>
      </c>
      <c r="G469" s="18">
        <v>46038</v>
      </c>
      <c r="H469" s="18">
        <v>46387</v>
      </c>
      <c r="I469" s="8" t="s">
        <v>1499</v>
      </c>
      <c r="J469" s="6" t="s">
        <v>434</v>
      </c>
      <c r="K469" s="6" t="s">
        <v>143</v>
      </c>
      <c r="L469" s="17" t="s">
        <v>202</v>
      </c>
      <c r="M469" s="17" t="s">
        <v>1973</v>
      </c>
      <c r="N469" s="17" t="s">
        <v>17</v>
      </c>
      <c r="O469" s="17" t="s">
        <v>18</v>
      </c>
      <c r="P469" s="19" t="s">
        <v>125</v>
      </c>
      <c r="Q469" s="22" t="s">
        <v>2098</v>
      </c>
      <c r="R469" s="20"/>
      <c r="S469" s="20"/>
    </row>
    <row r="470" spans="1:19" ht="14.4" hidden="1" x14ac:dyDescent="0.3">
      <c r="A470" s="5">
        <v>463</v>
      </c>
      <c r="B470" s="17" t="s">
        <v>1974</v>
      </c>
      <c r="C470" s="17">
        <v>1032419051</v>
      </c>
      <c r="D470" s="6">
        <f>COUNTIFS($C$8:C470,C470)</f>
        <v>1</v>
      </c>
      <c r="E470" s="17">
        <v>3167537379</v>
      </c>
      <c r="F470" s="17" t="s">
        <v>1975</v>
      </c>
      <c r="G470" s="18">
        <v>46101</v>
      </c>
      <c r="H470" s="18">
        <v>46387</v>
      </c>
      <c r="I470" s="8" t="s">
        <v>1976</v>
      </c>
      <c r="J470" s="6" t="s">
        <v>201</v>
      </c>
      <c r="K470" s="6" t="s">
        <v>143</v>
      </c>
      <c r="L470" s="17" t="s">
        <v>1977</v>
      </c>
      <c r="M470" s="17" t="s">
        <v>1978</v>
      </c>
      <c r="N470" s="6" t="s">
        <v>253</v>
      </c>
      <c r="O470" s="17" t="s">
        <v>18</v>
      </c>
      <c r="P470" s="19" t="s">
        <v>125</v>
      </c>
      <c r="Q470" s="22" t="s">
        <v>2098</v>
      </c>
      <c r="R470" s="20"/>
      <c r="S470" s="20"/>
    </row>
    <row r="471" spans="1:19" ht="14.4" hidden="1" x14ac:dyDescent="0.3">
      <c r="A471" s="16">
        <v>464</v>
      </c>
      <c r="B471" s="17" t="s">
        <v>1979</v>
      </c>
      <c r="C471" s="6">
        <v>1019007970</v>
      </c>
      <c r="D471" s="6">
        <f>COUNTIFS($C$8:C471,C471)</f>
        <v>2</v>
      </c>
      <c r="E471" s="6">
        <v>3017193730</v>
      </c>
      <c r="F471" s="6" t="s">
        <v>20</v>
      </c>
      <c r="G471" s="7" t="s">
        <v>20</v>
      </c>
      <c r="H471" s="7" t="s">
        <v>20</v>
      </c>
      <c r="I471" s="8" t="s">
        <v>1268</v>
      </c>
      <c r="J471" s="6" t="s">
        <v>742</v>
      </c>
      <c r="K471" s="6" t="s">
        <v>80</v>
      </c>
      <c r="L471" s="6" t="s">
        <v>1980</v>
      </c>
      <c r="M471" s="6" t="s">
        <v>20</v>
      </c>
      <c r="N471" s="6" t="s">
        <v>80</v>
      </c>
      <c r="O471" s="6" t="s">
        <v>24</v>
      </c>
      <c r="P471" t="s">
        <v>1280</v>
      </c>
      <c r="Q471" s="25" t="s">
        <v>2112</v>
      </c>
    </row>
    <row r="472" spans="1:19" ht="14.4" hidden="1" x14ac:dyDescent="0.3">
      <c r="A472" s="5">
        <v>465</v>
      </c>
      <c r="B472" s="17" t="s">
        <v>860</v>
      </c>
      <c r="C472" s="6">
        <v>29120343</v>
      </c>
      <c r="D472" s="6">
        <f>COUNTIFS($C$8:C472,C472)</f>
        <v>2</v>
      </c>
      <c r="E472" s="6">
        <v>3017861952</v>
      </c>
      <c r="F472" s="12" t="s">
        <v>861</v>
      </c>
      <c r="G472" s="7">
        <v>46057</v>
      </c>
      <c r="H472" s="7">
        <v>46387</v>
      </c>
      <c r="I472" s="8" t="s">
        <v>862</v>
      </c>
      <c r="J472" s="6" t="s">
        <v>500</v>
      </c>
      <c r="K472" s="6" t="s">
        <v>143</v>
      </c>
      <c r="L472" s="6" t="s">
        <v>1921</v>
      </c>
      <c r="M472" s="6" t="s">
        <v>1981</v>
      </c>
      <c r="N472" s="6" t="s">
        <v>253</v>
      </c>
      <c r="O472" s="6" t="s">
        <v>60</v>
      </c>
      <c r="P472" t="s">
        <v>125</v>
      </c>
      <c r="Q472" s="25" t="s">
        <v>2112</v>
      </c>
    </row>
    <row r="473" spans="1:19" ht="14.4" hidden="1" x14ac:dyDescent="0.3">
      <c r="A473" s="5">
        <v>466</v>
      </c>
      <c r="B473" s="17" t="s">
        <v>1982</v>
      </c>
      <c r="C473" s="6">
        <v>79786845</v>
      </c>
      <c r="D473" s="6">
        <f>COUNTIFS($C$8:C473,C473)</f>
        <v>1</v>
      </c>
      <c r="E473" s="6">
        <v>3103097228</v>
      </c>
      <c r="F473" s="6" t="s">
        <v>1983</v>
      </c>
      <c r="G473" s="7">
        <v>46042</v>
      </c>
      <c r="H473" s="7">
        <v>46222</v>
      </c>
      <c r="I473" s="8" t="s">
        <v>1984</v>
      </c>
      <c r="J473" s="17" t="s">
        <v>1041</v>
      </c>
      <c r="K473" s="6" t="s">
        <v>143</v>
      </c>
      <c r="L473" s="6" t="s">
        <v>501</v>
      </c>
      <c r="M473" s="6" t="s">
        <v>1985</v>
      </c>
      <c r="N473" s="6" t="s">
        <v>17</v>
      </c>
      <c r="O473" s="6" t="s">
        <v>259</v>
      </c>
      <c r="P473" t="s">
        <v>125</v>
      </c>
      <c r="Q473" s="25" t="s">
        <v>2112</v>
      </c>
    </row>
    <row r="474" spans="1:19" ht="14.4" hidden="1" x14ac:dyDescent="0.3">
      <c r="A474" s="5">
        <v>467</v>
      </c>
      <c r="B474" s="17" t="s">
        <v>1982</v>
      </c>
      <c r="C474" s="6">
        <v>79786845</v>
      </c>
      <c r="D474" s="6">
        <f>COUNTIFS($C$8:C474,C474)</f>
        <v>2</v>
      </c>
      <c r="E474" s="6">
        <v>3103097228</v>
      </c>
      <c r="F474" s="6" t="s">
        <v>1983</v>
      </c>
      <c r="G474" s="7">
        <v>46042</v>
      </c>
      <c r="H474" s="7">
        <v>46222</v>
      </c>
      <c r="I474" s="8" t="s">
        <v>1984</v>
      </c>
      <c r="J474" s="17" t="s">
        <v>1041</v>
      </c>
      <c r="K474" s="6" t="s">
        <v>106</v>
      </c>
      <c r="L474" s="6" t="s">
        <v>132</v>
      </c>
      <c r="M474" s="6" t="s">
        <v>1986</v>
      </c>
      <c r="N474" s="6" t="s">
        <v>17</v>
      </c>
      <c r="O474" s="6" t="s">
        <v>157</v>
      </c>
      <c r="P474" t="s">
        <v>125</v>
      </c>
      <c r="Q474" s="25" t="s">
        <v>2112</v>
      </c>
    </row>
    <row r="475" spans="1:19" ht="14.4" hidden="1" x14ac:dyDescent="0.3">
      <c r="A475" s="16">
        <v>468</v>
      </c>
      <c r="B475" s="17" t="s">
        <v>1982</v>
      </c>
      <c r="C475" s="6">
        <v>79786845</v>
      </c>
      <c r="D475" s="6">
        <f>COUNTIFS($C$8:C475,C475)</f>
        <v>3</v>
      </c>
      <c r="E475" s="6">
        <v>3103097228</v>
      </c>
      <c r="F475" s="6" t="s">
        <v>1983</v>
      </c>
      <c r="G475" s="7">
        <v>46042</v>
      </c>
      <c r="H475" s="7">
        <v>46222</v>
      </c>
      <c r="I475" s="8" t="s">
        <v>1984</v>
      </c>
      <c r="J475" s="17" t="s">
        <v>1041</v>
      </c>
      <c r="K475" s="6" t="s">
        <v>155</v>
      </c>
      <c r="L475" s="6" t="s">
        <v>1987</v>
      </c>
      <c r="M475" s="6" t="s">
        <v>20</v>
      </c>
      <c r="N475" s="6" t="s">
        <v>129</v>
      </c>
      <c r="O475" s="6" t="s">
        <v>1988</v>
      </c>
      <c r="P475" t="s">
        <v>125</v>
      </c>
      <c r="Q475" s="25" t="s">
        <v>2112</v>
      </c>
    </row>
    <row r="476" spans="1:19" ht="14.4" hidden="1" x14ac:dyDescent="0.3">
      <c r="A476" s="5">
        <v>469</v>
      </c>
      <c r="B476" s="17" t="s">
        <v>1482</v>
      </c>
      <c r="C476" s="6">
        <v>52883834</v>
      </c>
      <c r="D476" s="6">
        <f>COUNTIFS($C$8:C476,C476)</f>
        <v>2</v>
      </c>
      <c r="E476" s="6">
        <v>3204174797</v>
      </c>
      <c r="F476" s="12" t="s">
        <v>1483</v>
      </c>
      <c r="G476" s="7">
        <v>46041</v>
      </c>
      <c r="H476" s="7">
        <v>46242</v>
      </c>
      <c r="I476" s="8" t="s">
        <v>1484</v>
      </c>
      <c r="J476" s="6" t="s">
        <v>1338</v>
      </c>
      <c r="K476" s="6" t="s">
        <v>115</v>
      </c>
      <c r="L476" s="6" t="s">
        <v>439</v>
      </c>
      <c r="M476" s="6" t="s">
        <v>1989</v>
      </c>
      <c r="N476" s="6" t="s">
        <v>17</v>
      </c>
      <c r="O476" s="6" t="s">
        <v>18</v>
      </c>
      <c r="P476" t="s">
        <v>125</v>
      </c>
      <c r="Q476" s="25" t="s">
        <v>2112</v>
      </c>
    </row>
    <row r="477" spans="1:19" ht="14.4" hidden="1" x14ac:dyDescent="0.3">
      <c r="A477" s="5">
        <v>470</v>
      </c>
      <c r="B477" s="17" t="s">
        <v>1990</v>
      </c>
      <c r="C477" s="6">
        <v>84102209</v>
      </c>
      <c r="D477" s="6">
        <f>COUNTIFS($C$8:C477,C477)</f>
        <v>1</v>
      </c>
      <c r="E477" s="6">
        <v>3013739116</v>
      </c>
      <c r="F477" s="6" t="s">
        <v>1991</v>
      </c>
      <c r="G477" s="7">
        <v>46045</v>
      </c>
      <c r="H477" s="7">
        <v>46387</v>
      </c>
      <c r="I477" s="8" t="s">
        <v>1992</v>
      </c>
      <c r="J477" s="6" t="s">
        <v>434</v>
      </c>
      <c r="K477" s="6" t="s">
        <v>115</v>
      </c>
      <c r="L477" s="6" t="s">
        <v>138</v>
      </c>
      <c r="M477" s="6" t="s">
        <v>1993</v>
      </c>
      <c r="N477" s="6" t="s">
        <v>17</v>
      </c>
      <c r="O477" s="6" t="s">
        <v>60</v>
      </c>
      <c r="P477" t="s">
        <v>125</v>
      </c>
      <c r="Q477" s="25" t="s">
        <v>2112</v>
      </c>
    </row>
    <row r="478" spans="1:19" ht="14.4" hidden="1" x14ac:dyDescent="0.3">
      <c r="A478" s="5">
        <v>471</v>
      </c>
      <c r="B478" s="17" t="s">
        <v>1994</v>
      </c>
      <c r="C478" s="6">
        <v>1103095276</v>
      </c>
      <c r="D478" s="6">
        <f>COUNTIFS($C$8:C478,C478)</f>
        <v>1</v>
      </c>
      <c r="E478" s="6">
        <v>3014977779</v>
      </c>
      <c r="F478" s="6" t="s">
        <v>88</v>
      </c>
      <c r="G478" s="7">
        <v>46142</v>
      </c>
      <c r="H478" s="7">
        <v>46255</v>
      </c>
      <c r="I478" s="8" t="s">
        <v>1995</v>
      </c>
      <c r="J478" s="6" t="s">
        <v>1905</v>
      </c>
      <c r="K478" s="6" t="s">
        <v>115</v>
      </c>
      <c r="L478" s="6" t="s">
        <v>501</v>
      </c>
      <c r="M478" s="6" t="s">
        <v>1996</v>
      </c>
      <c r="N478" s="6" t="s">
        <v>17</v>
      </c>
      <c r="O478" s="6" t="s">
        <v>60</v>
      </c>
      <c r="P478" t="s">
        <v>125</v>
      </c>
      <c r="Q478" s="25" t="s">
        <v>2112</v>
      </c>
    </row>
    <row r="479" spans="1:19" ht="14.4" hidden="1" x14ac:dyDescent="0.3">
      <c r="A479" s="16">
        <v>472</v>
      </c>
      <c r="B479" s="17" t="s">
        <v>1994</v>
      </c>
      <c r="C479" s="6">
        <v>1103095276</v>
      </c>
      <c r="D479" s="6">
        <f>COUNTIFS($C$8:C479,C479)</f>
        <v>2</v>
      </c>
      <c r="E479" s="6">
        <v>3014977779</v>
      </c>
      <c r="F479" s="6" t="s">
        <v>88</v>
      </c>
      <c r="G479" s="7">
        <v>46142</v>
      </c>
      <c r="H479" s="7">
        <v>46255</v>
      </c>
      <c r="I479" s="8" t="s">
        <v>1995</v>
      </c>
      <c r="J479" s="6" t="s">
        <v>1905</v>
      </c>
      <c r="K479" s="6" t="s">
        <v>106</v>
      </c>
      <c r="L479" s="6" t="s">
        <v>15</v>
      </c>
      <c r="M479" s="6" t="s">
        <v>1997</v>
      </c>
      <c r="N479" s="6" t="s">
        <v>17</v>
      </c>
      <c r="O479" s="6" t="s">
        <v>157</v>
      </c>
      <c r="P479" t="s">
        <v>125</v>
      </c>
      <c r="Q479" s="25" t="s">
        <v>2112</v>
      </c>
    </row>
    <row r="480" spans="1:19" ht="14.4" hidden="1" x14ac:dyDescent="0.3">
      <c r="A480" s="5">
        <v>473</v>
      </c>
      <c r="B480" s="17" t="s">
        <v>1998</v>
      </c>
      <c r="C480" s="17">
        <v>80112042</v>
      </c>
      <c r="D480" s="6">
        <f>COUNTIFS($C$8:C480,C480)</f>
        <v>1</v>
      </c>
      <c r="E480" s="17">
        <v>3178728376</v>
      </c>
      <c r="F480" s="17" t="s">
        <v>1999</v>
      </c>
      <c r="G480" s="18">
        <v>46041</v>
      </c>
      <c r="H480" s="18">
        <v>46221</v>
      </c>
      <c r="I480" s="8" t="s">
        <v>2000</v>
      </c>
      <c r="J480" s="6" t="s">
        <v>1229</v>
      </c>
      <c r="K480" s="6" t="s">
        <v>80</v>
      </c>
      <c r="L480" s="17" t="s">
        <v>2001</v>
      </c>
      <c r="M480" s="17" t="s">
        <v>20</v>
      </c>
      <c r="N480" s="17" t="s">
        <v>80</v>
      </c>
      <c r="O480" s="17" t="s">
        <v>60</v>
      </c>
      <c r="P480" s="19" t="s">
        <v>125</v>
      </c>
      <c r="Q480" s="22" t="s">
        <v>2098</v>
      </c>
      <c r="R480" s="20"/>
      <c r="S480" s="20"/>
    </row>
    <row r="481" spans="1:19" ht="14.4" hidden="1" x14ac:dyDescent="0.3">
      <c r="A481" s="5">
        <v>474</v>
      </c>
      <c r="B481" s="17" t="s">
        <v>2002</v>
      </c>
      <c r="C481" s="6">
        <v>80755333</v>
      </c>
      <c r="D481" s="6">
        <f>COUNTIFS($C$8:C481,C481)</f>
        <v>2</v>
      </c>
      <c r="E481" s="6">
        <v>3115901496</v>
      </c>
      <c r="F481" s="12" t="s">
        <v>1237</v>
      </c>
      <c r="G481" s="7">
        <v>46049</v>
      </c>
      <c r="H481" s="7">
        <v>46230</v>
      </c>
      <c r="I481" s="8" t="s">
        <v>1238</v>
      </c>
      <c r="J481" s="6" t="s">
        <v>256</v>
      </c>
      <c r="K481" s="6" t="s">
        <v>106</v>
      </c>
      <c r="L481" s="6" t="s">
        <v>363</v>
      </c>
      <c r="M481" s="6" t="s">
        <v>2003</v>
      </c>
      <c r="N481" s="6" t="s">
        <v>17</v>
      </c>
      <c r="O481" s="6" t="s">
        <v>2004</v>
      </c>
      <c r="P481" t="s">
        <v>125</v>
      </c>
      <c r="Q481" s="25" t="s">
        <v>2112</v>
      </c>
    </row>
    <row r="482" spans="1:19" ht="14.4" hidden="1" x14ac:dyDescent="0.3">
      <c r="A482" s="5">
        <v>475</v>
      </c>
      <c r="B482" s="17" t="s">
        <v>2005</v>
      </c>
      <c r="C482" s="6">
        <v>80504271</v>
      </c>
      <c r="D482" s="6">
        <f>COUNTIFS($C$8:C482,C482)</f>
        <v>1</v>
      </c>
      <c r="E482" s="6">
        <v>3105507306</v>
      </c>
      <c r="F482" s="6" t="s">
        <v>20</v>
      </c>
      <c r="G482" s="6" t="s">
        <v>20</v>
      </c>
      <c r="H482" s="6" t="s">
        <v>20</v>
      </c>
      <c r="I482" s="8" t="s">
        <v>2006</v>
      </c>
      <c r="J482" s="6" t="s">
        <v>270</v>
      </c>
      <c r="K482" s="6" t="s">
        <v>115</v>
      </c>
      <c r="L482" s="6" t="s">
        <v>304</v>
      </c>
      <c r="M482" s="6" t="s">
        <v>2007</v>
      </c>
      <c r="N482" s="6" t="s">
        <v>17</v>
      </c>
      <c r="O482" s="6" t="s">
        <v>60</v>
      </c>
      <c r="P482" s="10" t="s">
        <v>119</v>
      </c>
      <c r="Q482" s="25" t="s">
        <v>2112</v>
      </c>
    </row>
    <row r="483" spans="1:19" ht="14.4" hidden="1" x14ac:dyDescent="0.3">
      <c r="A483" s="16">
        <v>476</v>
      </c>
      <c r="B483" s="17" t="s">
        <v>2008</v>
      </c>
      <c r="C483" s="17">
        <v>91110560</v>
      </c>
      <c r="D483" s="6">
        <f>COUNTIFS($C$8:C483,C483)</f>
        <v>1</v>
      </c>
      <c r="E483" s="24">
        <v>3168685422</v>
      </c>
      <c r="F483" s="23" t="s">
        <v>2009</v>
      </c>
      <c r="G483" s="18">
        <v>46030</v>
      </c>
      <c r="H483" s="18">
        <v>46387</v>
      </c>
      <c r="I483" s="8" t="s">
        <v>2010</v>
      </c>
      <c r="J483" s="17" t="s">
        <v>2011</v>
      </c>
      <c r="K483" s="6" t="s">
        <v>115</v>
      </c>
      <c r="L483" s="17" t="s">
        <v>75</v>
      </c>
      <c r="M483" s="17" t="s">
        <v>2012</v>
      </c>
      <c r="N483" s="17" t="s">
        <v>17</v>
      </c>
      <c r="O483" s="17" t="s">
        <v>2013</v>
      </c>
      <c r="P483" s="19" t="s">
        <v>125</v>
      </c>
      <c r="Q483" s="22" t="s">
        <v>2098</v>
      </c>
      <c r="R483" s="20"/>
      <c r="S483" s="20"/>
    </row>
    <row r="484" spans="1:19" ht="14.4" hidden="1" x14ac:dyDescent="0.3">
      <c r="A484" s="5">
        <v>477</v>
      </c>
      <c r="B484" s="17" t="s">
        <v>2014</v>
      </c>
      <c r="C484" s="6">
        <v>1023946531</v>
      </c>
      <c r="D484" s="6">
        <f>COUNTIFS($C$8:C484,C484)</f>
        <v>1</v>
      </c>
      <c r="E484" s="6" t="s">
        <v>20</v>
      </c>
      <c r="F484" s="6" t="s">
        <v>20</v>
      </c>
      <c r="G484" s="7" t="s">
        <v>20</v>
      </c>
      <c r="H484" s="7" t="s">
        <v>20</v>
      </c>
      <c r="I484" s="7" t="s">
        <v>20</v>
      </c>
      <c r="J484" s="6" t="s">
        <v>1698</v>
      </c>
      <c r="K484" s="6" t="s">
        <v>115</v>
      </c>
      <c r="L484" s="6" t="s">
        <v>2015</v>
      </c>
      <c r="M484" s="6" t="s">
        <v>2016</v>
      </c>
      <c r="N484" s="6" t="s">
        <v>253</v>
      </c>
      <c r="O484" s="6" t="s">
        <v>60</v>
      </c>
      <c r="P484" t="s">
        <v>1280</v>
      </c>
      <c r="Q484" s="25" t="s">
        <v>2112</v>
      </c>
    </row>
    <row r="485" spans="1:19" ht="14.4" hidden="1" x14ac:dyDescent="0.3">
      <c r="A485" s="5">
        <v>478</v>
      </c>
      <c r="B485" s="17" t="s">
        <v>783</v>
      </c>
      <c r="C485" s="17">
        <v>1020716220</v>
      </c>
      <c r="D485" s="6">
        <f>COUNTIFS($C$8:C485,C485)</f>
        <v>2</v>
      </c>
      <c r="E485" s="17">
        <v>3103201521</v>
      </c>
      <c r="F485" s="17" t="s">
        <v>784</v>
      </c>
      <c r="G485" s="18">
        <v>46031</v>
      </c>
      <c r="H485" s="18">
        <v>46209</v>
      </c>
      <c r="I485" s="8" t="s">
        <v>785</v>
      </c>
      <c r="J485" s="17" t="s">
        <v>299</v>
      </c>
      <c r="K485" s="6" t="s">
        <v>143</v>
      </c>
      <c r="L485" s="17" t="s">
        <v>2017</v>
      </c>
      <c r="M485" s="17" t="s">
        <v>2018</v>
      </c>
      <c r="N485" s="6" t="s">
        <v>129</v>
      </c>
      <c r="O485" s="17" t="s">
        <v>52</v>
      </c>
      <c r="P485" s="19" t="s">
        <v>125</v>
      </c>
      <c r="Q485" s="21" t="s">
        <v>2098</v>
      </c>
      <c r="R485" s="20"/>
      <c r="S485" s="20"/>
    </row>
    <row r="486" spans="1:19" ht="14.4" hidden="1" x14ac:dyDescent="0.3">
      <c r="A486" s="5">
        <v>479</v>
      </c>
      <c r="B486" s="17" t="s">
        <v>2019</v>
      </c>
      <c r="C486" s="6">
        <v>79756851</v>
      </c>
      <c r="D486" s="6">
        <f>COUNTIFS($C$8:C486,C486)</f>
        <v>1</v>
      </c>
      <c r="E486" s="6">
        <v>3108874878</v>
      </c>
      <c r="F486" s="6" t="s">
        <v>20</v>
      </c>
      <c r="G486" s="6" t="s">
        <v>20</v>
      </c>
      <c r="H486" s="6" t="s">
        <v>20</v>
      </c>
      <c r="I486" s="8" t="s">
        <v>2020</v>
      </c>
      <c r="J486" s="6" t="s">
        <v>500</v>
      </c>
      <c r="K486" s="6" t="s">
        <v>115</v>
      </c>
      <c r="L486" s="6" t="s">
        <v>116</v>
      </c>
      <c r="M486" s="6" t="s">
        <v>2021</v>
      </c>
      <c r="N486" s="6" t="s">
        <v>17</v>
      </c>
      <c r="O486" s="6" t="s">
        <v>60</v>
      </c>
      <c r="P486" s="10" t="s">
        <v>119</v>
      </c>
      <c r="Q486" s="25" t="s">
        <v>2112</v>
      </c>
    </row>
    <row r="487" spans="1:19" ht="14.4" hidden="1" x14ac:dyDescent="0.3">
      <c r="A487" s="16">
        <v>480</v>
      </c>
      <c r="B487" s="17" t="s">
        <v>1222</v>
      </c>
      <c r="C487" s="6">
        <v>1012383494</v>
      </c>
      <c r="D487" s="6">
        <f>COUNTIFS($C$8:C487,C487)</f>
        <v>2</v>
      </c>
      <c r="E487" s="6">
        <v>3124369221</v>
      </c>
      <c r="F487" s="12" t="s">
        <v>1223</v>
      </c>
      <c r="G487" s="7">
        <v>46029</v>
      </c>
      <c r="H487" s="7">
        <v>46387</v>
      </c>
      <c r="I487" s="8" t="s">
        <v>1224</v>
      </c>
      <c r="J487" s="6" t="s">
        <v>201</v>
      </c>
      <c r="K487" s="6" t="s">
        <v>115</v>
      </c>
      <c r="L487" s="6" t="s">
        <v>2022</v>
      </c>
      <c r="M487" s="6" t="s">
        <v>2023</v>
      </c>
      <c r="N487" s="6" t="s">
        <v>129</v>
      </c>
      <c r="O487" s="6" t="s">
        <v>24</v>
      </c>
      <c r="P487" t="s">
        <v>125</v>
      </c>
      <c r="Q487" s="25" t="s">
        <v>2112</v>
      </c>
    </row>
    <row r="488" spans="1:19" ht="14.4" hidden="1" x14ac:dyDescent="0.3">
      <c r="A488" s="5">
        <v>481</v>
      </c>
      <c r="B488" s="17" t="s">
        <v>2024</v>
      </c>
      <c r="C488" s="6">
        <v>7725270</v>
      </c>
      <c r="D488" s="6">
        <f>COUNTIFS($C$8:C488,C488)</f>
        <v>1</v>
      </c>
      <c r="E488" s="6">
        <v>3168321067</v>
      </c>
      <c r="F488" s="12" t="s">
        <v>757</v>
      </c>
      <c r="G488" s="7">
        <v>46048</v>
      </c>
      <c r="H488" s="7">
        <v>46290</v>
      </c>
      <c r="I488" s="8" t="s">
        <v>2025</v>
      </c>
      <c r="J488" s="6" t="s">
        <v>325</v>
      </c>
      <c r="K488" s="6" t="s">
        <v>155</v>
      </c>
      <c r="L488" s="6" t="s">
        <v>2026</v>
      </c>
      <c r="M488" s="6" t="s">
        <v>20</v>
      </c>
      <c r="N488" s="6" t="s">
        <v>129</v>
      </c>
      <c r="O488" s="6" t="s">
        <v>24</v>
      </c>
      <c r="P488" t="s">
        <v>125</v>
      </c>
      <c r="Q488" s="25" t="s">
        <v>2112</v>
      </c>
    </row>
    <row r="489" spans="1:19" ht="14.4" hidden="1" x14ac:dyDescent="0.3">
      <c r="A489" s="5">
        <v>482</v>
      </c>
      <c r="B489" s="17" t="s">
        <v>543</v>
      </c>
      <c r="C489" s="6">
        <v>13741047</v>
      </c>
      <c r="D489" s="6">
        <f>COUNTIFS($C$8:C489,C489)</f>
        <v>2</v>
      </c>
      <c r="E489" s="6">
        <v>3108128412</v>
      </c>
      <c r="F489" s="12" t="s">
        <v>544</v>
      </c>
      <c r="G489" s="7">
        <v>46029</v>
      </c>
      <c r="H489" s="7">
        <v>46363</v>
      </c>
      <c r="I489" s="8" t="s">
        <v>545</v>
      </c>
      <c r="J489" s="6" t="s">
        <v>1905</v>
      </c>
      <c r="K489" s="6" t="s">
        <v>115</v>
      </c>
      <c r="L489" s="6" t="s">
        <v>2017</v>
      </c>
      <c r="M489" s="6" t="s">
        <v>2027</v>
      </c>
      <c r="N489" s="6" t="s">
        <v>129</v>
      </c>
      <c r="O489" s="6" t="s">
        <v>52</v>
      </c>
      <c r="P489" t="s">
        <v>125</v>
      </c>
      <c r="Q489" s="25" t="s">
        <v>2112</v>
      </c>
    </row>
    <row r="490" spans="1:19" ht="14.4" hidden="1" x14ac:dyDescent="0.3">
      <c r="A490" s="5">
        <v>483</v>
      </c>
      <c r="B490" s="17" t="s">
        <v>2028</v>
      </c>
      <c r="C490" s="6">
        <v>79979024</v>
      </c>
      <c r="D490" s="6">
        <f>COUNTIFS($C$8:C490,C490)</f>
        <v>1</v>
      </c>
      <c r="E490" s="6">
        <v>3133627940</v>
      </c>
      <c r="F490" s="12" t="s">
        <v>20</v>
      </c>
      <c r="G490" s="6" t="s">
        <v>20</v>
      </c>
      <c r="H490" s="6" t="s">
        <v>20</v>
      </c>
      <c r="I490" s="8" t="s">
        <v>1268</v>
      </c>
      <c r="J490" s="6" t="s">
        <v>742</v>
      </c>
      <c r="K490" s="6" t="s">
        <v>106</v>
      </c>
      <c r="L490" s="6" t="s">
        <v>2029</v>
      </c>
      <c r="M490" s="6" t="s">
        <v>2030</v>
      </c>
      <c r="N490" s="6" t="s">
        <v>17</v>
      </c>
      <c r="O490" s="6" t="s">
        <v>2031</v>
      </c>
      <c r="P490" t="s">
        <v>1280</v>
      </c>
      <c r="Q490" s="25" t="s">
        <v>2112</v>
      </c>
    </row>
    <row r="491" spans="1:19" ht="14.4" hidden="1" x14ac:dyDescent="0.3">
      <c r="A491" s="16">
        <v>484</v>
      </c>
      <c r="B491" s="17" t="s">
        <v>2032</v>
      </c>
      <c r="C491" s="6">
        <v>1030615542</v>
      </c>
      <c r="D491" s="6">
        <f>COUNTIFS($C$8:C491,C491)</f>
        <v>1</v>
      </c>
      <c r="E491" s="6">
        <v>3196819874</v>
      </c>
      <c r="F491" s="12" t="s">
        <v>20</v>
      </c>
      <c r="G491" s="6" t="s">
        <v>20</v>
      </c>
      <c r="H491" s="6" t="s">
        <v>20</v>
      </c>
      <c r="I491" s="8" t="s">
        <v>1268</v>
      </c>
      <c r="J491" s="6" t="s">
        <v>742</v>
      </c>
      <c r="K491" s="6" t="s">
        <v>106</v>
      </c>
      <c r="L491" s="6" t="s">
        <v>175</v>
      </c>
      <c r="M491" s="6" t="s">
        <v>2033</v>
      </c>
      <c r="N491" s="6" t="s">
        <v>17</v>
      </c>
      <c r="O491" s="6" t="s">
        <v>66</v>
      </c>
      <c r="P491" t="s">
        <v>1280</v>
      </c>
      <c r="Q491" s="25" t="s">
        <v>2112</v>
      </c>
    </row>
    <row r="492" spans="1:19" ht="14.4" hidden="1" x14ac:dyDescent="0.3">
      <c r="A492" s="5">
        <v>485</v>
      </c>
      <c r="B492" s="24" t="s">
        <v>1847</v>
      </c>
      <c r="C492" s="24">
        <v>45361037</v>
      </c>
      <c r="D492" s="6">
        <f>COUNTIFS($C$8:C492,C492)</f>
        <v>2</v>
      </c>
      <c r="E492" s="24">
        <v>3015351260</v>
      </c>
      <c r="F492" s="17" t="s">
        <v>1848</v>
      </c>
      <c r="G492" s="18">
        <v>46048</v>
      </c>
      <c r="H492" s="18">
        <v>46198</v>
      </c>
      <c r="I492" s="8" t="s">
        <v>1849</v>
      </c>
      <c r="J492" s="6" t="s">
        <v>434</v>
      </c>
      <c r="K492" s="6" t="s">
        <v>115</v>
      </c>
      <c r="L492" s="17" t="s">
        <v>1948</v>
      </c>
      <c r="M492" s="17" t="s">
        <v>2034</v>
      </c>
      <c r="N492" s="6" t="s">
        <v>129</v>
      </c>
      <c r="O492" s="17" t="s">
        <v>18</v>
      </c>
      <c r="P492" s="19" t="s">
        <v>125</v>
      </c>
      <c r="Q492" s="21" t="s">
        <v>2098</v>
      </c>
      <c r="R492" s="20"/>
      <c r="S492" s="20"/>
    </row>
    <row r="493" spans="1:19" ht="14.4" hidden="1" x14ac:dyDescent="0.3">
      <c r="A493" s="5">
        <v>486</v>
      </c>
      <c r="B493" s="17" t="s">
        <v>1728</v>
      </c>
      <c r="C493" s="6">
        <v>1026261037</v>
      </c>
      <c r="D493" s="6">
        <f>COUNTIFS($C$8:C493,C493)</f>
        <v>3</v>
      </c>
      <c r="E493" s="6">
        <v>3005775183</v>
      </c>
      <c r="F493" s="6" t="s">
        <v>1729</v>
      </c>
      <c r="G493" s="7">
        <v>46031</v>
      </c>
      <c r="H493" s="7">
        <v>46351</v>
      </c>
      <c r="I493" s="8" t="s">
        <v>1730</v>
      </c>
      <c r="J493" s="6" t="s">
        <v>1905</v>
      </c>
      <c r="K493" s="6" t="s">
        <v>115</v>
      </c>
      <c r="L493" s="6" t="s">
        <v>354</v>
      </c>
      <c r="M493" s="6" t="s">
        <v>2035</v>
      </c>
      <c r="N493" s="6" t="s">
        <v>17</v>
      </c>
      <c r="O493" s="6" t="s">
        <v>18</v>
      </c>
      <c r="P493" t="s">
        <v>125</v>
      </c>
      <c r="Q493" s="25" t="s">
        <v>2112</v>
      </c>
    </row>
    <row r="494" spans="1:19" ht="14.4" hidden="1" x14ac:dyDescent="0.3">
      <c r="A494" s="5">
        <v>487</v>
      </c>
      <c r="B494" s="17" t="s">
        <v>2036</v>
      </c>
      <c r="C494" s="6">
        <v>79737240</v>
      </c>
      <c r="D494" s="6">
        <f>COUNTIFS($C$8:C494,C494)</f>
        <v>1</v>
      </c>
      <c r="E494" s="6">
        <v>3044423154</v>
      </c>
      <c r="F494" s="6" t="s">
        <v>2037</v>
      </c>
      <c r="G494" s="7">
        <v>46045</v>
      </c>
      <c r="H494" s="7">
        <v>46387</v>
      </c>
      <c r="I494" s="8" t="s">
        <v>2038</v>
      </c>
      <c r="J494" s="17" t="s">
        <v>1667</v>
      </c>
      <c r="K494" s="6" t="s">
        <v>115</v>
      </c>
      <c r="L494" s="6" t="s">
        <v>22</v>
      </c>
      <c r="M494" s="6" t="s">
        <v>2039</v>
      </c>
      <c r="N494" s="6" t="s">
        <v>129</v>
      </c>
      <c r="O494" s="6" t="s">
        <v>66</v>
      </c>
      <c r="P494" t="s">
        <v>125</v>
      </c>
      <c r="Q494" s="25" t="s">
        <v>2112</v>
      </c>
    </row>
    <row r="495" spans="1:19" ht="14.4" hidden="1" x14ac:dyDescent="0.3">
      <c r="A495" s="16">
        <v>488</v>
      </c>
      <c r="B495" s="17" t="s">
        <v>2040</v>
      </c>
      <c r="C495" s="6">
        <v>1018493388</v>
      </c>
      <c r="D495" s="6">
        <f>COUNTIFS($C$8:C495,C495)</f>
        <v>1</v>
      </c>
      <c r="E495" s="6">
        <v>3102507006</v>
      </c>
      <c r="F495" s="6" t="s">
        <v>2041</v>
      </c>
      <c r="G495" s="7">
        <v>46050</v>
      </c>
      <c r="H495" s="7">
        <v>46261</v>
      </c>
      <c r="I495" s="8" t="s">
        <v>2042</v>
      </c>
      <c r="J495" s="6" t="s">
        <v>1338</v>
      </c>
      <c r="K495" s="6" t="s">
        <v>106</v>
      </c>
      <c r="L495" s="6" t="s">
        <v>2043</v>
      </c>
      <c r="M495" s="6" t="s">
        <v>2044</v>
      </c>
      <c r="N495" s="6" t="s">
        <v>17</v>
      </c>
      <c r="O495" s="6" t="s">
        <v>157</v>
      </c>
      <c r="P495" t="s">
        <v>125</v>
      </c>
      <c r="Q495" s="25" t="s">
        <v>2112</v>
      </c>
    </row>
    <row r="496" spans="1:19" ht="14.4" hidden="1" x14ac:dyDescent="0.3">
      <c r="A496" s="5">
        <v>489</v>
      </c>
      <c r="B496" s="17" t="s">
        <v>2045</v>
      </c>
      <c r="C496" s="17">
        <v>1120747558</v>
      </c>
      <c r="D496" s="6">
        <f>COUNTIFS($C$8:C496,C496)</f>
        <v>1</v>
      </c>
      <c r="E496" s="17">
        <v>3216992593</v>
      </c>
      <c r="F496" s="17" t="s">
        <v>2046</v>
      </c>
      <c r="G496" s="18">
        <v>46048</v>
      </c>
      <c r="H496" s="18">
        <v>46229</v>
      </c>
      <c r="I496" s="8" t="s">
        <v>2047</v>
      </c>
      <c r="J496" s="17" t="s">
        <v>1395</v>
      </c>
      <c r="K496" s="6" t="s">
        <v>143</v>
      </c>
      <c r="L496" s="17" t="s">
        <v>2048</v>
      </c>
      <c r="M496" s="17" t="s">
        <v>2049</v>
      </c>
      <c r="N496" s="6" t="s">
        <v>129</v>
      </c>
      <c r="O496" s="17" t="s">
        <v>52</v>
      </c>
      <c r="P496" s="19" t="s">
        <v>125</v>
      </c>
      <c r="Q496" s="22" t="s">
        <v>2098</v>
      </c>
      <c r="R496" s="20"/>
      <c r="S496" s="20"/>
    </row>
    <row r="497" spans="1:19" ht="14.4" hidden="1" x14ac:dyDescent="0.3">
      <c r="A497" s="5">
        <v>490</v>
      </c>
      <c r="B497" s="17" t="s">
        <v>2050</v>
      </c>
      <c r="C497" s="6">
        <v>1026273797</v>
      </c>
      <c r="D497" s="6">
        <f>COUNTIFS($C$8:C497,C497)</f>
        <v>1</v>
      </c>
      <c r="E497" s="6">
        <v>3014965324</v>
      </c>
      <c r="F497" s="6" t="s">
        <v>2051</v>
      </c>
      <c r="G497" s="7">
        <v>46055</v>
      </c>
      <c r="H497" s="7">
        <v>46235</v>
      </c>
      <c r="I497" s="8" t="s">
        <v>2052</v>
      </c>
      <c r="J497" s="6" t="s">
        <v>1843</v>
      </c>
      <c r="K497" s="6" t="s">
        <v>106</v>
      </c>
      <c r="L497" s="6" t="s">
        <v>1953</v>
      </c>
      <c r="M497" s="6" t="s">
        <v>20</v>
      </c>
      <c r="N497" s="6" t="s">
        <v>129</v>
      </c>
      <c r="O497" s="6" t="s">
        <v>44</v>
      </c>
      <c r="P497" t="s">
        <v>125</v>
      </c>
      <c r="Q497" s="25" t="s">
        <v>2112</v>
      </c>
    </row>
    <row r="498" spans="1:19" ht="14.4" hidden="1" x14ac:dyDescent="0.3">
      <c r="A498" s="5">
        <v>491</v>
      </c>
      <c r="B498" s="17" t="s">
        <v>1526</v>
      </c>
      <c r="C498" s="6">
        <v>4228842</v>
      </c>
      <c r="D498" s="6">
        <f>COUNTIFS($C$8:C498,C498)</f>
        <v>2</v>
      </c>
      <c r="E498" s="6">
        <v>3045528065</v>
      </c>
      <c r="F498" s="6" t="s">
        <v>20</v>
      </c>
      <c r="G498" s="7" t="s">
        <v>20</v>
      </c>
      <c r="H498" s="7" t="s">
        <v>20</v>
      </c>
      <c r="I498" s="8" t="s">
        <v>1527</v>
      </c>
      <c r="J498" s="6" t="s">
        <v>1562</v>
      </c>
      <c r="K498" s="6" t="s">
        <v>143</v>
      </c>
      <c r="L498" s="6" t="s">
        <v>75</v>
      </c>
      <c r="M498" s="6" t="s">
        <v>2053</v>
      </c>
      <c r="N498" s="6" t="s">
        <v>17</v>
      </c>
      <c r="O498" s="6" t="s">
        <v>60</v>
      </c>
      <c r="P498" t="s">
        <v>119</v>
      </c>
      <c r="Q498" s="25" t="s">
        <v>2112</v>
      </c>
    </row>
    <row r="499" spans="1:19" ht="14.4" hidden="1" x14ac:dyDescent="0.3">
      <c r="A499" s="16">
        <v>492</v>
      </c>
      <c r="B499" s="17" t="s">
        <v>2054</v>
      </c>
      <c r="C499" s="6">
        <v>1136879147</v>
      </c>
      <c r="D499" s="6">
        <f>COUNTIFS($C$8:C499,C499)</f>
        <v>1</v>
      </c>
      <c r="E499" s="6">
        <v>3183907063</v>
      </c>
      <c r="F499" s="6" t="s">
        <v>2055</v>
      </c>
      <c r="G499" s="7">
        <v>46174</v>
      </c>
      <c r="H499" s="7">
        <v>46387</v>
      </c>
      <c r="I499" s="8" t="s">
        <v>2056</v>
      </c>
      <c r="J499" s="6" t="s">
        <v>500</v>
      </c>
      <c r="K499" s="6" t="s">
        <v>143</v>
      </c>
      <c r="L499" s="6" t="s">
        <v>354</v>
      </c>
      <c r="M499" s="6" t="s">
        <v>2057</v>
      </c>
      <c r="N499" s="6" t="s">
        <v>17</v>
      </c>
      <c r="O499" s="6" t="s">
        <v>60</v>
      </c>
      <c r="P499" t="s">
        <v>125</v>
      </c>
      <c r="Q499" s="25" t="s">
        <v>2112</v>
      </c>
    </row>
    <row r="500" spans="1:19" ht="14.4" hidden="1" x14ac:dyDescent="0.3">
      <c r="A500" s="5">
        <v>493</v>
      </c>
      <c r="B500" s="17" t="s">
        <v>2058</v>
      </c>
      <c r="C500" s="6">
        <v>13499548</v>
      </c>
      <c r="D500" s="6">
        <f>COUNTIFS($C$8:C500,C500)</f>
        <v>1</v>
      </c>
      <c r="E500" s="6">
        <v>3124473029</v>
      </c>
      <c r="F500" s="12" t="s">
        <v>20</v>
      </c>
      <c r="G500" s="12" t="s">
        <v>20</v>
      </c>
      <c r="H500" s="12" t="s">
        <v>20</v>
      </c>
      <c r="I500" s="8" t="s">
        <v>2059</v>
      </c>
      <c r="J500" s="6" t="s">
        <v>270</v>
      </c>
      <c r="K500" s="6" t="s">
        <v>115</v>
      </c>
      <c r="L500" s="6" t="s">
        <v>1348</v>
      </c>
      <c r="M500" s="6" t="s">
        <v>2060</v>
      </c>
      <c r="N500" s="6" t="s">
        <v>17</v>
      </c>
      <c r="O500" s="6" t="s">
        <v>66</v>
      </c>
      <c r="P500" t="s">
        <v>119</v>
      </c>
      <c r="Q500" s="25" t="s">
        <v>2112</v>
      </c>
    </row>
    <row r="501" spans="1:19" ht="14.4" hidden="1" x14ac:dyDescent="0.3">
      <c r="A501" s="5">
        <v>494</v>
      </c>
      <c r="B501" s="17" t="s">
        <v>2061</v>
      </c>
      <c r="C501" s="6">
        <v>1118649429</v>
      </c>
      <c r="D501" s="6">
        <f>COUNTIFS($C$8:C501,C501)</f>
        <v>1</v>
      </c>
      <c r="E501" s="6">
        <v>3142416752</v>
      </c>
      <c r="F501" s="12" t="s">
        <v>20</v>
      </c>
      <c r="G501" s="12" t="s">
        <v>20</v>
      </c>
      <c r="H501" s="12" t="s">
        <v>20</v>
      </c>
      <c r="I501" s="8" t="s">
        <v>2062</v>
      </c>
      <c r="J501" s="6" t="s">
        <v>285</v>
      </c>
      <c r="K501" s="6" t="s">
        <v>115</v>
      </c>
      <c r="L501" s="6" t="s">
        <v>202</v>
      </c>
      <c r="M501" s="6" t="s">
        <v>2063</v>
      </c>
      <c r="N501" s="6" t="s">
        <v>17</v>
      </c>
      <c r="O501" s="6" t="s">
        <v>248</v>
      </c>
      <c r="P501" t="s">
        <v>119</v>
      </c>
      <c r="Q501" s="25" t="s">
        <v>2112</v>
      </c>
    </row>
    <row r="502" spans="1:19" ht="14.4" hidden="1" x14ac:dyDescent="0.3">
      <c r="A502" s="5">
        <v>495</v>
      </c>
      <c r="B502" s="17" t="s">
        <v>2064</v>
      </c>
      <c r="C502" s="6">
        <v>1140882040</v>
      </c>
      <c r="D502" s="6">
        <f>COUNTIFS($C$8:C502,C502)</f>
        <v>1</v>
      </c>
      <c r="E502" s="6">
        <v>3016863440</v>
      </c>
      <c r="F502" s="12" t="s">
        <v>2065</v>
      </c>
      <c r="G502" s="12">
        <v>46013</v>
      </c>
      <c r="H502" s="12">
        <v>46255</v>
      </c>
      <c r="I502" s="8" t="s">
        <v>2066</v>
      </c>
      <c r="J502" s="6" t="s">
        <v>1905</v>
      </c>
      <c r="K502" s="6" t="s">
        <v>106</v>
      </c>
      <c r="L502" s="6" t="s">
        <v>175</v>
      </c>
      <c r="M502" s="6" t="s">
        <v>2067</v>
      </c>
      <c r="N502" s="6" t="s">
        <v>17</v>
      </c>
      <c r="O502" s="6" t="s">
        <v>316</v>
      </c>
      <c r="P502" t="s">
        <v>125</v>
      </c>
      <c r="Q502" s="25" t="s">
        <v>2112</v>
      </c>
    </row>
    <row r="503" spans="1:19" ht="14.4" hidden="1" x14ac:dyDescent="0.3">
      <c r="A503" s="16">
        <v>496</v>
      </c>
      <c r="B503" s="17" t="s">
        <v>2064</v>
      </c>
      <c r="C503" s="6">
        <v>1140882040</v>
      </c>
      <c r="D503" s="6">
        <f>COUNTIFS($C$8:C503,C503)</f>
        <v>2</v>
      </c>
      <c r="E503" s="6">
        <v>3016863440</v>
      </c>
      <c r="F503" s="12" t="s">
        <v>2065</v>
      </c>
      <c r="G503" s="12">
        <v>46013</v>
      </c>
      <c r="H503" s="12">
        <v>46255</v>
      </c>
      <c r="I503" s="8" t="s">
        <v>2066</v>
      </c>
      <c r="J503" s="6" t="s">
        <v>1905</v>
      </c>
      <c r="K503" s="6" t="s">
        <v>155</v>
      </c>
      <c r="L503" s="6" t="s">
        <v>2068</v>
      </c>
      <c r="M503" s="6" t="s">
        <v>20</v>
      </c>
      <c r="N503" s="6" t="s">
        <v>129</v>
      </c>
      <c r="O503" s="6" t="s">
        <v>60</v>
      </c>
      <c r="P503" t="s">
        <v>125</v>
      </c>
      <c r="Q503" s="25" t="s">
        <v>2112</v>
      </c>
    </row>
    <row r="504" spans="1:19" ht="14.4" hidden="1" x14ac:dyDescent="0.3">
      <c r="A504" s="5">
        <v>497</v>
      </c>
      <c r="B504" s="17" t="s">
        <v>2069</v>
      </c>
      <c r="C504" s="6">
        <v>1026578164</v>
      </c>
      <c r="D504" s="6">
        <f>COUNTIFS($C$8:C504,C504)</f>
        <v>2</v>
      </c>
      <c r="E504" s="6">
        <v>3192601606</v>
      </c>
      <c r="F504" s="12" t="s">
        <v>1227</v>
      </c>
      <c r="G504" s="7">
        <v>46042</v>
      </c>
      <c r="H504" s="7">
        <v>46314</v>
      </c>
      <c r="I504" s="8" t="s">
        <v>1228</v>
      </c>
      <c r="J504" s="6" t="s">
        <v>1229</v>
      </c>
      <c r="K504" s="6" t="s">
        <v>106</v>
      </c>
      <c r="L504" s="6" t="s">
        <v>363</v>
      </c>
      <c r="M504" s="6" t="s">
        <v>2070</v>
      </c>
      <c r="N504" s="6" t="s">
        <v>17</v>
      </c>
      <c r="O504" s="6" t="s">
        <v>374</v>
      </c>
      <c r="P504" t="s">
        <v>125</v>
      </c>
      <c r="Q504" s="25" t="s">
        <v>2112</v>
      </c>
    </row>
    <row r="505" spans="1:19" ht="14.4" hidden="1" x14ac:dyDescent="0.3">
      <c r="A505" s="5">
        <v>498</v>
      </c>
      <c r="B505" s="17" t="s">
        <v>2071</v>
      </c>
      <c r="C505" s="6">
        <v>1026274713</v>
      </c>
      <c r="D505" s="6">
        <f>COUNTIFS($C$8:C505,C505)</f>
        <v>1</v>
      </c>
      <c r="E505" s="6">
        <v>3043783737</v>
      </c>
      <c r="F505" s="12" t="s">
        <v>297</v>
      </c>
      <c r="G505" s="7">
        <v>46226</v>
      </c>
      <c r="H505" s="7">
        <v>46387</v>
      </c>
      <c r="I505" s="8" t="s">
        <v>2072</v>
      </c>
      <c r="J505" s="6" t="s">
        <v>500</v>
      </c>
      <c r="K505" s="6" t="s">
        <v>80</v>
      </c>
      <c r="L505" s="6" t="s">
        <v>2073</v>
      </c>
      <c r="M505" s="6" t="s">
        <v>20</v>
      </c>
      <c r="N505" s="6" t="s">
        <v>129</v>
      </c>
      <c r="O505" s="6" t="s">
        <v>66</v>
      </c>
      <c r="P505" t="s">
        <v>125</v>
      </c>
      <c r="Q505" s="25" t="s">
        <v>2112</v>
      </c>
    </row>
    <row r="506" spans="1:19" ht="14.4" hidden="1" x14ac:dyDescent="0.3">
      <c r="A506" s="5">
        <v>499</v>
      </c>
      <c r="B506" s="17" t="s">
        <v>2074</v>
      </c>
      <c r="C506" s="6">
        <v>79698622</v>
      </c>
      <c r="D506" s="6">
        <f>COUNTIFS($C$8:C506,C506)</f>
        <v>1</v>
      </c>
      <c r="E506" s="6">
        <v>3168952676</v>
      </c>
      <c r="F506" s="12" t="s">
        <v>20</v>
      </c>
      <c r="G506" s="12" t="s">
        <v>20</v>
      </c>
      <c r="H506" s="12" t="s">
        <v>20</v>
      </c>
      <c r="I506" s="8" t="s">
        <v>1268</v>
      </c>
      <c r="J506" s="6" t="s">
        <v>742</v>
      </c>
      <c r="K506" s="6" t="s">
        <v>106</v>
      </c>
      <c r="L506" s="6" t="s">
        <v>2075</v>
      </c>
      <c r="M506" s="6" t="s">
        <v>2076</v>
      </c>
      <c r="N506" s="6" t="s">
        <v>17</v>
      </c>
      <c r="O506" s="6" t="s">
        <v>316</v>
      </c>
      <c r="P506" s="10" t="s">
        <v>1280</v>
      </c>
      <c r="Q506" s="25" t="s">
        <v>2112</v>
      </c>
    </row>
    <row r="507" spans="1:19" ht="14.4" hidden="1" x14ac:dyDescent="0.3">
      <c r="A507" s="16">
        <v>500</v>
      </c>
      <c r="B507" s="17" t="s">
        <v>2077</v>
      </c>
      <c r="C507" s="6">
        <v>79637566</v>
      </c>
      <c r="D507" s="6">
        <f>COUNTIFS($C$8:C507,C507)</f>
        <v>1</v>
      </c>
      <c r="E507" s="6">
        <v>3132375796</v>
      </c>
      <c r="F507" s="12" t="s">
        <v>20</v>
      </c>
      <c r="G507" s="12" t="s">
        <v>20</v>
      </c>
      <c r="H507" s="12" t="s">
        <v>20</v>
      </c>
      <c r="I507" s="8" t="s">
        <v>1268</v>
      </c>
      <c r="J507" s="6" t="s">
        <v>742</v>
      </c>
      <c r="K507" s="6" t="s">
        <v>106</v>
      </c>
      <c r="L507" s="6" t="s">
        <v>2078</v>
      </c>
      <c r="M507" s="6" t="s">
        <v>2079</v>
      </c>
      <c r="N507" s="6" t="s">
        <v>17</v>
      </c>
      <c r="O507" s="6" t="s">
        <v>2080</v>
      </c>
      <c r="P507" s="10" t="s">
        <v>1280</v>
      </c>
      <c r="Q507" s="25" t="s">
        <v>2112</v>
      </c>
    </row>
    <row r="508" spans="1:19" ht="14.4" hidden="1" x14ac:dyDescent="0.3">
      <c r="A508" s="5">
        <v>501</v>
      </c>
      <c r="B508" s="17" t="s">
        <v>1044</v>
      </c>
      <c r="C508" s="17">
        <v>1075257769</v>
      </c>
      <c r="D508" s="6">
        <f>COUNTIFS($C$8:C508,C508)</f>
        <v>2</v>
      </c>
      <c r="E508" s="17">
        <v>3002962851</v>
      </c>
      <c r="F508" s="17" t="s">
        <v>1045</v>
      </c>
      <c r="G508" s="18">
        <v>46051</v>
      </c>
      <c r="H508" s="18">
        <v>46232</v>
      </c>
      <c r="I508" s="8" t="s">
        <v>1046</v>
      </c>
      <c r="J508" s="17" t="s">
        <v>1041</v>
      </c>
      <c r="K508" s="6" t="s">
        <v>115</v>
      </c>
      <c r="L508" s="17" t="s">
        <v>320</v>
      </c>
      <c r="M508" s="17" t="s">
        <v>2081</v>
      </c>
      <c r="N508" s="17" t="s">
        <v>17</v>
      </c>
      <c r="O508" s="17" t="s">
        <v>60</v>
      </c>
      <c r="P508" s="19" t="s">
        <v>125</v>
      </c>
      <c r="Q508" s="22" t="s">
        <v>2098</v>
      </c>
      <c r="R508" s="20"/>
      <c r="S508" s="20"/>
    </row>
    <row r="509" spans="1:19" ht="14.4" hidden="1" x14ac:dyDescent="0.3">
      <c r="A509" s="5">
        <v>502</v>
      </c>
      <c r="B509" s="17" t="s">
        <v>2082</v>
      </c>
      <c r="C509" s="6">
        <v>19226003</v>
      </c>
      <c r="D509" s="6">
        <f>COUNTIFS($C$8:C509,C509)</f>
        <v>1</v>
      </c>
      <c r="E509" s="6">
        <v>3107778371</v>
      </c>
      <c r="F509" s="6" t="s">
        <v>2083</v>
      </c>
      <c r="G509" s="12" t="s">
        <v>20</v>
      </c>
      <c r="H509" s="12" t="s">
        <v>20</v>
      </c>
      <c r="I509" s="8" t="s">
        <v>2084</v>
      </c>
      <c r="J509" s="6" t="s">
        <v>1006</v>
      </c>
      <c r="K509" s="6" t="s">
        <v>143</v>
      </c>
      <c r="L509" s="6" t="s">
        <v>2085</v>
      </c>
      <c r="M509" s="6" t="s">
        <v>2086</v>
      </c>
      <c r="N509" s="6" t="s">
        <v>17</v>
      </c>
      <c r="O509" s="6" t="s">
        <v>238</v>
      </c>
      <c r="P509" t="s">
        <v>125</v>
      </c>
      <c r="Q509" s="25" t="s">
        <v>2112</v>
      </c>
    </row>
    <row r="510" spans="1:19" ht="14.4" hidden="1" x14ac:dyDescent="0.3">
      <c r="A510" s="5">
        <v>503</v>
      </c>
      <c r="B510" s="17" t="s">
        <v>2082</v>
      </c>
      <c r="C510" s="6">
        <v>19226003</v>
      </c>
      <c r="D510" s="6">
        <f>COUNTIFS($C$8:C510,C510)</f>
        <v>2</v>
      </c>
      <c r="E510" s="6">
        <v>3107778371</v>
      </c>
      <c r="F510" s="6" t="s">
        <v>2083</v>
      </c>
      <c r="G510" s="12" t="s">
        <v>20</v>
      </c>
      <c r="H510" s="12" t="s">
        <v>20</v>
      </c>
      <c r="I510" s="8" t="s">
        <v>2084</v>
      </c>
      <c r="J510" s="6" t="s">
        <v>1006</v>
      </c>
      <c r="K510" s="6" t="s">
        <v>143</v>
      </c>
      <c r="L510" s="6" t="s">
        <v>2048</v>
      </c>
      <c r="M510" s="6" t="s">
        <v>2087</v>
      </c>
      <c r="N510" s="6" t="s">
        <v>129</v>
      </c>
      <c r="O510" s="6" t="s">
        <v>60</v>
      </c>
      <c r="P510" t="s">
        <v>125</v>
      </c>
      <c r="Q510" s="25" t="s">
        <v>2112</v>
      </c>
    </row>
    <row r="511" spans="1:19" ht="14.4" hidden="1" x14ac:dyDescent="0.3">
      <c r="A511" s="16">
        <v>504</v>
      </c>
      <c r="B511" s="17" t="s">
        <v>2088</v>
      </c>
      <c r="C511" s="6">
        <v>1020789222</v>
      </c>
      <c r="D511" s="6">
        <f>COUNTIFS($C$8:C511,C511)</f>
        <v>1</v>
      </c>
      <c r="E511" s="6">
        <v>3116441544</v>
      </c>
      <c r="F511" s="12" t="s">
        <v>20</v>
      </c>
      <c r="G511" s="12" t="s">
        <v>20</v>
      </c>
      <c r="H511" s="12" t="s">
        <v>20</v>
      </c>
      <c r="I511" s="8" t="s">
        <v>2089</v>
      </c>
      <c r="J511" s="6" t="s">
        <v>1960</v>
      </c>
      <c r="K511" s="6" t="s">
        <v>115</v>
      </c>
      <c r="L511" s="6" t="s">
        <v>337</v>
      </c>
      <c r="M511" s="6" t="s">
        <v>2090</v>
      </c>
      <c r="N511" s="6" t="s">
        <v>17</v>
      </c>
      <c r="O511" s="6" t="s">
        <v>60</v>
      </c>
      <c r="P511" t="s">
        <v>119</v>
      </c>
      <c r="Q511" s="25" t="s">
        <v>2112</v>
      </c>
    </row>
    <row r="512" spans="1:19" ht="14.4" hidden="1" x14ac:dyDescent="0.3">
      <c r="A512" s="5">
        <v>505</v>
      </c>
      <c r="B512" s="17" t="s">
        <v>978</v>
      </c>
      <c r="C512" s="6">
        <v>1020806493</v>
      </c>
      <c r="D512" s="6">
        <f>COUNTIFS($C$8:C512,C512)</f>
        <v>2</v>
      </c>
      <c r="E512" s="6">
        <v>3115008521</v>
      </c>
      <c r="F512" s="12" t="s">
        <v>979</v>
      </c>
      <c r="G512" s="7">
        <v>46041</v>
      </c>
      <c r="H512" s="7">
        <v>46387</v>
      </c>
      <c r="I512" s="8" t="s">
        <v>980</v>
      </c>
      <c r="J512" s="6" t="s">
        <v>201</v>
      </c>
      <c r="K512" s="6" t="s">
        <v>143</v>
      </c>
      <c r="L512" s="6" t="s">
        <v>2091</v>
      </c>
      <c r="M512" s="6" t="s">
        <v>2092</v>
      </c>
      <c r="N512" s="6" t="s">
        <v>17</v>
      </c>
      <c r="O512" s="6" t="s">
        <v>66</v>
      </c>
      <c r="P512" s="10" t="s">
        <v>125</v>
      </c>
      <c r="Q512" s="25" t="s">
        <v>2112</v>
      </c>
    </row>
    <row r="513" spans="1:17" ht="14.4" hidden="1" x14ac:dyDescent="0.3">
      <c r="A513" s="5">
        <v>506</v>
      </c>
      <c r="B513" s="17" t="s">
        <v>2093</v>
      </c>
      <c r="C513" s="6">
        <v>52454937</v>
      </c>
      <c r="D513" s="6">
        <f>COUNTIFS($C$8:C513,C513)</f>
        <v>1</v>
      </c>
      <c r="E513" s="6">
        <v>3124328572</v>
      </c>
      <c r="F513" s="12" t="s">
        <v>2094</v>
      </c>
      <c r="G513" s="7">
        <v>46055</v>
      </c>
      <c r="H513" s="7">
        <v>46387</v>
      </c>
      <c r="I513" s="8" t="s">
        <v>2095</v>
      </c>
      <c r="J513" s="6" t="s">
        <v>325</v>
      </c>
      <c r="K513" s="6" t="s">
        <v>143</v>
      </c>
      <c r="L513" s="6" t="s">
        <v>363</v>
      </c>
      <c r="M513" s="6" t="s">
        <v>2096</v>
      </c>
      <c r="N513" s="6" t="s">
        <v>253</v>
      </c>
      <c r="O513" s="6" t="s">
        <v>18</v>
      </c>
      <c r="P513" s="10" t="s">
        <v>125</v>
      </c>
      <c r="Q513" s="25" t="s">
        <v>2112</v>
      </c>
    </row>
    <row r="514" spans="1:17" ht="14.4" x14ac:dyDescent="0.3">
      <c r="A514" s="5">
        <v>507</v>
      </c>
      <c r="B514" s="17" t="s">
        <v>1497</v>
      </c>
      <c r="C514" s="6">
        <v>80019944</v>
      </c>
      <c r="D514" s="6">
        <f>COUNTIFS($C$8:C514,C514)</f>
        <v>4</v>
      </c>
      <c r="E514" s="6">
        <v>3015363830</v>
      </c>
      <c r="F514" s="12" t="s">
        <v>1498</v>
      </c>
      <c r="G514" s="7">
        <v>46038</v>
      </c>
      <c r="H514" s="7">
        <v>46387</v>
      </c>
      <c r="I514" s="8" t="s">
        <v>1499</v>
      </c>
      <c r="J514" s="6" t="s">
        <v>434</v>
      </c>
      <c r="K514" s="6" t="s">
        <v>115</v>
      </c>
      <c r="L514" s="6" t="s">
        <v>681</v>
      </c>
      <c r="M514" s="6" t="s">
        <v>2097</v>
      </c>
      <c r="N514" s="6" t="s">
        <v>17</v>
      </c>
      <c r="O514" s="6" t="s">
        <v>60</v>
      </c>
      <c r="P514" t="s">
        <v>125</v>
      </c>
      <c r="Q514" s="25" t="s">
        <v>2112</v>
      </c>
    </row>
  </sheetData>
  <autoFilter ref="A7:Q514">
    <filterColumn colId="2">
      <filters>
        <filter val="80019944"/>
      </filters>
    </filterColumn>
  </autoFilter>
  <mergeCells count="1">
    <mergeCell ref="A3:Q4"/>
  </mergeCells>
  <conditionalFormatting sqref="C1:D2 C5:D1048576">
    <cfRule type="duplicateValues" dxfId="1" priority="1"/>
  </conditionalFormatting>
  <conditionalFormatting sqref="M500:M1048576 M7:M498">
    <cfRule type="duplicateValues" dxfId="0" priority="2"/>
  </conditionalFormatting>
  <hyperlinks>
    <hyperlink ref="I9" r:id="rId1"/>
    <hyperlink ref="I10" r:id="rId2"/>
    <hyperlink ref="I11" r:id="rId3"/>
    <hyperlink ref="I12" r:id="rId4"/>
    <hyperlink ref="I13" r:id="rId5"/>
    <hyperlink ref="I16" r:id="rId6"/>
    <hyperlink ref="I17" r:id="rId7"/>
    <hyperlink ref="I18" r:id="rId8"/>
    <hyperlink ref="I19" r:id="rId9"/>
    <hyperlink ref="I20" r:id="rId10"/>
    <hyperlink ref="I21" r:id="rId11"/>
    <hyperlink ref="I22" r:id="rId12"/>
    <hyperlink ref="I23" r:id="rId13"/>
    <hyperlink ref="I24" r:id="rId14"/>
    <hyperlink ref="I25" r:id="rId15"/>
    <hyperlink ref="I26" r:id="rId16"/>
    <hyperlink ref="I27" r:id="rId17"/>
    <hyperlink ref="I390" r:id="rId18"/>
    <hyperlink ref="I382" r:id="rId19"/>
    <hyperlink ref="I383" r:id="rId20"/>
    <hyperlink ref="I384" r:id="rId21"/>
    <hyperlink ref="I385" r:id="rId22"/>
    <hyperlink ref="I392" r:id="rId23"/>
    <hyperlink ref="I393" r:id="rId24"/>
    <hyperlink ref="I396" r:id="rId25"/>
    <hyperlink ref="I429" r:id="rId26"/>
    <hyperlink ref="I397" r:id="rId27"/>
    <hyperlink ref="I398" r:id="rId28"/>
    <hyperlink ref="I399" r:id="rId29"/>
    <hyperlink ref="I401" r:id="rId30"/>
    <hyperlink ref="I402" r:id="rId31"/>
    <hyperlink ref="I408" r:id="rId32"/>
    <hyperlink ref="I409" r:id="rId33"/>
    <hyperlink ref="I415" r:id="rId34"/>
    <hyperlink ref="I414" r:id="rId35"/>
    <hyperlink ref="I413" r:id="rId36"/>
    <hyperlink ref="I412" r:id="rId37"/>
    <hyperlink ref="I411" r:id="rId38"/>
    <hyperlink ref="I410" r:id="rId39"/>
    <hyperlink ref="I416" r:id="rId40"/>
    <hyperlink ref="I417" r:id="rId41"/>
    <hyperlink ref="I418" r:id="rId42"/>
    <hyperlink ref="I419" r:id="rId43"/>
    <hyperlink ref="I420" r:id="rId44"/>
    <hyperlink ref="I421" r:id="rId45"/>
    <hyperlink ref="I422" r:id="rId46"/>
    <hyperlink ref="I423" r:id="rId47"/>
    <hyperlink ref="I424" r:id="rId48"/>
    <hyperlink ref="I427" r:id="rId49"/>
    <hyperlink ref="I428" r:id="rId50"/>
    <hyperlink ref="I430" r:id="rId51" display="yulli.cardenas@contraloriabogota.gov.co"/>
    <hyperlink ref="I431" r:id="rId52" display="adriana.bello@contraloriabogota.gov.co"/>
    <hyperlink ref="I432" r:id="rId53" display="jeison.santos@contraloriabogota.gov.co"/>
    <hyperlink ref="I433" r:id="rId54" display="cindy.valderrama@contraloriabogota.gov.co"/>
    <hyperlink ref="I434" r:id="rId55"/>
    <hyperlink ref="I435" r:id="rId56"/>
    <hyperlink ref="I436" r:id="rId57"/>
    <hyperlink ref="I438" r:id="rId58"/>
    <hyperlink ref="I441" r:id="rId59"/>
    <hyperlink ref="I442" r:id="rId60"/>
    <hyperlink ref="I443" r:id="rId61"/>
    <hyperlink ref="I444" r:id="rId62"/>
    <hyperlink ref="I445" r:id="rId63"/>
    <hyperlink ref="I447" r:id="rId64"/>
    <hyperlink ref="I448" r:id="rId65"/>
    <hyperlink ref="I449" r:id="rId66"/>
    <hyperlink ref="I450" r:id="rId67"/>
    <hyperlink ref="I454" r:id="rId68"/>
    <hyperlink ref="I455" r:id="rId69"/>
    <hyperlink ref="I456" r:id="rId70"/>
    <hyperlink ref="I458" r:id="rId71"/>
    <hyperlink ref="I460" r:id="rId72"/>
    <hyperlink ref="I461" r:id="rId73"/>
    <hyperlink ref="I462" r:id="rId74"/>
    <hyperlink ref="I463" r:id="rId75"/>
    <hyperlink ref="I464" r:id="rId76"/>
    <hyperlink ref="I466" r:id="rId77"/>
    <hyperlink ref="I492" r:id="rId78" display="adriana.bello@contraloriabogota.gov.co"/>
    <hyperlink ref="I495" r:id="rId79"/>
    <hyperlink ref="I513" r:id="rId80"/>
    <hyperlink ref="I8" r:id="rId81"/>
  </hyperlinks>
  <pageMargins left="0.7" right="0.7" top="0.75" bottom="0.75" header="0.3" footer="0.3"/>
  <pageSetup paperSize="9" orientation="portrait"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CONTRATOS</vt:lpstr>
      <vt:lpstr>PATINETA</vt:lpstr>
      <vt:lpstr>BICICLETA</vt:lpstr>
      <vt:lpstr>MOTO ELECTRICA</vt:lpstr>
      <vt:lpstr>VEHICULO</vt:lpstr>
      <vt:lpstr>Hoja1</vt:lpstr>
      <vt:lpstr>CAMIONETA</vt:lpstr>
      <vt:lpstr>CONDUCTOR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Valencia Murillo</dc:creator>
  <cp:lastModifiedBy>activosfijos</cp:lastModifiedBy>
  <dcterms:created xsi:type="dcterms:W3CDTF">2026-08-03T20:59:28Z</dcterms:created>
  <dcterms:modified xsi:type="dcterms:W3CDTF">2026-08-27T16:57:11Z</dcterms:modified>
</cp:coreProperties>
</file>